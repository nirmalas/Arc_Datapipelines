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nirmala_seethappan_arcadis_com/Documents/Documents/DataScience/HS2_L3Database/UpdatePW_ACBOS_MPDT_V2/Input/"/>
    </mc:Choice>
  </mc:AlternateContent>
  <xr:revisionPtr revIDLastSave="378" documentId="13_ncr:1_{E9234989-ADC2-42B3-9942-8EAF4B8590F6}" xr6:coauthVersionLast="47" xr6:coauthVersionMax="47" xr10:uidLastSave="{889AF45C-E802-4A27-AD09-CBBC8C85780C}"/>
  <bookViews>
    <workbookView xWindow="-110" yWindow="-110" windowWidth="19420" windowHeight="11500" firstSheet="1" activeTab="1" xr2:uid="{E845DC16-DB23-4A06-8B13-439181EFFE0B}"/>
  </bookViews>
  <sheets>
    <sheet name="Cover Sheet" sheetId="1" r:id="rId1"/>
    <sheet name="MPDT Element of Asset" sheetId="17" r:id="rId2"/>
    <sheet name="att_matrix" sheetId="13" r:id="rId3"/>
    <sheet name="assets" sheetId="10" r:id="rId4"/>
    <sheet name="V19" sheetId="18" r:id="rId5"/>
  </sheets>
  <functionGroups builtInGroupCount="19"/>
  <definedNames>
    <definedName name="_xlnm._FilterDatabase" localSheetId="3" hidden="1">assets!$A$1:$C$251</definedName>
    <definedName name="_xlnm._FilterDatabase" localSheetId="2" hidden="1">att_matrix!$A$1:$IW$153</definedName>
    <definedName name="_Hlk505252484" localSheetId="0">'Cover Sheet'!#REF!</definedName>
    <definedName name="_xlpm.vLis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1" l="1"/>
  <c r="A13" i="1"/>
  <c r="D32" i="1"/>
  <c r="C33" i="1"/>
  <c r="B31" i="1"/>
  <c r="D30" i="1"/>
  <c r="B33" i="1"/>
  <c r="A29" i="1"/>
  <c r="A15" i="1"/>
  <c r="A32" i="1"/>
  <c r="F29" i="1"/>
  <c r="E32" i="1"/>
  <c r="D33" i="1"/>
  <c r="E29" i="1"/>
  <c r="E30" i="1"/>
  <c r="B32" i="1"/>
  <c r="F28" i="1"/>
  <c r="F32" i="1"/>
  <c r="D31" i="1"/>
  <c r="E28" i="1"/>
  <c r="A18" i="1"/>
  <c r="B29" i="1"/>
  <c r="A16" i="1"/>
  <c r="B30" i="1"/>
  <c r="A30" i="1"/>
  <c r="C31" i="1"/>
  <c r="E31" i="1"/>
  <c r="B28" i="1"/>
  <c r="E33" i="1"/>
  <c r="F33" i="1"/>
  <c r="C28" i="1"/>
  <c r="A33" i="1"/>
  <c r="D29" i="1"/>
  <c r="C32" i="1"/>
  <c r="A28" i="1"/>
  <c r="A31" i="1"/>
  <c r="F31" i="1"/>
  <c r="A14" i="1"/>
  <c r="C30" i="1"/>
  <c r="D28" i="1"/>
  <c r="F3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Granados-Potts</author>
  </authors>
  <commentList>
    <comment ref="AQ2" authorId="0" shapeId="0" xr:uid="{5FCAD697-69B6-4FD2-9160-3560C5C7BFE4}">
      <text>
        <r>
          <rPr>
            <sz val="9"/>
            <color indexed="81"/>
            <rFont val="Tahoma"/>
            <family val="2"/>
          </rPr>
          <t>Complete as series to allow reordering</t>
        </r>
      </text>
    </comment>
  </commentList>
</comments>
</file>

<file path=xl/sharedStrings.xml><?xml version="1.0" encoding="utf-8"?>
<sst xmlns="http://schemas.openxmlformats.org/spreadsheetml/2006/main" count="3233" uniqueCount="1755">
  <si>
    <t>High Speed 2 - 1MC06 - Stage One C2 - MWCC –</t>
  </si>
  <si>
    <t>North Portal of Chiltern Tunnels to Brackley</t>
  </si>
  <si>
    <t>Rev</t>
  </si>
  <si>
    <t xml:space="preserve">Date </t>
  </si>
  <si>
    <t xml:space="preserve">Author </t>
  </si>
  <si>
    <t xml:space="preserve">Checked by </t>
  </si>
  <si>
    <t xml:space="preserve">Approved by </t>
  </si>
  <si>
    <t>Revision Details</t>
  </si>
  <si>
    <t>EKFB Reviewer</t>
  </si>
  <si>
    <t>Stakeholder review required (SRR)</t>
  </si>
  <si>
    <t>Purpose of SRR</t>
  </si>
  <si>
    <t>☐</t>
  </si>
  <si>
    <t>County / District / London Borough Council</t>
  </si>
  <si>
    <t>Acceptance</t>
  </si>
  <si>
    <t>LOV</t>
  </si>
  <si>
    <t>Approval</t>
  </si>
  <si>
    <t>LUL</t>
  </si>
  <si>
    <t>No Objection</t>
  </si>
  <si>
    <t>NRL</t>
  </si>
  <si>
    <t>Consent</t>
  </si>
  <si>
    <t>TFL</t>
  </si>
  <si>
    <t>Utilities Company</t>
  </si>
  <si>
    <t>Other (please specify)</t>
  </si>
  <si>
    <t>Governance</t>
  </si>
  <si>
    <t>Scheme Design</t>
  </si>
  <si>
    <t>Detailed Design</t>
  </si>
  <si>
    <t>Construction</t>
  </si>
  <si>
    <t>Based on global level 2 asset</t>
  </si>
  <si>
    <t>IFC ID</t>
  </si>
  <si>
    <t>Classification codes</t>
  </si>
  <si>
    <t>Level</t>
  </si>
  <si>
    <t>Status</t>
  </si>
  <si>
    <t>DJV</t>
  </si>
  <si>
    <t>Software Model Part ID no.</t>
  </si>
  <si>
    <t>Model Container ID
(Model's Deliverable Number)</t>
  </si>
  <si>
    <t>AssetName_3</t>
  </si>
  <si>
    <t>AssetHierarchyCategory</t>
  </si>
  <si>
    <t>AssetDescription_3</t>
  </si>
  <si>
    <t>COBie Type</t>
  </si>
  <si>
    <t>UAID_3</t>
  </si>
  <si>
    <t>UAID_2</t>
  </si>
  <si>
    <t>Controlling Asset Legacy ID</t>
  </si>
  <si>
    <t>Controlling Asset?</t>
  </si>
  <si>
    <t>Chainage Section</t>
  </si>
  <si>
    <t>Design Element Schedule No.</t>
  </si>
  <si>
    <t>Owner</t>
  </si>
  <si>
    <t>LOD</t>
  </si>
  <si>
    <t>LOI</t>
  </si>
  <si>
    <t>Uniclass 2015</t>
  </si>
  <si>
    <t>Start Chainage</t>
  </si>
  <si>
    <t>End Chainage</t>
  </si>
  <si>
    <t>OSGB Easting</t>
  </si>
  <si>
    <t>OSGB Northing</t>
  </si>
  <si>
    <t>Native ID</t>
  </si>
  <si>
    <t>PrimaryDiscipline</t>
  </si>
  <si>
    <t>FunctioningGrouping</t>
  </si>
  <si>
    <t>Primary Asset</t>
  </si>
  <si>
    <t>ElementCode</t>
  </si>
  <si>
    <t>Discipline</t>
  </si>
  <si>
    <t>Classification</t>
  </si>
  <si>
    <t>Presentation</t>
  </si>
  <si>
    <t>Description</t>
  </si>
  <si>
    <t>View</t>
  </si>
  <si>
    <t>Layer</t>
  </si>
  <si>
    <t>Active/Withdrawn</t>
  </si>
  <si>
    <t>Subassembly Code</t>
  </si>
  <si>
    <t>Order</t>
  </si>
  <si>
    <t>Ss_75_40_02_11</t>
  </si>
  <si>
    <t>NA</t>
  </si>
  <si>
    <t>MWCC-EKJV</t>
  </si>
  <si>
    <t>M</t>
  </si>
  <si>
    <t>Active</t>
  </si>
  <si>
    <t>WVC</t>
  </si>
  <si>
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</si>
  <si>
    <t>complete</t>
  </si>
  <si>
    <t>EK</t>
  </si>
  <si>
    <t>count</t>
  </si>
  <si>
    <t>Scope Level 1 UAID</t>
  </si>
  <si>
    <t>UAID_1</t>
  </si>
  <si>
    <t>strAttr</t>
  </si>
  <si>
    <t>System</t>
  </si>
  <si>
    <t>Scope Level 2 UAID</t>
  </si>
  <si>
    <t>Scope Level 3 UAID</t>
  </si>
  <si>
    <t>HS2 Asset Classification</t>
  </si>
  <si>
    <t>HS2_Class</t>
  </si>
  <si>
    <t>ABT</t>
  </si>
  <si>
    <t>ADI</t>
  </si>
  <si>
    <t>AFI</t>
  </si>
  <si>
    <t>ANC</t>
  </si>
  <si>
    <t>APR</t>
  </si>
  <si>
    <t>BAS</t>
  </si>
  <si>
    <t>BEM</t>
  </si>
  <si>
    <t>BER</t>
  </si>
  <si>
    <t>BLD</t>
  </si>
  <si>
    <t>BLR</t>
  </si>
  <si>
    <t>BNL</t>
  </si>
  <si>
    <t>BRR</t>
  </si>
  <si>
    <t>CAB</t>
  </si>
  <si>
    <t>CAV</t>
  </si>
  <si>
    <t>CHB</t>
  </si>
  <si>
    <t>CLM</t>
  </si>
  <si>
    <t>CLW</t>
  </si>
  <si>
    <t>CPB</t>
  </si>
  <si>
    <t>CPS</t>
  </si>
  <si>
    <t>CPT</t>
  </si>
  <si>
    <t>CTR</t>
  </si>
  <si>
    <t>CUT</t>
  </si>
  <si>
    <t>CVS</t>
  </si>
  <si>
    <t>DCK</t>
  </si>
  <si>
    <t>DEW</t>
  </si>
  <si>
    <t>DLV</t>
  </si>
  <si>
    <t>DRF</t>
  </si>
  <si>
    <t>DTC</t>
  </si>
  <si>
    <t>DWP</t>
  </si>
  <si>
    <t>EXJ</t>
  </si>
  <si>
    <t>FAU</t>
  </si>
  <si>
    <t>FLR</t>
  </si>
  <si>
    <t>FND</t>
  </si>
  <si>
    <t>FS-ES-ED</t>
  </si>
  <si>
    <t>FS-FF-EH</t>
  </si>
  <si>
    <t>FS-PS-CS-DA-RT</t>
  </si>
  <si>
    <t>GAT</t>
  </si>
  <si>
    <t>GFL</t>
  </si>
  <si>
    <t>GLY</t>
  </si>
  <si>
    <t>GRS</t>
  </si>
  <si>
    <t>GRT</t>
  </si>
  <si>
    <t>GSL</t>
  </si>
  <si>
    <t>HDW</t>
  </si>
  <si>
    <t>HND</t>
  </si>
  <si>
    <t>HPD</t>
  </si>
  <si>
    <t>INS</t>
  </si>
  <si>
    <t>KRB</t>
  </si>
  <si>
    <t>LDA</t>
  </si>
  <si>
    <t>LEF</t>
  </si>
  <si>
    <t>LHA</t>
  </si>
  <si>
    <t>LNG</t>
  </si>
  <si>
    <t>LNM</t>
  </si>
  <si>
    <t>LOS</t>
  </si>
  <si>
    <t>LSH</t>
  </si>
  <si>
    <t>LSS</t>
  </si>
  <si>
    <t>LUA</t>
  </si>
  <si>
    <t>MHE</t>
  </si>
  <si>
    <t>MNH</t>
  </si>
  <si>
    <t>NSW</t>
  </si>
  <si>
    <t>NV-ES-BR</t>
  </si>
  <si>
    <t>NV-ES-ML</t>
  </si>
  <si>
    <t>NV-ES-PL-EC</t>
  </si>
  <si>
    <t>NV-SL-GH</t>
  </si>
  <si>
    <t>NV-SL-HD</t>
  </si>
  <si>
    <t>NV-SL-PL</t>
  </si>
  <si>
    <t>NV-SL-PL-AM</t>
  </si>
  <si>
    <t>NV-SL-PL-FP</t>
  </si>
  <si>
    <t>NV-SL-PL-HD</t>
  </si>
  <si>
    <t>NV-SL-PL-HR</t>
  </si>
  <si>
    <t>NV-SL-PL-LG</t>
  </si>
  <si>
    <t>NV-SL-PL-LP</t>
  </si>
  <si>
    <t>NV-SL-PL-MP</t>
  </si>
  <si>
    <t>NV-SL-PL-RH</t>
  </si>
  <si>
    <t>NV-SL-PL-SP</t>
  </si>
  <si>
    <t>NV-SL-PL-ST</t>
  </si>
  <si>
    <t>NV-SL-PL-WD</t>
  </si>
  <si>
    <t>NV-SL-PL-WP</t>
  </si>
  <si>
    <t>NV-SL-ST</t>
  </si>
  <si>
    <t>NV-SL-WD</t>
  </si>
  <si>
    <t>NV-SL-WP</t>
  </si>
  <si>
    <t>OCS</t>
  </si>
  <si>
    <t>OPC</t>
  </si>
  <si>
    <t>PCE</t>
  </si>
  <si>
    <t>PC-PS-BC-BT</t>
  </si>
  <si>
    <t>PC-PS-DB-DB</t>
  </si>
  <si>
    <t>PC-PS-HV-SW</t>
  </si>
  <si>
    <t>PC-PS-HV-VT</t>
  </si>
  <si>
    <t>PC-WT-FC-FC</t>
  </si>
  <si>
    <t>PD-EA-EP-PD</t>
  </si>
  <si>
    <t>PD-SR-CA-TR</t>
  </si>
  <si>
    <t>PD-SR-LP-EB</t>
  </si>
  <si>
    <t>PG-SR-MP-ES</t>
  </si>
  <si>
    <t>PHP</t>
  </si>
  <si>
    <t>PIL</t>
  </si>
  <si>
    <t>PIR</t>
  </si>
  <si>
    <t>PLC</t>
  </si>
  <si>
    <t>PND</t>
  </si>
  <si>
    <t>PNI</t>
  </si>
  <si>
    <t>PNO</t>
  </si>
  <si>
    <t>PO-CA-VA-SO</t>
  </si>
  <si>
    <t>PO-PL-LL-FL</t>
  </si>
  <si>
    <t>PPE</t>
  </si>
  <si>
    <t>PP-ME-CC-RT</t>
  </si>
  <si>
    <t>PP-ME-CI-CP</t>
  </si>
  <si>
    <t>Pr_15_57_27_39</t>
  </si>
  <si>
    <t>Pr_15_57_33_64</t>
  </si>
  <si>
    <t>Pr_20_31_12_60</t>
  </si>
  <si>
    <t>Pr_20_31_16_22</t>
  </si>
  <si>
    <t>Pr_20_76_64</t>
  </si>
  <si>
    <t>Pr_20_85_09</t>
  </si>
  <si>
    <t>Pr_20_85_13_63</t>
  </si>
  <si>
    <t>Pr_25_30_75</t>
  </si>
  <si>
    <t>Pr_25_30_85</t>
  </si>
  <si>
    <t>Pr_25_30_85_02</t>
  </si>
  <si>
    <t>Pr_25_30_85_22</t>
  </si>
  <si>
    <t>Pr_25_30_86_91</t>
  </si>
  <si>
    <t>Pr_25_71_14</t>
  </si>
  <si>
    <t>Pr_25_71_51_15</t>
  </si>
  <si>
    <t>Pr_25_71_63</t>
  </si>
  <si>
    <t>Pr_25_71_63_59</t>
  </si>
  <si>
    <t>Pr_25_80_80</t>
  </si>
  <si>
    <t>Pr_25_80_81</t>
  </si>
  <si>
    <t>Pr_30_59_24</t>
  </si>
  <si>
    <t>Pr_30_59_36</t>
  </si>
  <si>
    <t>Pr_30_59_48_04</t>
  </si>
  <si>
    <t>Pr_30_59_72</t>
  </si>
  <si>
    <t>Pr_30_59_96_92</t>
  </si>
  <si>
    <t>Pr_30_59_98</t>
  </si>
  <si>
    <t>Pr_40</t>
  </si>
  <si>
    <t>Pr_40_10_77</t>
  </si>
  <si>
    <t>Pr_40_30</t>
  </si>
  <si>
    <t>Pr_40_30_25</t>
  </si>
  <si>
    <t>Pr_40_30_87</t>
  </si>
  <si>
    <t>Pr_40_70_75</t>
  </si>
  <si>
    <t>Pr_60_50_33_37</t>
  </si>
  <si>
    <t>Pr_60_50_96</t>
  </si>
  <si>
    <t>Pr_60_65_03_86</t>
  </si>
  <si>
    <t>Pr_60_65_03_87</t>
  </si>
  <si>
    <t>Pr_60_65_37_27</t>
  </si>
  <si>
    <t>Pr_60_70_22_19</t>
  </si>
  <si>
    <t>Pr_60_70_22_22</t>
  </si>
  <si>
    <t>Pr_60_70_36</t>
  </si>
  <si>
    <t>Pr_60_70_48_05</t>
  </si>
  <si>
    <t>Pr_60_70_48_47</t>
  </si>
  <si>
    <t>Pr_60_70_64_93</t>
  </si>
  <si>
    <t>Pr_60_75_86</t>
  </si>
  <si>
    <t>Pr_65_50_35</t>
  </si>
  <si>
    <t>Pr_65_52_01_02</t>
  </si>
  <si>
    <t>Pr_65_52_01_50</t>
  </si>
  <si>
    <t>Pr_65_52_63</t>
  </si>
  <si>
    <t>Pr_65_52_63_79</t>
  </si>
  <si>
    <t>Pr_65_52_63_82</t>
  </si>
  <si>
    <t>Pr_65_53_24_86</t>
  </si>
  <si>
    <t>Pr_65_53_86</t>
  </si>
  <si>
    <t>Pr_65_54_30_42</t>
  </si>
  <si>
    <t>Pr_65_65_24_29</t>
  </si>
  <si>
    <t>Pr_65_65_24_68</t>
  </si>
  <si>
    <t>Pr_65_65_24_78</t>
  </si>
  <si>
    <t>Pr_65_65_24_95</t>
  </si>
  <si>
    <t>Pr_65_65_25</t>
  </si>
  <si>
    <t>Pr_65_65_25_72</t>
  </si>
  <si>
    <t>Pr_65_70_11</t>
  </si>
  <si>
    <t>Pr_65_70_11_09</t>
  </si>
  <si>
    <t>Pr_65_70_11_14</t>
  </si>
  <si>
    <t>Pr_65_70_11_18</t>
  </si>
  <si>
    <t>Pr_65_70_46</t>
  </si>
  <si>
    <t>Pr_65_70_46_14</t>
  </si>
  <si>
    <t>Pr_65_70_46_24</t>
  </si>
  <si>
    <t>Pr_65_70_46_26</t>
  </si>
  <si>
    <t>Pr_65_70_46_27</t>
  </si>
  <si>
    <t>Pr_65_70_46_30</t>
  </si>
  <si>
    <t>Pr_65_72_27</t>
  </si>
  <si>
    <t>Pr_65_72_27_53</t>
  </si>
  <si>
    <t>Pr_65_72_43_01</t>
  </si>
  <si>
    <t>Pr_65_72_43_05</t>
  </si>
  <si>
    <t>Pr_65_72_97_31</t>
  </si>
  <si>
    <t>Pr_65_72_97_63</t>
  </si>
  <si>
    <t>Pr_65_72_97_82</t>
  </si>
  <si>
    <t>Pr_65_72_97_84</t>
  </si>
  <si>
    <t>Pr_65_80_47</t>
  </si>
  <si>
    <t>Pr_70_55_97</t>
  </si>
  <si>
    <t>Pr_70_55_97_37</t>
  </si>
  <si>
    <t>Pr_70_60_36_73</t>
  </si>
  <si>
    <t>Pr_70_65_03_02</t>
  </si>
  <si>
    <t>Pr_70_65_03_42</t>
  </si>
  <si>
    <t>Pr_70_65_04_02</t>
  </si>
  <si>
    <t>Pr_70_65_04_03</t>
  </si>
  <si>
    <t>Pr_70_65_04_04</t>
  </si>
  <si>
    <t>Pr_70_70_47_62</t>
  </si>
  <si>
    <t>Pr_70_70_48_02</t>
  </si>
  <si>
    <t>Pr_70_70_48_85</t>
  </si>
  <si>
    <t>Pr_70_70_48_86</t>
  </si>
  <si>
    <t>Pr_70_75_04</t>
  </si>
  <si>
    <t>Pr_75_50_18_17</t>
  </si>
  <si>
    <t>Pr_75_50_33_27</t>
  </si>
  <si>
    <t>Pr_75_50_46_30</t>
  </si>
  <si>
    <t>Pr_75_50_76_58</t>
  </si>
  <si>
    <t>Pr_75_80_30_04</t>
  </si>
  <si>
    <t>Pr_75_80_30_50</t>
  </si>
  <si>
    <t>Pr_75_80_30_65</t>
  </si>
  <si>
    <t>Pr_75_80_30_97</t>
  </si>
  <si>
    <t>Pr_80_51</t>
  </si>
  <si>
    <t>Pr_80_77_27</t>
  </si>
  <si>
    <t>Pr_80_77_27_08</t>
  </si>
  <si>
    <t>Pr_80_77_28</t>
  </si>
  <si>
    <t>Pr_80_77_28_60</t>
  </si>
  <si>
    <t>Pr_80_77_48_79</t>
  </si>
  <si>
    <t>Pr_80_77_76</t>
  </si>
  <si>
    <t>PRL</t>
  </si>
  <si>
    <t>PRP</t>
  </si>
  <si>
    <t>PSG</t>
  </si>
  <si>
    <t>PS-MM</t>
  </si>
  <si>
    <t>PS-MM-MA-TR</t>
  </si>
  <si>
    <t>PS-SS-EE-CA</t>
  </si>
  <si>
    <t>PS-SS-EE-JB</t>
  </si>
  <si>
    <t>PS-SS-EE-MC</t>
  </si>
  <si>
    <t>PST</t>
  </si>
  <si>
    <t>PSU</t>
  </si>
  <si>
    <t>PVM</t>
  </si>
  <si>
    <t>PWK</t>
  </si>
  <si>
    <t>RDC</t>
  </si>
  <si>
    <t>RDE</t>
  </si>
  <si>
    <t>REX</t>
  </si>
  <si>
    <t>RFL</t>
  </si>
  <si>
    <t>RMP</t>
  </si>
  <si>
    <t>ROO</t>
  </si>
  <si>
    <t>RRS</t>
  </si>
  <si>
    <t>RSL</t>
  </si>
  <si>
    <t>RTU</t>
  </si>
  <si>
    <t>SC-EN-HE-BB</t>
  </si>
  <si>
    <t>SC-EN-HE-BR</t>
  </si>
  <si>
    <t>SC-EN-HE-DO</t>
  </si>
  <si>
    <t>SC-EN-HE-FI</t>
  </si>
  <si>
    <t>SC-EN-HE-GC</t>
  </si>
  <si>
    <t>SC-EN-HE-IN</t>
  </si>
  <si>
    <t>SC-EN-HE-RE</t>
  </si>
  <si>
    <t>SC-EN-HE-WC</t>
  </si>
  <si>
    <t>SC-EN-HE-WV</t>
  </si>
  <si>
    <t>SCF</t>
  </si>
  <si>
    <t>SCH</t>
  </si>
  <si>
    <t>SCW</t>
  </si>
  <si>
    <t>SEL</t>
  </si>
  <si>
    <t>SMP</t>
  </si>
  <si>
    <t>SPC</t>
  </si>
  <si>
    <t>SPE</t>
  </si>
  <si>
    <t>SPK</t>
  </si>
  <si>
    <t>SPL</t>
  </si>
  <si>
    <t>Ss_15_30_17_14</t>
  </si>
  <si>
    <t>Ss_20_05_15_70</t>
  </si>
  <si>
    <t>Ss_25_15_60_60</t>
  </si>
  <si>
    <t>Ss_25_45_12</t>
  </si>
  <si>
    <t>Ss_32_80_90</t>
  </si>
  <si>
    <t>Ss_75_40_02</t>
  </si>
  <si>
    <t>STL</t>
  </si>
  <si>
    <t>STR</t>
  </si>
  <si>
    <t>STW</t>
  </si>
  <si>
    <t>TFS</t>
  </si>
  <si>
    <t>TMW</t>
  </si>
  <si>
    <t>TNK</t>
  </si>
  <si>
    <t>TRG</t>
  </si>
  <si>
    <t>TRS</t>
  </si>
  <si>
    <t>UEF</t>
  </si>
  <si>
    <t>UPN</t>
  </si>
  <si>
    <t>USS</t>
  </si>
  <si>
    <t>UTD</t>
  </si>
  <si>
    <t>VET</t>
  </si>
  <si>
    <t>VGS</t>
  </si>
  <si>
    <t>VLV</t>
  </si>
  <si>
    <t>WHB</t>
  </si>
  <si>
    <t>WIS</t>
  </si>
  <si>
    <t>WLK</t>
  </si>
  <si>
    <t>WMT</t>
  </si>
  <si>
    <t>WPF</t>
  </si>
  <si>
    <t>WTS</t>
  </si>
  <si>
    <t>Uniclass code</t>
  </si>
  <si>
    <t>UniClassID</t>
  </si>
  <si>
    <t>General</t>
  </si>
  <si>
    <t/>
  </si>
  <si>
    <t>endChainage</t>
  </si>
  <si>
    <t>numAttr</t>
  </si>
  <si>
    <t>Material</t>
  </si>
  <si>
    <t>Mtrl</t>
  </si>
  <si>
    <t>Civils</t>
  </si>
  <si>
    <t>Ma_60_65_93 Polyurethane (PU)</t>
  </si>
  <si>
    <t>Pr_15_31_26 8A1-Class 1 Class 2 or Class 3 material fill</t>
  </si>
  <si>
    <t>Pr_15_31_26_07 Bentonite</t>
  </si>
  <si>
    <t>Pr_15_31_26_13 3A1-(LEF_UEF) Chalk fill</t>
  </si>
  <si>
    <t>Pr_15_31_26_13 3A2-Chalk fill</t>
  </si>
  <si>
    <t>Pr_15_31_26_13 3A3-(LEF_UEF) Chalk fill</t>
  </si>
  <si>
    <t>Pr_15_31_26_13 3A4-Chalk fill</t>
  </si>
  <si>
    <t>Pr_15_31_26_13 3A5-Chalk fill</t>
  </si>
  <si>
    <t>Pr_15_31_26_13 3A6-(Green Tunnel Zone 3) Chalk fill</t>
  </si>
  <si>
    <t>Pr_15_31_26_13 3B1-(For Stablising as Class 9M) Chalk fill</t>
  </si>
  <si>
    <t>Pr_15_31_26_13 3C1-(For Stablising as Class 9N) Chalk fill</t>
  </si>
  <si>
    <t>Pr_15_31_26_13 7H5-Chalk fill</t>
  </si>
  <si>
    <t>Pr_15_31_26_13 9M1-(including transitions) Cement stabilised chalk fill</t>
  </si>
  <si>
    <t>Pr_15_31_26_13 9M2-(including transitions) Cement stabilised chalk fill</t>
  </si>
  <si>
    <t>Pr_15_31_26_13 9M3-(including transitions) Cement stabilised chalk fill</t>
  </si>
  <si>
    <t>Pr_15_31_26_13 Chalk-Cut</t>
  </si>
  <si>
    <t>Pr_15_31_26_14 Clay-Aggregate Fill</t>
  </si>
  <si>
    <t>Pr_15_31_26_17 2A1-Wet cohesive material fill</t>
  </si>
  <si>
    <t>Pr_15_31_26_17 2A2-(Green Tunnel Zone 4) Wet cohesive material fill</t>
  </si>
  <si>
    <t>Pr_15_31_26_17 2A3-Wet cohesive material fill</t>
  </si>
  <si>
    <t>Pr_15_31_26_17 2A4-Wet cohesive material fill</t>
  </si>
  <si>
    <t>Pr_15_31_26_17 2A5-Wet cohesive material fill</t>
  </si>
  <si>
    <t>Pr_15_31_26_17 2A6-Wet cohesive material fill</t>
  </si>
  <si>
    <t>Pr_15_31_26_17 2A7-Wet cohesive material fill</t>
  </si>
  <si>
    <t>Pr_15_31_26_17 2A8-Wet cohesive material fill</t>
  </si>
  <si>
    <t>Pr_15_31_26_17 2A9-Wet cohesive material fill</t>
  </si>
  <si>
    <t>Pr_15_31_26_17 2B1-Dry cohesive material fill</t>
  </si>
  <si>
    <t>Pr_15_31_26_17 2B2-Dry cohesive material fill</t>
  </si>
  <si>
    <t>Pr_15_31_26_17 2B3-Dry cohesive material fill</t>
  </si>
  <si>
    <t>Pr_15_31_26_17 2B4-Dry cohesive material fill</t>
  </si>
  <si>
    <t>Pr_15_31_26_17 2B5-Dry cohesive material fill</t>
  </si>
  <si>
    <t>Pr_15_31_26_17 2B6-Dry cohesive material fill</t>
  </si>
  <si>
    <t>Pr_15_31_26_17 2C1-Stoney cohesive material fill</t>
  </si>
  <si>
    <t>Pr_15_31_26_17 2C2-(Green Tunnel Zone 4) Stoney cohesive material fill</t>
  </si>
  <si>
    <t>Pr_15_31_26_17 2C3-Stoney cohesive material fill</t>
  </si>
  <si>
    <t>Pr_15_31_26_17 2C4-Stoney cohesive material fill</t>
  </si>
  <si>
    <t>Pr_15_31_26_17 2D1-Silty cohesive material fill</t>
  </si>
  <si>
    <t>Pr_15_31_26_17 2D2-(Green Tunnel Zone 4) Silty cohesive material fill</t>
  </si>
  <si>
    <t>Pr_15_31_26_17 2D3-Silty cohesive material fill</t>
  </si>
  <si>
    <t>Pr_15_31_26_17 2D4-Silty cohesive material fill</t>
  </si>
  <si>
    <t>Pr_15_31_26_17 2E1-Reclaimed pulverised fuel ash cohesive material fill</t>
  </si>
  <si>
    <t>Pr_15_31_26_17 2F1-(Green Tunnel Zone 3) Dry cohesive material fill</t>
  </si>
  <si>
    <t>Pr_15_31_26_17 7A1-(HSR) Selected granular material fill</t>
  </si>
  <si>
    <t>Pr_15_31_26_17 7A2-(non-HSR) Selected cohesive material fill</t>
  </si>
  <si>
    <t>Pr_15_31_26_17 7B1-(HSR) Selected conditioned pulverised fuel ash cohesive material fill</t>
  </si>
  <si>
    <t>Pr_15_31_26_17 7B2-(HSR) Selected conditioned pulverised fuel ash cohesive material fill</t>
  </si>
  <si>
    <t>Pr_15_31_26_17 7C1-(HSR) Selected wet cohesive material fill</t>
  </si>
  <si>
    <t>Pr_15_31_26_17 7C2-(non-HSR) Selected wet cohesive material fill</t>
  </si>
  <si>
    <t>Pr_15_31_26_17 7C3-(non-HSR) Selected high plasticity wet cohesive material fill</t>
  </si>
  <si>
    <t>Pr_15_31_26_17 7C4-(non-HSR) Selected high plasticity wet cohesive material fill</t>
  </si>
  <si>
    <t>Pr_15_31_26_17 7D1-(HSR) Selected stony cohesive material fill</t>
  </si>
  <si>
    <t>Pr_15_31_26_17 7D2-(non-HSR) Selected stony cohesive material fill</t>
  </si>
  <si>
    <t>Pr_15_31_26_17 7E1-(For Stablising as Class 9D) Selected cohesive material fill</t>
  </si>
  <si>
    <t>Pr_15_31_26_17 7E2-(For Stablising as Class 9J) Selected cohesive material fill</t>
  </si>
  <si>
    <t>Pr_15_31_26_17 7F1-(For Stablising as Class 9B) Selected silty cohesive material fill</t>
  </si>
  <si>
    <t>Pr_15_31_26_17 7F2-(For Stablising as Class 9H) Selected silty cohesive material fill</t>
  </si>
  <si>
    <t>Pr_15_31_26_17 7G1-(For Stablising as Class 9C) Selected conditioned pulverised fuel ash cohesive material fill</t>
  </si>
  <si>
    <t>Pr_15_31_26_17 7H1-Wet cohesive material fill</t>
  </si>
  <si>
    <t>Pr_15_31_26_17 7H2-Dry cohesive material fill</t>
  </si>
  <si>
    <t>Pr_15_31_26_17 7H3-Stony cohesive material fill</t>
  </si>
  <si>
    <t>Pr_15_31_26_17 7H4-Silty cohesive material fill</t>
  </si>
  <si>
    <t>Pr_15_31_26_17 7I1-(For Stablising as Class 9E) Selected cohesive material fill</t>
  </si>
  <si>
    <t>Pr_15_31_26_17 7I2-(For Stablising as Class 9K) Selected cohesive material fill</t>
  </si>
  <si>
    <t>Pr_15_31_26_17 9B1-Cement stabilised silty cohesive material fill</t>
  </si>
  <si>
    <t>Pr_15_31_26_17 9C1-Cement stabilised conditioned pulverised fuel ash cohesive material fill</t>
  </si>
  <si>
    <t>Pr_15_31_26_17 9D1-Lime stabilised cohesive material fill</t>
  </si>
  <si>
    <t>Pr_15_31_26_17 9E1-Lime &amp; cement stabilised cohesive material fill</t>
  </si>
  <si>
    <t>Pr_15_31_26_17 9H1-(including transitions) Cement stabilised silty cohesive material fill</t>
  </si>
  <si>
    <t>Pr_15_31_26_17 9I1-(including transitions) Cement stabilised conditioned pulverised fuel ash cohesive material fill</t>
  </si>
  <si>
    <t>Pr_15_31_26_17 9J1-(including transitions) Lime stabilised cohesive material fill</t>
  </si>
  <si>
    <t>Pr_15_31_26_17 9J2-(Non HSR) Lime stabilised cohesive material fill</t>
  </si>
  <si>
    <t>Pr_15_31_26_17 9J3-(including transitions) Lime stabilised cohesive material fill</t>
  </si>
  <si>
    <t>Pr_15_31_26_17 9K1-(including transitions) Cement and cement stabilised cohesive material fill</t>
  </si>
  <si>
    <t>Pr_15_31_26_26 Earth-Cut</t>
  </si>
  <si>
    <t>Pr_15_31_26_33 1A1-Well graded granular fill</t>
  </si>
  <si>
    <t>Pr_15_31_26_33 1A2-Well graded granular fill</t>
  </si>
  <si>
    <t>Pr_15_31_26_33 1A3-(Green Tunnel Zone 3) Well graded granular fill</t>
  </si>
  <si>
    <t>Pr_15_31_26_33 1A4-Well graded granular fill</t>
  </si>
  <si>
    <t>Pr_15_31_26_33 1A5-Well graded granular fill</t>
  </si>
  <si>
    <t>Pr_15_31_26_33 1A6-Well graded granular fill</t>
  </si>
  <si>
    <t>Pr_15_31_26_33 1A7-(Green Tunnel Zone 4) Well graded granular fill</t>
  </si>
  <si>
    <t>Pr_15_31_26_33 1B1-Uniformly graded granular material fill</t>
  </si>
  <si>
    <t>Pr_15_31_26_33 1B2-Uniformly graded granular material fill</t>
  </si>
  <si>
    <t>Pr_15_31_26_33 1B3-(Green Tunnel Zone 3) Uniformly graded granular material fill</t>
  </si>
  <si>
    <t>Pr_15_31_26_33 1B4-Uniformly graded granular material fill</t>
  </si>
  <si>
    <t>Pr_15_31_26_33 1B5-Uniformly graded granular material fill</t>
  </si>
  <si>
    <t>Pr_15_31_26_33 1B6-Uniformly graded granular material fill</t>
  </si>
  <si>
    <t>Pr_15_31_26_33 1B7-(Green Tunnel Zone 4) Uniformly graded granular material fill</t>
  </si>
  <si>
    <t>Pr_15_31_26_33 1C1-Coarse granular material fill</t>
  </si>
  <si>
    <t>Pr_15_31_26_33 6A1-(HSR &amp; Non HSR Earthworks) Selected well graded granular material fill</t>
  </si>
  <si>
    <t>Pr_15_31_26_33 6C1-(HSR &amp; Non HSR Earthworks) Selected uniformly graded granular material fill</t>
  </si>
  <si>
    <t>Pr_15_31_26_33 6C2-(HSR &amp; Non HSR Earthworks) Selected well graded granular material fill</t>
  </si>
  <si>
    <t>Pr_15_31_26_33 6E1-(For Stabilising as Class 9G) Selected granular material fill</t>
  </si>
  <si>
    <t>Pr_15_31_26_33 6E2-(For Stabilising as Class 9G3) Selected granular material fill</t>
  </si>
  <si>
    <t>Pr_15_31_26_33 6F10-Selected granular material fill (fine grading)</t>
  </si>
  <si>
    <t>Pr_15_31_26_33 6F11-Selected granular material fill (coarse grading)</t>
  </si>
  <si>
    <t>Pr_15_31_26_33 6F12-Selected granular material</t>
  </si>
  <si>
    <t>Pr_15_31_26_33 6F13-Selected granular material (NR Mainline Subgrade)</t>
  </si>
  <si>
    <t>Pr_15_31_26_33 6F14-Selected granular material (Drainage Blanket Layer)</t>
  </si>
  <si>
    <t>Pr_15_31_26_33 6F15-Selected granular material (Rockfill Buttress to Slopes)</t>
  </si>
  <si>
    <t>Pr_15_31_26_33 6F1-Selected granular material fill (fine grading)</t>
  </si>
  <si>
    <t>Pr_15_31_26_33 6F2-Selected granular material fill (coarse grading)</t>
  </si>
  <si>
    <t>Pr_15_31_26_33 6F3-Selected granular material fill</t>
  </si>
  <si>
    <t>Pr_15_31_26_33 6F4-Selected granular material fill (fine grading)</t>
  </si>
  <si>
    <t>Pr_15_31_26_33 6G1-Selected granular material</t>
  </si>
  <si>
    <t>Pr_15_31_26_33 6H1-Selected granular material fill</t>
  </si>
  <si>
    <t>Pr_15_31_26_33 6I1-Selected well graded granular material fill</t>
  </si>
  <si>
    <t>Pr_15_31_26_33 6J1-Selected uniformly graded granular material fill</t>
  </si>
  <si>
    <t>Pr_15_31_26_33 6K1-Selected granular material fill</t>
  </si>
  <si>
    <t>Pr_15_31_26_33 6L1-Selected uniformly graded granular material fill</t>
  </si>
  <si>
    <t>Pr_15_31_26_33 6M1-Selected well graded granular material fill</t>
  </si>
  <si>
    <t>Pr_15_31_26_33 6N10-Selected well graded granular material fill</t>
  </si>
  <si>
    <t>Pr_15_31_26_33 6N11-Selected well graded granular material fill</t>
  </si>
  <si>
    <t>Pr_15_31_26_33 6N12-Selected well graded granular material fill</t>
  </si>
  <si>
    <t>Pr_15_31_26_33 6N13-Selected well graded granular material fill</t>
  </si>
  <si>
    <t>Pr_15_31_26_33 6N1-Selected well graded granular material fill</t>
  </si>
  <si>
    <t>Pr_15_31_26_33 6N2-Selected well graded granular material fill</t>
  </si>
  <si>
    <t>Pr_15_31_26_33 6N3-(Green Tunnel Zone 1) Selected well graded granular material fill</t>
  </si>
  <si>
    <t>Pr_15_31_26_33 6N4-Selected well graded granular material fill</t>
  </si>
  <si>
    <t>Pr_15_31_26_33 6N5-Selected well graded granular material fill</t>
  </si>
  <si>
    <t>Pr_15_31_26_33 6N6-Selected well graded granular material fill</t>
  </si>
  <si>
    <t>Pr_15_31_26_33 6N7-Selected well graded granular material fill</t>
  </si>
  <si>
    <t>Pr_15_31_26_33 6N8-Selected well graded granular material fill</t>
  </si>
  <si>
    <t>Pr_15_31_26_33 6N9-Selected well graded granular material fill</t>
  </si>
  <si>
    <t xml:space="preserve">Pr_15_31_26_33 6N-Selected granular material fill </t>
  </si>
  <si>
    <t>Pr_15_31_26_33 6P1-Selected granular material fill</t>
  </si>
  <si>
    <t>Pr_15_31_26_33 6P2-Selected granular material fill</t>
  </si>
  <si>
    <t>Pr_15_31_26_33 6P3-(Green Tunnel Zone 2) Selected granular material fill</t>
  </si>
  <si>
    <t>Pr_15_31_26_33 6P4-Selected granular material fill</t>
  </si>
  <si>
    <t>Pr_15_31_26_33 6P5-Selected granular material fill</t>
  </si>
  <si>
    <t>Pr_15_31_26_33 6P6-Selected granular material fill</t>
  </si>
  <si>
    <t>Pr_15_31_26_33 6P7-Selected granular material fill</t>
  </si>
  <si>
    <t>Pr_15_31_26_33 6P8-Selected granular material fill</t>
  </si>
  <si>
    <t>Pr_15_31_26_33 6P9-Selected granular material fill</t>
  </si>
  <si>
    <t>Pr_15_31_26_33 6Q1-Well graded granular material fill (1A)</t>
  </si>
  <si>
    <t>Pr_15_31_26_33 6Q2-Uniformly graded granular material fill (1B)</t>
  </si>
  <si>
    <t>Pr_15_31_26_33 6Q3-Coarse granular material fill (1C)</t>
  </si>
  <si>
    <t>Pr_15_31_26_33 6R1-(For Stabilisation as Class 9F1) Selected granular material fill</t>
  </si>
  <si>
    <t>Pr_15_31_26_33 6R2-(For Stabilisation as Class 9L1) Selected granular material fill</t>
  </si>
  <si>
    <t>Pr_15_31_26_33 6R3-Selected granular material fill</t>
  </si>
  <si>
    <t>Pr_15_31_26_33 9A1-Cement stabilised well graded granular material fill</t>
  </si>
  <si>
    <t>Pr_15_31_26_33 9F1-Lime &amp; cement stabilised well graded granular material fill</t>
  </si>
  <si>
    <t>Pr_15_31_26_33 9G1-Cement stabilised well graded granular material fill</t>
  </si>
  <si>
    <t>Pr_15_31_26_33 9G2-(at transitions UEF) Cement stabilised well graded granular material fill</t>
  </si>
  <si>
    <t>Pr_15_31_26_33 9G3-(at transitions) Cement stabilised well graded granular material fill</t>
  </si>
  <si>
    <t>Pr_15_31_26_33 9G4-(at transitions) Cement stabilised well graded granular material fill</t>
  </si>
  <si>
    <t>Pr_15_31_26_33 9G5-(at transitions) Cement stabilised well graded granular material fill</t>
  </si>
  <si>
    <t>Pr_15_31_26_33 9L1-(including transitions) Lime &amp; cement stabilised well graded granular material fill</t>
  </si>
  <si>
    <t>Pr_15_31_26_33 9N1-(including transitions) Lime &amp; Cement stabilised well graded granular material fill</t>
  </si>
  <si>
    <t>Pr_15_31_26_33 Pea Gravel</t>
  </si>
  <si>
    <t>Pr_15_31_26_46 4A1-Various fill</t>
  </si>
  <si>
    <t>Pr_15_31_26_46 4A2-Various fill</t>
  </si>
  <si>
    <t>Pr_15_31_26_46 4A3-Various fill</t>
  </si>
  <si>
    <t>Pr_15_31_26_50 Made Ground-Cut</t>
  </si>
  <si>
    <t>Pr_15_31_26_75 Sand-Aggregate Fill</t>
  </si>
  <si>
    <t>Pr_15_31_26_90 5A1-Topsoil or turf existing on site</t>
  </si>
  <si>
    <t>Pr_15_31_26_90 5B1-Imported topsoil</t>
  </si>
  <si>
    <t>Pr_15_31_26_90 5S1-Agricultural subsoil</t>
  </si>
  <si>
    <t>Pr_15_31_26_90 Topsoil-Cut</t>
  </si>
  <si>
    <t>Pr_15_31_26_96 Well-graded granular unbound mixtures</t>
  </si>
  <si>
    <t>Pr_15_57_27_39 Geosynthetic clay liners (GCLs)</t>
  </si>
  <si>
    <t>Pr_15_57_27_49 Geotextile plastics composite sheets-Plastic</t>
  </si>
  <si>
    <t>Pr_15_57_27_60 Plastics geocomposite sheets-Plastic</t>
  </si>
  <si>
    <t>Pr_15_57_30 Geomembranes</t>
  </si>
  <si>
    <t>Pr_15_57_33_64 Plastics geogrids-Plastic</t>
  </si>
  <si>
    <t>Pr_15_57_35_57 NeedlePunchedNonWovenGeotextile</t>
  </si>
  <si>
    <t>Pr_15_57_35_61 Plastics geotextiles-Plastic</t>
  </si>
  <si>
    <t>Pr_15_93_30_28 ExpandedPolystyreneEPSFillBlock</t>
  </si>
  <si>
    <t>Pr_20_29_23_84 Stainless steel-Steel</t>
  </si>
  <si>
    <t>Pr_20_29_23_84 Steel- general - virgin-Steel</t>
  </si>
  <si>
    <t>Pr_20_29_81_63 Plastics soil nails-Plastic</t>
  </si>
  <si>
    <t>Pr_20_31_04_07 6C5-Selected uniformly graded granular coarse aggregates</t>
  </si>
  <si>
    <t>Pr_20_31_04_07 6F5-Aggregate Fill</t>
  </si>
  <si>
    <t>Pr_20_31_04_07 Type 1-Aggregate Fill</t>
  </si>
  <si>
    <t>Pr_20_31_04_07 Type 2-Aggregate Fill</t>
  </si>
  <si>
    <t>Pr_20_31_04_07 Type 3-Aggregate Fill</t>
  </si>
  <si>
    <t>Pr_20_31_04_08 6B-Aggregate Fill</t>
  </si>
  <si>
    <t>Pr_20_31_04_08 6C-Aggregate Fill</t>
  </si>
  <si>
    <t>Pr_20_31_04_08 6F6-Aggregate Fill</t>
  </si>
  <si>
    <t>Pr_20_31_04_08 6F8-Aggregate Fill</t>
  </si>
  <si>
    <t>Pr_20_31_04_08 6F9-Aggregate Fill</t>
  </si>
  <si>
    <t>Pr_20_31_04_08 6n/P-Aggregate Fill</t>
  </si>
  <si>
    <t xml:space="preserve">Pr_20_31_04_08 Class 1A/6A Aggregate fill </t>
  </si>
  <si>
    <t>Pr_20_31_04_08 class 1-Aggregate Fill</t>
  </si>
  <si>
    <t>Pr_20_31_04_13 Coarse general aggregates</t>
  </si>
  <si>
    <t>Pr_20_31_04_29 Fine aggregate Breedon Gravel</t>
  </si>
  <si>
    <t>Pr_20_31_04_56 NaturalStoneAggregate</t>
  </si>
  <si>
    <t>Pr_20_31_04_61 Perlite aggregates</t>
  </si>
  <si>
    <t>Pr_20_31_12 Lime - Quarried -Aggregate Fill</t>
  </si>
  <si>
    <t>Pr_20_31_12_13 Cement - 20% fly ash-Cement CEM II/A-V</t>
  </si>
  <si>
    <t>Pr_20_31_12_13 Cement - 21% fly ash-Cement CEM II/B-V</t>
  </si>
  <si>
    <t>Pr_20_31_12_13 Cement - 21% GGBS-Cement CEMII/B-S</t>
  </si>
  <si>
    <t>Pr_20_31_12_13 Cement - 35% fly ash-Cement CEMII/B-V</t>
  </si>
  <si>
    <t>Pr_20_31_12_13 Cement - 35% GGBS-Cement CEMII/B-S</t>
  </si>
  <si>
    <t>Pr_20_31_12_13 Cement - 65% GGBS-Cement CEMII/B</t>
  </si>
  <si>
    <t>Pr_20_31_12_13 Cement - 80% GGBS-Cement CEMII/B</t>
  </si>
  <si>
    <t>Pr_20_31_12_60 Cement - Average CEMI Portland -Cement</t>
  </si>
  <si>
    <t>Pr_20_31_16_12 Cement bound granular mixture</t>
  </si>
  <si>
    <t>Pr_20_31_16_21 C32/40-Insitu Concrete CEM 1</t>
  </si>
  <si>
    <t>Pr_20_31_16_21 C32/40-Insitu Concrete IIB+SR</t>
  </si>
  <si>
    <t>Pr_20_31_16_21 C32/40-Insitu Concrete IIIA</t>
  </si>
  <si>
    <t>Pr_20_31_16_21 C32/40-Insitu Concrete IIIB</t>
  </si>
  <si>
    <t>Pr_20_31_16_21 C32/40-Insitu Concrete IIIB+SR</t>
  </si>
  <si>
    <t>Pr_20_31_16_21 C32/40-Insitu Concrete IVB-V</t>
  </si>
  <si>
    <t>Pr_20_31_16_21 C32/40-Precast Concrete CEM 1</t>
  </si>
  <si>
    <t>Pr_20_31_16_21 C32/40-Precast Concrete IIB+SR</t>
  </si>
  <si>
    <t>Pr_20_31_16_21 C32/40-Precast Concrete IIIA</t>
  </si>
  <si>
    <t>Pr_20_31_16_21 C32/40-Precast Concrete IIIB</t>
  </si>
  <si>
    <t>Pr_20_31_16_21 C32/40-Precast Concrete IIIB+SR</t>
  </si>
  <si>
    <t>Pr_20_31_16_21 C32/40-Precast Concrete IVB-V</t>
  </si>
  <si>
    <t>Pr_20_31_16_21 C40/50-Insitu Concrete CEM 1</t>
  </si>
  <si>
    <t>Pr_20_31_16_21 C40/50-Insitu Concrete IIB+SR</t>
  </si>
  <si>
    <t>Pr_20_31_16_21 C40/50-Insitu Concrete IIIA</t>
  </si>
  <si>
    <t>Pr_20_31_16_21 C40/50-Insitu Concrete IIIB</t>
  </si>
  <si>
    <t>Pr_20_31_16_21 C40/50-Insitu Concrete IIIB+SR</t>
  </si>
  <si>
    <t>Pr_20_31_16_21 C40/50-Insitu Concrete IVB-V</t>
  </si>
  <si>
    <t>Pr_20_31_16_21 C40/50-Precast Concrete CEM 1</t>
  </si>
  <si>
    <t>Pr_20_31_16_21 C40/50-Precast Concrete IIB+SR</t>
  </si>
  <si>
    <t>Pr_20_31_16_21 C40/50-Precast Concrete IIIA</t>
  </si>
  <si>
    <t>Pr_20_31_16_21 C40/50-Precast Concrete IIIB</t>
  </si>
  <si>
    <t>Pr_20_31_16_21 C40/50-Precast Concrete IVB-V</t>
  </si>
  <si>
    <t>Pr_20_31_16_21 C50/60-Insitu Concrete CEM 1</t>
  </si>
  <si>
    <t>Pr_20_31_16_21 C50/60-Insitu Concrete IIB+SR</t>
  </si>
  <si>
    <t>Pr_20_31_16_21 C50/60-Insitu Concrete IIIA</t>
  </si>
  <si>
    <t>Pr_20_31_16_21 C50/60-Insitu Concrete IIIB</t>
  </si>
  <si>
    <t>Pr_20_31_16_21 C50/60-Insitu Concrete IVB-V</t>
  </si>
  <si>
    <t>Pr_20_31_16_21 C50/60-Precast Concrete CEM 1</t>
  </si>
  <si>
    <t>Pr_20_31_16_21 C50/60-Precast Concrete IIB+SR</t>
  </si>
  <si>
    <t>Pr_20_31_16_21 C50/60-Precast Concrete IIIA</t>
  </si>
  <si>
    <t>Pr_20_31_16_21 C50/60-Precast Concrete IIIB</t>
  </si>
  <si>
    <t>Pr_20_31_16_21 C50/60-Precast Concrete IVB-V</t>
  </si>
  <si>
    <t>Pr_20_31_16_21 C57/70-Precast Concrete IIIA</t>
  </si>
  <si>
    <t>Pr_20_31_16_21 C60/75-Precast Concrete CEM 1</t>
  </si>
  <si>
    <t>Pr_20_31_16_21 Concrete - General-Insitu Concrete</t>
  </si>
  <si>
    <t>Pr_20_31_16_21 Concrete - General-Precast Concrete</t>
  </si>
  <si>
    <t>Pr_20_31_16_21 Insitu Concrete C12/15</t>
  </si>
  <si>
    <t>Pr_20_31_16_21 Insitu Concrete C16/20</t>
  </si>
  <si>
    <t>Pr_20_31_16_21 Insitu Concrete C20/25</t>
  </si>
  <si>
    <t>Pr_20_31_16_21 Insitu Concrete C25/30</t>
  </si>
  <si>
    <t>Pr_20_31_16_21 Insitu Concrete C30/37</t>
  </si>
  <si>
    <t>Pr_20_31_16_21 Insitu Concrete C32/40</t>
  </si>
  <si>
    <t>Pr_20_31_16_21 Insitu Concrete C35/45</t>
  </si>
  <si>
    <t>Pr_20_31_16_21 Insitu Concrete C40/50</t>
  </si>
  <si>
    <t>Pr_20_31_16_21 Insitu Concrete C45/55</t>
  </si>
  <si>
    <t>Pr_20_31_16_21 Insitu Concrete C50/60</t>
  </si>
  <si>
    <t>Pr_20_31_16_21 Insitu Concrete C8/10</t>
  </si>
  <si>
    <t>Pr_20_31_16_21 Insitu Concrete FND4</t>
  </si>
  <si>
    <t>Pr_20_31_16_21 Insitu Concrete other</t>
  </si>
  <si>
    <t>Pr_20_31_16_21 Insitu Concrete ST1</t>
  </si>
  <si>
    <t>Pr_20_31_16_21 Insitu Concrete ST2</t>
  </si>
  <si>
    <t>Pr_20_31_16_21 Insitu Concrete ST3</t>
  </si>
  <si>
    <t>Pr_20_31_16_21 Insitu Concrete ST4</t>
  </si>
  <si>
    <t>Pr_20_31_16_21 Insitu Concrete ST5</t>
  </si>
  <si>
    <t>Pr_20_31_16_21 Precast Concrete C32/40</t>
  </si>
  <si>
    <t>Pr_20_31_16_21 Precast Concrete C35/45</t>
  </si>
  <si>
    <t>Pr_20_31_16_21 Precast Concrete C40/50</t>
  </si>
  <si>
    <t>Pr_20_31_16_21 Precast Concrete C45/55</t>
  </si>
  <si>
    <t>Pr_20_31_16_21 Precast Concrete C50/60</t>
  </si>
  <si>
    <t>Pr_20_31_16_21 Precast Concrete Other</t>
  </si>
  <si>
    <t>Pr_20_31_16_21 Precast Concrete ST4</t>
  </si>
  <si>
    <t>Pr_20_31_16_21 ST1-Insitu Concrete</t>
  </si>
  <si>
    <t>Pr_20_31_16_21 ST1-Precast Concrete</t>
  </si>
  <si>
    <t>Pr_20_31_16_21 ST2-Insitu Concrete</t>
  </si>
  <si>
    <t>Pr_20_31_16_21 ST2-Precast Concrete</t>
  </si>
  <si>
    <t>Pr_20_31_16_39 6F7-Bituminous Protection Layer</t>
  </si>
  <si>
    <t>Pr_20_31_35_35 Gypsum</t>
  </si>
  <si>
    <t>Pr_20_31_86_62 HDPE</t>
  </si>
  <si>
    <t>Pr_20_31_86_65 PolypropyleneResin</t>
  </si>
  <si>
    <t>Pr_20_31_86_88 Thermoplastic elastomer (TPE) resins</t>
  </si>
  <si>
    <t>Pr_20_76_51 Weathering Steel S275</t>
  </si>
  <si>
    <t>Pr_20_76_51 Weathering Steel S355</t>
  </si>
  <si>
    <t>Pr_20_76_51_07 Aluminium structural sections</t>
  </si>
  <si>
    <t>Pr_20_76_51_09 Brass sections</t>
  </si>
  <si>
    <t>Pr_20_76_51_12 Steel S275 - general steel</t>
  </si>
  <si>
    <t>Pr_20_76_51_12 Steel S275 - recycled steel</t>
  </si>
  <si>
    <t>Pr_20_76_51_12 Steel S275 - virgin steel</t>
  </si>
  <si>
    <t>Pr_20_76_51_12 Steel S355 - general steel</t>
  </si>
  <si>
    <t>Pr_20_76_51_12 Steel S355 - recycled steel</t>
  </si>
  <si>
    <t>Pr_20_76_51_12 Steel S355 - virgin steel</t>
  </si>
  <si>
    <t>Pr_20_76_51_12 Steel S460 - general steel</t>
  </si>
  <si>
    <t>Pr_20_76_51_12 Steel S460 - recycled steel</t>
  </si>
  <si>
    <t>Pr_20_76_51_12 Steel S460 - virgin steel</t>
  </si>
  <si>
    <t>Pr_20_76_51_12 Steel section - general-Steel</t>
  </si>
  <si>
    <t>Pr_20_76_51_12 Steel section - recycled-Steel</t>
  </si>
  <si>
    <t>Pr_20_76_51_12 Steel section - virgin-Steel</t>
  </si>
  <si>
    <t>Pr_20_76_51_20 Cast iron 400-15</t>
  </si>
  <si>
    <t>Pr_20_76_51_20 Cast iron 400-18</t>
  </si>
  <si>
    <t>Pr_20_76_51_20 Cast iron 450-10</t>
  </si>
  <si>
    <t>Pr_20_76_51_20 Cast iron 500-7</t>
  </si>
  <si>
    <t>Pr_20_76_51_20 Cast iron 600-3</t>
  </si>
  <si>
    <t>Pr_20_76_51_20 Cast iron 700-2</t>
  </si>
  <si>
    <t>Pr_20_76_51_20 Cast iron products</t>
  </si>
  <si>
    <t>Pr_20_76_51_21 Steel sections galvanised - general-Steel</t>
  </si>
  <si>
    <t>Pr_20_76_51_21 Steel sections galvanised - recycled-Steel</t>
  </si>
  <si>
    <t>Pr_20_76_51_21 Steel sections galvanised - virgin-Steel</t>
  </si>
  <si>
    <t>Pr_20_76_51_23 Copper alloy sections</t>
  </si>
  <si>
    <t>Pr_20_76_51_81 Stainless steel bar and rod</t>
  </si>
  <si>
    <t>Pr_20_76_51_83 Stainless steel sheet</t>
  </si>
  <si>
    <t>Pr_20_76_52_20 CarbonSteelWeldedTube</t>
  </si>
  <si>
    <t>Pr_20_76_52_85 Stainless Steel seamless circular tubes</t>
  </si>
  <si>
    <t>Pr_20_76_52_86 Stainless steel welded circular tubes</t>
  </si>
  <si>
    <t>Pr_20_76_63 Plastic Pipes</t>
  </si>
  <si>
    <t>Pr_20_76_88 Timber - General-Timber</t>
  </si>
  <si>
    <t>Pr_20_76_88_37 HardwoodLogPole</t>
  </si>
  <si>
    <t>Pr_20_76_88_86 TimberFencingBatten</t>
  </si>
  <si>
    <t>Pr_20_85_03_84 Stainless steel angles</t>
  </si>
  <si>
    <t>Pr_20_85_08_83 Stainless steel structural beams</t>
  </si>
  <si>
    <t>Pr_20_85_09_81 Stainless steel brackets</t>
  </si>
  <si>
    <t>Pr_20_85_16_84 Stainless steel structural columns</t>
  </si>
  <si>
    <t>Pr_20_85_28_15 CoirErosionMat</t>
  </si>
  <si>
    <t>Pr_20_85_28_64 PolypropylenePpRockRoll</t>
  </si>
  <si>
    <t>Pr_20_85_85_74 Rubber bearings</t>
  </si>
  <si>
    <t>Pr_20_93_52_01 Concrete block - 10mpa-Blockwork</t>
  </si>
  <si>
    <t>Pr_20_93_52_01 Concrete block - 12mpa-Blockwork</t>
  </si>
  <si>
    <t>Pr_20_93_52_01 Concrete block - 13 mpa-Blockwork</t>
  </si>
  <si>
    <t>Pr_20_93_52_01 Concrete block - 8 mpa-Blockwork</t>
  </si>
  <si>
    <t>Pr_20_93_52_01 Concrete block - general-Blockwork</t>
  </si>
  <si>
    <t>Pr_20_93_52_02 Bricks - General-Brickwork</t>
  </si>
  <si>
    <t>Pr_20_96_71_11 Steel - bar and rod - general-Steel</t>
  </si>
  <si>
    <t>Pr_20_96_71_11 Steel - bar and rod - virgin-Steel</t>
  </si>
  <si>
    <t>Pr_20_96_71_11 Steel- bar and rod - recycled-Steel</t>
  </si>
  <si>
    <t>Pr_25_57_08 Waterproofing membrane-Waterproofing</t>
  </si>
  <si>
    <t>Pr_25_57_51_54 Modified acrylic fabric</t>
  </si>
  <si>
    <t>Pr_25_57_65 Plastics membranes-Plastic</t>
  </si>
  <si>
    <t>Pr_25_71_44_08 Bitumen rubber expansion joint fillers</t>
  </si>
  <si>
    <t>Pr_25_71_50_19 CarbonSteelWeldedMeshPanel</t>
  </si>
  <si>
    <t>Pr_25_71_50_24 Steel Sheets -weathering steel</t>
  </si>
  <si>
    <t>Pr_25_71_51_01 Aluminium sheets strips and plates</t>
  </si>
  <si>
    <t>Pr_25_71_51_15 Steel sheet - general steel</t>
  </si>
  <si>
    <t>Pr_25_71_51_15 Steel sheet - recycled steel</t>
  </si>
  <si>
    <t>Pr_25_71_51_15 Steel sheet - virgin steel</t>
  </si>
  <si>
    <t>Pr_25_71_51_86 Steel sheet - galvanised virgin-Steel</t>
  </si>
  <si>
    <t>Pr_25_71_51_88 Steel plate</t>
  </si>
  <si>
    <t>Pr_25_71_57_63 Plastics panels</t>
  </si>
  <si>
    <t>Pr_25_71_63_26 Expandedpolystyrene(EPS)boards</t>
  </si>
  <si>
    <t>Pr_25_71_63_32 Glass-reinforced plastics (GRP) panels</t>
  </si>
  <si>
    <t>Pr_25_71_63_59 PhenolicFoamBoards</t>
  </si>
  <si>
    <t>Pr_25_71_63_65 PolycarbonateProfiledSheets</t>
  </si>
  <si>
    <t>Pr_25_71_80_23 Fibre-reinforced calcium silicate boards</t>
  </si>
  <si>
    <t>Pr_25_80_80_43 Intumescent sheet cavity barriers</t>
  </si>
  <si>
    <t>Pr_25_93_45_56 Natural Stone Kerb</t>
  </si>
  <si>
    <t>Pr_25_93_60_61 Plastic Cellular Paver</t>
  </si>
  <si>
    <t>Pr_35_31_05 Asphalt concrete regulating course</t>
  </si>
  <si>
    <t>Pr_35_31_05 AsphaltBitumenResinMixture</t>
  </si>
  <si>
    <t>Pr_35_31_05 Bitumen coating-Waterproofing</t>
  </si>
  <si>
    <t>Pr_35_31_05_03 AsphaltConcreteACBaseCourse</t>
  </si>
  <si>
    <t>Pr_35_31_05_04 AsphaltConcreteACBinderCourse</t>
  </si>
  <si>
    <t>Pr_35_31_05_05 AsphaltConcreteACSurfaceCourse</t>
  </si>
  <si>
    <t>Pr_35_31_05_05 Bituminous Bound Pavements Hot rolled asphalt surface concrete-Asphalt</t>
  </si>
  <si>
    <t>Pr_35_31_05_05 ThinSurfaceCourseSystem</t>
  </si>
  <si>
    <t>Pr_35_31_05_10 Bonded grit surfacing</t>
  </si>
  <si>
    <t>Pr_35_31_05_38 Bituminous Bound Pavements Hot rolled asphalt base-Asphalt</t>
  </si>
  <si>
    <t>Pr_35_31_05_39 Bituminous Bound Pavements Hot rolled asphalt binder-Asphalt</t>
  </si>
  <si>
    <t>Pr_35_31_05_40 Bituminous Bound Pavements Track Coat-Asphalt</t>
  </si>
  <si>
    <t>Pr_35_31_05_85 Stone mastic asphalt (SMA) surface courses</t>
  </si>
  <si>
    <t>Pr_35_31_85_90 ThermoplasticRoadMarking</t>
  </si>
  <si>
    <t>Pr_35_57_71_75 Rubber tiles</t>
  </si>
  <si>
    <t>Pr_35_90_53_50 MasticAsphaltMaMovementJoint</t>
  </si>
  <si>
    <t>Pr_35_90_60_71 Retroreflecting road studs</t>
  </si>
  <si>
    <t>Pr_35_90_87_15 Copper conductor tapes</t>
  </si>
  <si>
    <t>Pr_35_90_87_27 Expanded polyethylene (PE) foam strips</t>
  </si>
  <si>
    <t>Pr_45_30 Flora products</t>
  </si>
  <si>
    <t>Pr_45_30_90_74 RootballedTree</t>
  </si>
  <si>
    <t>Pr_45_31_89_50 ManufacturedGrowingMedium</t>
  </si>
  <si>
    <t>Pr_45_63_64_80 SoftwoodPeg</t>
  </si>
  <si>
    <t>Pr_65_52_01_61 Plastics below-ground access or equipment chambers</t>
  </si>
  <si>
    <t>Pr_65_52_07_25 Ductile iron pressure pipes and fittings</t>
  </si>
  <si>
    <t>Pr_65_52_63_82 Steel pipe - general-Steel</t>
  </si>
  <si>
    <t>Pr_65_52_63_82 Steel pipe - recycled-Steel</t>
  </si>
  <si>
    <t>Pr_65_52_63_82 Steel pipe - virgin-Steel</t>
  </si>
  <si>
    <t>Pr_65_52_63_89 Unplasticized polyvinyl chloride (PVC-U) pipes</t>
  </si>
  <si>
    <t>Pr_65_70_11_16 Cable troughs</t>
  </si>
  <si>
    <t>Pr_65_70_36_40 High voltage power cables with thermosetting insulation</t>
  </si>
  <si>
    <t>Space</t>
  </si>
  <si>
    <t>startChainage</t>
  </si>
  <si>
    <t xml:space="preserve">OSGB Easting </t>
  </si>
  <si>
    <t>osgbEasting</t>
  </si>
  <si>
    <t>osgbNorthing</t>
  </si>
  <si>
    <t>Snake Grid Easting</t>
  </si>
  <si>
    <t>snakeGridEasting</t>
  </si>
  <si>
    <t>Snake Grid Northing</t>
  </si>
  <si>
    <t>snakeGridNorthing</t>
  </si>
  <si>
    <t>Net Volume (m³)</t>
  </si>
  <si>
    <t>NetVolume</t>
  </si>
  <si>
    <t>STR,PVM,RMP,LSS,NV-SL-PL-SP,NV-SL-PL-RH,NV-SL-PL-MP,NV-SL-PL-LP,NV-SL-PL-WD,NV-SL-PL-ST,NV-SL-PL-WP,NV-SL-PL-LG,NV-SL-PL-HR,NV-SL-PL-HD,NV-SL-PL-FP,NV-SL-PL,NV-SL-PL-AM,NV-ES-PL-EC,NV-SL-GH,NV-SL-HD,NV-SL-ST,NV-SL-WD,NV-SL-WP</t>
  </si>
  <si>
    <t>Area (sq.m)</t>
  </si>
  <si>
    <t>Com_Arsqm</t>
  </si>
  <si>
    <t>Common</t>
  </si>
  <si>
    <t>ABT,ADI,AFI,ANC,APR,BAS,BEM,BER,BLD,BLR,BNL,BRR,CAB,CAV,CHB,CLM,CLW,CPB,CPS,CPT,CTR,CUT,CVS,DCK,DEW,DLV,DRF,DTC,DWP,EXJ,FAU,FLR,FND,GAT,GFL,GLY,GRS,GRT,GSL,HDW,HND,INS,KRB,LDA,LEF,LHA,LNG,LNM,LOS,LSH,LSS,LUA,MHE,MNH,NSW,NV-ES-BR,NV-ES-ML,NV-ES-PL-EC,NV-SL-PL,NV-SL-PL-AM,NV-SL-PL-FP,NV-SL-PL-HD,NV-SL-PL-HR,NV-SL-PL-LG,NV-SL-PL-LP,NV-SL-PL-MP,NV-SL-PL-RH,NV-SL-PL-SP,NV-SL-PL-ST,NV-SL-PL-WD,NV-SL-PL-WP,OCS,OPC,PCE,PHP,PIL,PIR,PLC,PND,PNI,PNO,PPE,Pr_20_76_64,Pr_20_85_09,Pr_25_30_75,Pr_25_30_85,Pr_25_71_14,Pr_25_71_63,Pr_25_80_80,Pr_25_80_81,Pr_30_59_36,Pr_30_59_48_04,Pr_30_59_72,Pr_30_59_98,Pr_40_10_77,Pr_40_30_25,Pr_40_70_75,Pr_60_50_96,Pr_60_65_03_86,Pr_60_65_03_87,Pr_60_65_37_27,Pr_60_70_36,Pr_60_75_86,Pr_65_50_35,Pr_65_52_01_02,Pr_65_52_63,Pr_65_53_24_86,Pr_65_53_86,Pr_65_65_24_29,Pr_65_65_24_68,Pr_65_65_24_78,Pr_65_65_24_95,Pr_65_65_25,Pr_65_70_11,Pr_65_70_46,Pr_65_72_27,Pr_65_72_43_01,Pr_70_55_97,Pr_70_60_36_73,Pr_70_65_03_02,Pr_70_65_03_42,Pr_70_65_04_02,Pr_70_65_04_03,Pr_70_75_04,Pr_75_50_18_17,Pr_80_77_27,Pr_80_77_28,Pr_80_77_28_60,Pr_80_77_76,PRL,PRP,PSG,PST,PSU,PVM,PWK,RDE,REX,RFL,RMP,ROO,RRS,RSL,RTU,SC-EN-HE-BB,SC-EN-HE-BR,SC-EN-HE-DO,SC-EN-HE-FI,SC-EN-HE-GC,SC-EN-HE-IN,SC-EN-HE-RE,SC-EN-HE-WC,SC-EN-HE-WV,SCF,SCH,SCW,SEL,SMP,SPC,SPK,SPL,Ss_15_30_17_14,Ss_20_05_15_70,Ss_25_15_60_60,Ss_25_45_12,Ss_32_80_90,Ss_75_40_02,Ss_75_40_02_11,STL,STR,STW,TFS,TMW,TNK,TRG,TRS,UEF,UPN,USS,UTD,VET,VGS,VLV,WIS,WLK,WPF,WTS,WVC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D-EA-EP-PD,PD-SR-CA-TR,PD-SR-LP-EB,PG-SR-MP-ES,PO-CA-VA-SO,PO-PL-LL-FL,PP-ME-CC-RT,PP-ME-CI-CP,Pr_65_70_46_30,Pr_75_80_30_04,Pr_75_80_30_50,Pr_75_80_30_65,Pr_75_80_30_97,PS-MM,PS-MM-MA-TR,FS-FF-EH,PS-SS-EE-CA,PS-SS-EE-JB,PS-SS-EE-MC,Pr_65_80_47</t>
  </si>
  <si>
    <t>Asset Reference</t>
  </si>
  <si>
    <t>Com_AssetRef</t>
  </si>
  <si>
    <t>NV-ES-PL-EC,NV-SL-PL-LG,NV-SL-PL-HR,NV-SL-PL-HD,NV-SL-PL-FP,NV-SL-PL-AM,NV-SL-PL-SP,NV-SL-PL-RH,NV-SL-PL-MP,NV-SL-PL-LP,NV-SL-PL-WD,NV-SL-PL-ST,NV-SL-PL-WP,NV-SL-GH,NV-SL-HD,NV-SL-ST,NV-SL-WD,NV-SL-WP,NV-SL-PL</t>
  </si>
  <si>
    <t>CFA Area</t>
  </si>
  <si>
    <t>Com_CfAr</t>
  </si>
  <si>
    <t>09</t>
  </si>
  <si>
    <t>010</t>
  </si>
  <si>
    <t>011</t>
  </si>
  <si>
    <t>012</t>
  </si>
  <si>
    <t>013</t>
  </si>
  <si>
    <t>014</t>
  </si>
  <si>
    <t>015</t>
  </si>
  <si>
    <t>016</t>
  </si>
  <si>
    <t>Catchment Type</t>
  </si>
  <si>
    <t>Com_CtchmntTyp</t>
  </si>
  <si>
    <t>Highway</t>
  </si>
  <si>
    <t>Railway</t>
  </si>
  <si>
    <t>Land</t>
  </si>
  <si>
    <t>Other</t>
  </si>
  <si>
    <t>CVS,CPS,CTR,CUT,BNL,CPB,BEM,BAS,APR,ABT,ANC,AFI,CLM,CHB,CAV,CAB,BLD,BER,ADI,BLR,BRR,CLW,DCK,DEW,DLV,DRF,CPT,DTC,DWP,FND,FLR,GAT,GFL,GLY,FAU,EXJ,MNH,NSW,LUA,LSS,LSH,MHE,GSL,INS,HDW,HND,LHA,LNG,LOS,LNM,KRB,LDA,LEF,GRS,GRT,OCS,NV-SL-PL-WP,NV-SL-PL-ST,NV-SL-PL-WD,NV-SL-PL-LP,NV-SL-PL-MP,NV-SL-PL-RH,NV-SL-PL-SP,NV-SL-PL-AM,NV-SL-PL,NV-SL-PL-FP,NV-SL-PL-HD,NV-SL-PL-HR,NV-SL-PL-LG,NV-ES-PL-EC,NV-ES-ML,NV-ES-BR,RDE,REX,RFL,PST,PSG,PRP,PRL,Pr_80_77_27,Pr_80_77_28,Pr_80_77_28_60,Pr_80_77_76,PSU,PVM,PWK,Pr_80_51,Pr_65_70_11,Pr_65_70_46,Pr_65_72_27,Pr_65_72_43_01,Pr_70_55_97,Pr_65_65_24_29,Pr_65_65_24_68,Pr_65_65_24_78,Pr_65_65_24_95,Pr_65_65_25,Pr_75_50_18_17,Pr_70_75_04,Pr_70_60_36_73,Pr_70_65_03_02,Pr_70_65_03_42,Pr_70_65_04_02,Pr_70_65_04_03,RRS,ROO,RMP,RSL,RTU,SC-EN-HE-WV,SC-EN-HE-WC,SC-EN-HE-RE,SC-EN-HE-IN,SC-EN-HE-GC,SC-EN-HE-FI,SC-EN-HE-DO,SC-EN-HE-BR,SC-EN-HE-BB,SCH,SCW,SCF,SEL,PLC,PND,PIR,PNO,PNI,PPE,PHP,PCE,PIL,OPC,Pr_25_30_75,Pr_25_30_85,Pr_25_71_14,Pr_25_71_63,Pr_25_80_80,Pr_25_80_81,Pr_20_85_09,Pr_20_76_64,Pr_60_65_03_86,Pr_60_65_03_87,Pr_60_65_37_27,Pr_60_70_36,Pr_60_75_86,Pr_65_50_35,Pr_65_52_01_02,Pr_65_52_63,Pr_65_53_24_86,Pr_65_53_86,Pr_40_70_75,Pr_40,Pr_40_10_77,Pr_40_30,Pr_40_30_25,Pr_60_50_96,Pr_30_59_36,Pr_30_59_48_04,Pr_30_59_72,Pr_30_59_98,TRG,TRS,USS,UPN,UEF,TMW,TFS,TNK,Ss_75_40_02_11,STW,STR,STL,UTD,Ss_32_80_90,Ss_75_40_02,Ss_25_15_60_60,Ss_25_45_12,Ss_20_05_15_70,Ss_15_30_17_14,SPK,SPL,SPC,SMP,VET,VGS,VLV,WIS,WLK,WPF,WVC,WT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</si>
  <si>
    <t>Type</t>
  </si>
  <si>
    <t>Com_Typ</t>
  </si>
  <si>
    <t>BNL,CPB,CLW,CHB,CLM,CAV,CAB,ADI,BLR,BRR,BER,BLD,BEM,APR,BAS,AFI,ANC,ABT,CUT,CTR,CPS,CVS,LSS,LUA,MNH,NSW,LSH,MHE,GRT,GRS,LEF,LDA,KRB,LHA,LNG,LNM,LOS,INS,HDW,HND,GSL,NV-ES-PL-EC,NV-SL-PL,NV-SL-PL-AM,NV-SL-PL-FP,NV-SL-PL-HD,NV-SL-PL-HR,NV-SL-PL-LG,NV-SL-PL-LP,NV-SL-PL-MP,NV-SL-PL-RH,NV-SL-PL-SP,NV-SL-PL-ST,NV-SL-PL-WD,NV-SL-PL-WP,OCS,NV-ES-BR,NV-ES-ML,EXJ,FLR,FND,DCK,DEW,DRF,DLV,CPT,DTC,DWP,OPC,PCE,PIL,PPE,PNI,PNO,PND,PLC,PIR,PHP,Pr_20_76_64,Pr_20_85_09,Pr_25_30_75,Pr_25_30_85,Pr_25_71_14,Pr_25_71_63,Pr_25_80_80,Pr_25_80_81,Pr_30_59_36,Pr_30_59_48_04,Pr_30_59_72,Pr_30_59_98,Pr_40,Pr_40_10_77,Pr_40_30,Pr_40_30_25,Pr_40_70_75,Pr_60_50_96,Pr_60_65_03_86,Pr_60_65_03_87,Pr_60_65_37_27,Pr_60_70_36,Pr_60_75_86,Pr_65_50_35,Pr_65_52_01_02,Pr_65_52_63,Pr_65_53_24_86,Pr_65_53_86,RSL,RTU,RMP,ROO,RRS,SC-EN-HE-BB,SC-EN-HE-BR,SC-EN-HE-DO,SC-EN-HE-FI,SC-EN-HE-GC,SC-EN-HE-IN,SC-EN-HE-RE,SC-EN-HE-WC,SC-EN-HE-WV,SEL,SCF,SCH,SCW,Pr_75_50_18_17,Pr_70_75_04,Pr_70_60_36_73,Pr_70_65_03_02,Pr_70_65_03_42,Pr_70_65_04_02,Pr_70_65_04_03,Pr_65_65_24_29,Pr_65_65_24_68,Pr_65_65_24_78,Pr_65_65_24_95,Pr_65_65_25,Pr_65_70_11,Pr_65_70_46,Pr_65_72_27,Pr_65_72_43_01,Pr_70_55_97,Pr_80_51,PVM,PSU,PWK,Pr_80_77_27,Pr_80_77_28,Pr_80_77_28_60,Pr_80_77_76,PRL,PRP,PSG,PST,REX,RDE,RFL,STR,STL,STW,Ss_75_40_02_11,UEF,UPN,USS,TRG,TRS,TNK,TFS,TMW,UTD,Ss_32_80_90,Ss_75_40_02,SPC,SMP,SPL,SPK,Ss_15_30_17_14,Ss_20_05_15_70,Ss_25_15_60_60,Ss_25_45_12,WPF,WLK,VET,VGS,VLV,WIS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</si>
  <si>
    <t>Com_Dscrptn</t>
  </si>
  <si>
    <t>WLK,WPF,VLV,VET,VGS,WIS,WVC,WTS,Ss_32_80_90,Ss_75_40_02,UTD,Ss_75_40_02_11,STW,STR,STL,TFS,TNK,TMW,TRS,TRG,USS,UPN,UEF,Ss_25_15_60_60,Ss_25_45_12,Ss_20_05_15_70,Ss_15_30_17_14,SPK,SPL,SPC,SMP,Pr_25_30_75,Pr_25_30_85,Pr_25_71_14,Pr_25_71_63,Pr_25_80_80,Pr_25_80_81,Pr_20_85_09,Pr_20_76_64,OPC,PIL,PCE,PHP,PNI,PNO,PPE,PIR,PLC,PND,Pr_60_65_03_86,Pr_60_65_03_87,Pr_60_65_37_27,Pr_60_70_36,Pr_60_75_86,Pr_65_50_35,Pr_65_52_01_02,Pr_65_52_63,Pr_65_53_24_86,Pr_65_53_86,Pr_40_70_75,Pr_40,Pr_40_10_77,Pr_40_30,Pr_40_30_25,Pr_60_50_96,Pr_30_59_36,Pr_30_59_48_04,Pr_30_59_72,Pr_30_59_98,SCH,SCW,SCF,SEL,SC-EN-HE-WV,SC-EN-HE-WC,SC-EN-HE-RE,SC-EN-HE-IN,SC-EN-HE-GC,SC-EN-HE-FI,SC-EN-HE-DO,SC-EN-HE-BR,SC-EN-HE-BB,RSL,RTU,RRS,ROO,RMP,Pr_65_70_11,Pr_65_70_46,Pr_65_72_27,Pr_65_72_43_01,Pr_70_55_97,Pr_65_65_24_29,Pr_65_65_24_68,Pr_65_65_24_78,Pr_65_65_24_95,Pr_65_65_25,Pr_75_50_18_17,Pr_70_75_04,Pr_70_60_36_73,Pr_70_65_03_02,Pr_70_65_03_42,Pr_70_65_04_02,Pr_70_65_04_03,Pr_80_51,PWK,PSU,PVM,Pr_80_77_27,Pr_80_77_28,Pr_80_77_28_60,Pr_80_77_76,PRP,PRL,PST,PSG,RDE,REX,RFL,NV-ES-ML,NV-ES-BR,NV-SL-PL-AM,NV-SL-PL,NV-SL-PL-FP,NV-SL-PL-HD,NV-SL-PL-HR,NV-SL-PL-LG,NV-SL-PL-LP,NV-SL-PL-MP,NV-SL-PL-RH,NV-SL-PL-SP,NV-SL-PL-ST,NV-SL-PL-WD,NV-SL-PL-WP,OCS,NV-ES-PL-EC,GRS,GRT,INS,HDW,HND,GSL,LHA,LNG,LOS,LNM,KRB,LDA,LEF,MHE,LSH,NSW,MNH,LUA,LSS,FAU,GLY,FND,FLR,GAT,GFL,EXJ,CPT,DTC,DWP,DEW,DCK,DLV,DRF,CLW,ADI,BLR,BRR,BER,BLD,CAV,CAB,CHB,CLM,AFI,ANC,ABT,BAS,APR,BEM,BNL,CPB,CPS,CTR,CUT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D-EA-EP-PD,PD-SR-CA-TR,PD-SR-LP-EB,PG-SR-MP-ES,PO-CA-VA-SO,PO-PL-LL-FL,PP-ME-CC-RT,PP-ME-CI-CP,Pr_75_80_30_04,Pr_75_80_30_50,Pr_75_80_30_65,Pr_75_80_30_97,PS-MM,PS-MM-MA-TR,FS-FF-EH,PS-SS-EE-CA,PS-SS-EE-JB,PS-SS-EE-MC,Pr_65_80_47</t>
  </si>
  <si>
    <t>Contractor</t>
  </si>
  <si>
    <t>Com_Cntrctr</t>
  </si>
  <si>
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NV-SL-GH,NV-SL-HD,NV-SL-ST,NV-SL-WD,NV-SL-WP,Pr_75_80_30_04,Pr_75_80_30_50,Pr_75_80_30_65,Pr_75_80_30_97,Pr_65_80_47</t>
  </si>
  <si>
    <t>Designer</t>
  </si>
  <si>
    <t>Com_Dsgnr</t>
  </si>
  <si>
    <t>NV-ES-PL-EC,NV-SL-PL-AM,NV-SL-PL-FP,NV-SL-PL-HD,NV-SL-PL-HR,NV-SL-PL-LG,NV-SL-PL-WP,NV-SL-PL-ST,NV-SL-PL-WD,NV-SL-PL-LP,NV-SL-PL-MP,NV-SL-PL-RH,NV-SL-PL-SP,NV-SL-GH,NV-SL-HD,NV-SL-ST,NV-SL-WD,NV-SL-WP</t>
  </si>
  <si>
    <t>Location</t>
  </si>
  <si>
    <t>Com_Lctn</t>
  </si>
  <si>
    <t>WLK,WPF,VET,VGS,VLV,WIS,WTS,WVC,ROO,RRS,RSL,RTU,SCF,SCW,SCH,SEL,PRP,PST,PVM,PSU,PWK,RFL,RDE,REX,PIR,PLC,PND,PPE,PNO,PNI,PHP,OPC,PCE,PIL,UTD,STR,STW,USS,UPN,UEF,TRG,TRS,TFS,TNK,TMW,SPL,SPK,SPC,SMP,DCK,DEW,DLV,DRF,CPT,DTC,DWP,OCS,GRT,GRS,GSL,INS,HDW,HND,LNG,LHA,LNM,LOS,LDA,LEF,KRB,NSW,MNH,LUA,LSS,LSH,MHE,GAT,FLR,FND,GLY,FAU,EXJ,CVS,CPS,CTR,CUT,BNL,CLW,ABT,ANC,BEM,APR,BAS,CLM,CHB,CAV,BLR,BRR,BLD,BER,RMP</t>
  </si>
  <si>
    <t>Reference Number</t>
  </si>
  <si>
    <t>Com_RfrncNmbr</t>
  </si>
  <si>
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</si>
  <si>
    <t>Changes Considered</t>
  </si>
  <si>
    <t>CM_Chg</t>
  </si>
  <si>
    <t>Configuration Management</t>
  </si>
  <si>
    <t>1MC06-HS2-EN-SPE-C002-000001-P04</t>
  </si>
  <si>
    <t>1MC06-HS2-EN-SPE-C002-000001-P05</t>
  </si>
  <si>
    <t>Contract Requirements Technical</t>
  </si>
  <si>
    <t>CM_CRT</t>
  </si>
  <si>
    <t>DRF,DLV,DEW,DCK,DWP,DTC,CPT,MNH,NSW,LUA,LSS,LSH,MHE,GRS,GRT,GSL,INS,HND,HDW,KRB,LEF,LDA,LNM,LOS,LHA,LNG,OCS,NV-SL-PL-WP,NV-SL-PL-WD,NV-SL-PL-ST,NV-SL-PL-SP,NV-SL-PL-RH,NV-SL-PL-MP,NV-SL-PL-LP,NV-SL-PL-LG,NV-SL-PL-HR,NV-SL-PL-HD,NV-SL-PL-FP,NV-SL-PL-AM,NV-SL-PL,NV-ES-PL-EC,NV-ES-BR,NV-ES-ML,EXJ,GFL,GAT,FND,FLR,GLY,FAU,CPB,BNL,ABT,ANC,AFI,BEM,BAS,APR,BRR,BLR,ADI,BLD,BER,CHB,CLM,CAV,CAB,CLW,CUT,CPS,CTR,CVS,Ss_20_05_15_70,Ss_25_45_12,Ss_25_15_60_60,SPC,SMP,SPL,SPK,Ss_15_30_17_14,USS,UEF,UPN,TRG,TRS,TNK,TFS,TMW,STW,STL,STR,Ss_75_40_02_11,UTD,Ss_75_40_02,Ss_32_80_90,Pr_30_59_98,Pr_30_59_72,Pr_30_59_48_04,Pr_30_59_36,Pr_60_50_96,Pr_40_70_75,Pr_40_30_25,Pr_40_30,Pr_40_10_77,Pr_40,Pr_65_53_86,Pr_65_53_24_86,Pr_65_52_63,Pr_65_52_01_02,Pr_65_50_35,Pr_60_75_86,Pr_60_70_36,Pr_60_65_37_27,Pr_60_65_03_87,Pr_60_65_03_86,PNI,PNO,PPE,PLC,PND,PIR,PHP,PCE,PIL,OPC,Pr_25_80_81,Pr_25_80_80,Pr_25_71_63,Pr_25_71_14,Pr_25_30_85,Pr_25_30_75,Pr_20_85_09,Pr_20_76_64,PVM,PSU,PWK,PRP,PRL,PST,PSG,Pr_80_77_76,Pr_80_77_28_60,Pr_80_77_28,Pr_80_77_27,REX,RDE,RFL,Pr_80_51,Pr_65_70_11,Pr_65_72_27,Pr_65_70_46,Pr_70_55_97,Pr_65_72_43_01,Pr_65_65_25,Pr_65_65_24_95,Pr_65_65_24_78,Pr_65_65_24_68,Pr_65_65_24_29,Pr_70_65_04_03,Pr_70_65_04_02,Pr_70_65_03_42,Pr_70_65_03_02,Pr_70_60_36_73,Pr_70_75_04,Pr_75_50_18_17,SEL,SCW,SCH,SCF,RSL,RTU,RMP,ROO,RRS,SC-EN-HE-WV,SC-EN-HE-WC,SC-EN-HE-RE,SC-EN-HE-IN,SC-EN-HE-GC,SC-EN-HE-FI,SC-EN-HE-DO,SC-EN-HE-BR,SC-EN-HE-BB,WPF,WLK,VLV,VET,VGS,WIS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</si>
  <si>
    <t>Is Configuration Item (Y/N)</t>
  </si>
  <si>
    <t>CM_ISCI</t>
  </si>
  <si>
    <t>Yes</t>
  </si>
  <si>
    <t>No</t>
  </si>
  <si>
    <t>WLK,WPF,VLV,VET,VGS,WIS,WVC,WTS,Ss_32_80_90,Ss_75_40_02,UTD,Ss_75_40_02_11,STW,STR,STL,TFS,TNK,TMW,TRS,TRG,USS,UPN,UEF,Ss_25_15_60_60,Ss_25_45_12,Ss_20_05_15_70,Ss_15_30_17_14,SPK,SPL,SPC,SMP,Pr_25_30_75,Pr_25_30_85,Pr_25_71_14,Pr_25_71_63,Pr_25_80_80,Pr_25_80_81,Pr_20_85_09,Pr_20_76_64,OPC,PIL,PCE,PHP,PNI,PNO,PPE,PIR,PLC,PND,Pr_60_65_03_86,Pr_60_65_03_87,Pr_60_65_37_27,Pr_60_70_36,Pr_60_75_86,Pr_65_50_35,Pr_65_52_01_02,Pr_65_52_63,Pr_65_53_24_86,Pr_65_53_86,Pr_40_70_75,Pr_40,Pr_40_10_77,Pr_40_30,Pr_40_30_25,Pr_60_50_96,Pr_30_59_36,Pr_30_59_48_04,Pr_30_59_72,Pr_30_59_98,SCH,SCW,SCF,SEL,SC-EN-HE-WV,SC-EN-HE-WC,SC-EN-HE-RE,SC-EN-HE-IN,SC-EN-HE-GC,SC-EN-HE-FI,SC-EN-HE-DO,SC-EN-HE-BR,SC-EN-HE-BB,RSL,RTU,RRS,ROO,RMP,Pr_65_70_11,Pr_65_70_46,Pr_65_72_27,Pr_65_72_43_01,Pr_70_55_97,Pr_65_65_24_29,Pr_65_65_24_68,Pr_65_65_24_78,Pr_65_65_24_95,Pr_65_65_25,Pr_75_50_18_17,Pr_70_75_04,Pr_70_60_36_73,Pr_70_65_03_02,Pr_70_65_03_42,Pr_70_65_04_02,Pr_70_65_04_03,Pr_80_51,PWK,PSU,PVM,Pr_80_77_27,Pr_80_77_28,Pr_80_77_28_60,Pr_80_77_76,PRP,PRL,PST,PSG,RDE,REX,RFL,NV-ES-ML,NV-ES-BR,NV-SL-PL-AM,NV-SL-PL,NV-SL-PL-FP,NV-SL-PL-HD,NV-SL-PL-HR,NV-SL-PL-LG,NV-SL-PL-LP,NV-SL-PL-MP,NV-SL-PL-RH,NV-SL-PL-SP,NV-SL-PL-ST,NV-SL-PL-WD,NV-SL-PL-WP,OCS,NV-ES-PL-EC,GRS,GRT,INS,HDW,HND,GSL,LHA,LNG,LOS,LNM,KRB,LDA,LEF,MHE,LSH,NSW,MNH,LUA,LSS,FAU,GLY,FND,FLR,GAT,GFL,EXJ,CPT,DTC,DWP,DEW,DCK,DLV,DRF,CLW,ADI,BLR,BRR,BER,BLD,CAV,CAB,CHB,CLM,AFI,ANC,ABT,BAS,APR,BEM,BNL,CPB,CPS,CTR,CUT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</si>
  <si>
    <t>Standards Baseline</t>
  </si>
  <si>
    <t>CM_StdBL</t>
  </si>
  <si>
    <t>P14</t>
  </si>
  <si>
    <t>P15</t>
  </si>
  <si>
    <t>P15.1</t>
  </si>
  <si>
    <t>USS,CPS</t>
  </si>
  <si>
    <t>Angle of Skew (degrees)</t>
  </si>
  <si>
    <t>AnglSkw</t>
  </si>
  <si>
    <t>LSH,LSS,LEF,USS,UEF,RMP</t>
  </si>
  <si>
    <t>Angle of Slope</t>
  </si>
  <si>
    <t>AnglSlp</t>
  </si>
  <si>
    <t>intAttr</t>
  </si>
  <si>
    <t>UEF,USS,TNK,SPL,GRT,LEF,LSS,LSH</t>
  </si>
  <si>
    <t>Backfill Material</t>
  </si>
  <si>
    <t>BckfllMtrl</t>
  </si>
  <si>
    <t>CTR,KRB,TNK</t>
  </si>
  <si>
    <t>Bedding Material</t>
  </si>
  <si>
    <t>BddngMtrl</t>
  </si>
  <si>
    <t>BS EN 124 class for gully top</t>
  </si>
  <si>
    <t>BSEN124Clss</t>
  </si>
  <si>
    <t>Clearance (Horizontal) (m)</t>
  </si>
  <si>
    <t>ClrncHrz</t>
  </si>
  <si>
    <t>Clearance (Vertical) (m)</t>
  </si>
  <si>
    <t>ClrncVrt</t>
  </si>
  <si>
    <t>Crossing Feature ID</t>
  </si>
  <si>
    <t>CrssngFtrID</t>
  </si>
  <si>
    <t>Cover Material</t>
  </si>
  <si>
    <t>CvrMtrl</t>
  </si>
  <si>
    <t>cast aluminium</t>
  </si>
  <si>
    <t>PVCu</t>
  </si>
  <si>
    <t>DRF,GRS,PPE,Pr_65_70_11,TNK</t>
  </si>
  <si>
    <t>Diameter (External) (mm)</t>
  </si>
  <si>
    <t>DmtrExtr</t>
  </si>
  <si>
    <t>TNK,PPE</t>
  </si>
  <si>
    <t>Diameter (Internal) (mm)</t>
  </si>
  <si>
    <t>DmtrIntr</t>
  </si>
  <si>
    <t>Diameter Internal (M)</t>
  </si>
  <si>
    <t>DmtrIntrnlM</t>
  </si>
  <si>
    <t>SMP,SPC,TNK,UEF,STR,PND,REX,PVM,Pr_75_50_18_17,RMP,RSL,BEM,CAV,CHB,CUT,LSS,LSH,GRT,LEF,NV-ES-PL-EC,EXJ,DCK</t>
  </si>
  <si>
    <t>Depth (m)</t>
  </si>
  <si>
    <t>Dpth</t>
  </si>
  <si>
    <t>LSS,DTC,PND</t>
  </si>
  <si>
    <t>Depth (average) (m)</t>
  </si>
  <si>
    <t>DpthAvg</t>
  </si>
  <si>
    <t>GRT,LSH,LSS,PPE,OPC</t>
  </si>
  <si>
    <t>Depth (Min) m</t>
  </si>
  <si>
    <t>DpthMn</t>
  </si>
  <si>
    <t>LSS,LSH,PPE,OPC</t>
  </si>
  <si>
    <t>Depth (max) (m)</t>
  </si>
  <si>
    <t>DpthMx</t>
  </si>
  <si>
    <t>MNH,PNO,PNI,PPE,VLV</t>
  </si>
  <si>
    <t>Design Flow (l/s)</t>
  </si>
  <si>
    <t>DsgnFlw</t>
  </si>
  <si>
    <t>VLV,PPE,PNI,PNO,MNH,GLY,DLV,DRF</t>
  </si>
  <si>
    <t>Design Flow Basis</t>
  </si>
  <si>
    <t>DsgnFlwBss</t>
  </si>
  <si>
    <t>WTS,WVC,WPF,WLK,WIS,VLV,VGS,VET,SMP,SPC,SPL,SPK,Ss_15_30_17_14,Ss_20_05_15_70,Ss_25_45_12,Ss_25_15_60_60,Ss_75_40_02,Ss_32_80_90,UTD,STL,STR,STW,Ss_75_40_02_11,TNK,TFS,TMW,UEF,UPN,USS,TRS,TRG,Pr_30_59_98,Pr_30_59_72,Pr_30_59_48_04,Pr_30_59_36,Pr_60_50_96,Pr_40_30_25,Pr_40_30,Pr_40_10_77,Pr_40,Pr_40_70_75,Pr_65_53_86,Pr_65_53_24_86,Pr_65_52_63,Pr_65_52_01_02,Pr_65_50_35,Pr_60_75_86,Pr_60_70_36,Pr_60_65_37_27,Pr_60_65_03_87,Pr_60_65_03_86,Pr_20_76_64,Pr_20_85_09,Pr_25_80_81,Pr_25_80_80,Pr_25_71_63,Pr_25_71_14,Pr_25_30_85,Pr_25_30_75,OPC,PIL,PCE,PHP,PPE,PNI,PNO,PIR,PND,PLC,SEL,SCF,SCW,SCH,SC-EN-HE-BB,SC-EN-HE-BR,SC-EN-HE-DO,SC-EN-HE-FI,SC-EN-HE-GC,SC-EN-HE-IN,SC-EN-HE-RE,SC-EN-HE-WC,SC-EN-HE-WV,RTU,RSL,RMP,ROO,RRS,Pr_70_65_04_03,Pr_70_65_04_02,Pr_70_65_03_42,Pr_70_65_03_02,Pr_70_60_36_73,Pr_70_75_04,Pr_75_50_18_17,Pr_65_65_25,Pr_65_65_24_95,Pr_65_65_24_78,Pr_65_65_24_68,Pr_65_65_24_29,Pr_70_55_97,Pr_65_72_43_01,Pr_65_72_27,Pr_65_70_46,Pr_65_70_11,Pr_80_51,PWK,PVM,PSU,Pr_80_77_76,Pr_80_77_28_60,Pr_80_77_28,Pr_80_77_27,PRL,PRP,PSG,PST,RFL,REX,RDE,NV-ES-BR,NV-ES-ML,NV-ES-PL-EC,NV-SL-PL-LG,NV-SL-PL-HR,NV-SL-PL-HD,NV-SL-PL-FP,NV-SL-PL,NV-SL-PL-AM,NV-SL-PL-SP,NV-SL-PL-RH,NV-SL-PL-MP,NV-SL-PL-LP,NV-SL-PL-WD,NV-SL-PL-ST,NV-SL-PL-WP,OCS,GRT,GRS,LEF,LDA,KRB,LNM,LOS,LNG,LHA,HND,HDW,INS,GSL,MHE,LSH,LSS,LUA,NSW,MNH,EXJ,FAU,GLY,GFL,GAT,FLR,FND,DWP,DTC,CPT,DRF,DLV,DEW,DCK,CLW,BRR,BLR,ADI,BER,BLD,CAB,CAV,CHB,CLM,AFI,ANC,ABT,APR,BAS,BEM,CPB,BNL,CUT,CTR,CPS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</si>
  <si>
    <t>Design Life</t>
  </si>
  <si>
    <t>DsgnLf</t>
  </si>
  <si>
    <t>LSS,LSH,USS,WTS</t>
  </si>
  <si>
    <t>Alignment (Elevation)</t>
  </si>
  <si>
    <t>ElvtnAlg</t>
  </si>
  <si>
    <t>External Perimeter</t>
  </si>
  <si>
    <t>ExtrnlPrmtr</t>
  </si>
  <si>
    <t>MNH,DRF,PPE,PNO,PNI,PND,TNK</t>
  </si>
  <si>
    <t>Flow Direction</t>
  </si>
  <si>
    <t>FlwDrctn</t>
  </si>
  <si>
    <t>N</t>
  </si>
  <si>
    <t>NE</t>
  </si>
  <si>
    <t>E</t>
  </si>
  <si>
    <t>SE</t>
  </si>
  <si>
    <t>S</t>
  </si>
  <si>
    <t>SW</t>
  </si>
  <si>
    <t>W</t>
  </si>
  <si>
    <t>NW</t>
  </si>
  <si>
    <t>Up</t>
  </si>
  <si>
    <t>Down</t>
  </si>
  <si>
    <t>CPS,CAV,CHB</t>
  </si>
  <si>
    <t>Finish Invert Level</t>
  </si>
  <si>
    <t>FnshInvrtLvl</t>
  </si>
  <si>
    <t>CTR,CPS,CVS,CAV,GRS,INS,LNG,NSW,ROO,STW,STR,WTS,WPF,WLK</t>
  </si>
  <si>
    <t>Fire Rating</t>
  </si>
  <si>
    <t>FrRtng</t>
  </si>
  <si>
    <t>DTC,DWP,MNH,NSW,HDW,GSL,LNM,LOS,OCS,FND,GAT,FAU,EXJ,BLD,BER,CLM,CHB,CAV,ABT,ANC,BEM,BAS,CPS,SEL,RTU,RSL,RRS,RMP,PSU,PWK,PRP,PST,RFL,REX,PCE,PIL,PIR,PLC,PPE,PNO,PNI,TRG,TRS,UPN,TNK,TMW,STW,STR,UTD,SPL,VET,VGS,VLV,WIS,WLK</t>
  </si>
  <si>
    <t>Dominant Grade of Material</t>
  </si>
  <si>
    <t>GdMt</t>
  </si>
  <si>
    <t>Gully Material</t>
  </si>
  <si>
    <t>GllyMtrl</t>
  </si>
  <si>
    <t>HDPE</t>
  </si>
  <si>
    <t>in-situ concrete</t>
  </si>
  <si>
    <t>precast concrete</t>
  </si>
  <si>
    <t>Gully Top Material</t>
  </si>
  <si>
    <t>GllyTpMtrl</t>
  </si>
  <si>
    <t>cast iron</t>
  </si>
  <si>
    <t>steel</t>
  </si>
  <si>
    <t>GRS,LSS,FND,PND</t>
  </si>
  <si>
    <t>Gross Perimeter (external)</t>
  </si>
  <si>
    <t>GrossPerimeterIExt</t>
  </si>
  <si>
    <t>LHA,LDA,GSL,GRS,LSS,LUA,LSH,FND,FLR,DLV,DCK,DEW,APR,BAS,CLM,BLD,CLW,PWK,PVM,RSL,ROO,PLC,PND,PIR,TMW,USS</t>
  </si>
  <si>
    <t>Gross Plan Area (external)</t>
  </si>
  <si>
    <t>GrossPlanAreaExt</t>
  </si>
  <si>
    <t>LSS,GRS</t>
  </si>
  <si>
    <t>Gross Plan Area (internal)</t>
  </si>
  <si>
    <t>GrossPlanAreaInt</t>
  </si>
  <si>
    <t>GRS,LSS,TRS</t>
  </si>
  <si>
    <t>Gross Surface Area (external)</t>
  </si>
  <si>
    <t>GrossSurfaceAreaExt</t>
  </si>
  <si>
    <t>TRS,LSS,GRS</t>
  </si>
  <si>
    <t>Gross Surface Area (internal)</t>
  </si>
  <si>
    <t>GrossSurfaceAreaInt</t>
  </si>
  <si>
    <t>KRB,GRS,LSS,FND,PND,TRS</t>
  </si>
  <si>
    <t>Gross Volume</t>
  </si>
  <si>
    <t>GrossVolume</t>
  </si>
  <si>
    <t>Gross Perimeter (Internal)</t>
  </si>
  <si>
    <t>GrssPrmtrIntrnl</t>
  </si>
  <si>
    <t>ANC,GRT,LDA,LHA,LSS,LUA,LSH</t>
  </si>
  <si>
    <t>Geotechnical Eurocode</t>
  </si>
  <si>
    <t>GtchnclErcd</t>
  </si>
  <si>
    <t>Geotechnical Category 1</t>
  </si>
  <si>
    <t>Geotechnical Category 2</t>
  </si>
  <si>
    <t>Geotechnical Category 3</t>
  </si>
  <si>
    <t>Geotechnical Category 4</t>
  </si>
  <si>
    <t>Geotechnical Category 5</t>
  </si>
  <si>
    <t>Geotechnical Category 6</t>
  </si>
  <si>
    <t>PND,ANC,GRT,LSH,LSS</t>
  </si>
  <si>
    <t>Geotextile</t>
  </si>
  <si>
    <t>Gtxtl</t>
  </si>
  <si>
    <t>NV-SL-PL-WP,NV-SL-PL-ST,NV-SL-PL-WD,NV-SL-PL-LP,NV-SL-PL-MP,NV-SL-PL-RH,NV-SL-PL-SP,NV-SL-PL-AM,NV-SL-PL,NV-SL-PL-FP,NV-SL-PL-HD,NV-SL-PL-HR,NV-SL-PL-LG,NV-SL-WD,NV-SL-GH,NV-SL-HD,NV-SL-WP</t>
  </si>
  <si>
    <t>Height of Flora at 15 Years</t>
  </si>
  <si>
    <t>Height</t>
  </si>
  <si>
    <t>RFL,GRS</t>
  </si>
  <si>
    <t>Height (Average) (m)</t>
  </si>
  <si>
    <t>HghtAvgm</t>
  </si>
  <si>
    <t>Height (Internal) (m)</t>
  </si>
  <si>
    <t>HghtIntm</t>
  </si>
  <si>
    <t>Height Min (M)</t>
  </si>
  <si>
    <t>HghtMn</t>
  </si>
  <si>
    <t>DLV,GRS,ABT,BAS,BEM,PSU,ROO,PIR,TRG,VET</t>
  </si>
  <si>
    <t>Height (max) (m)</t>
  </si>
  <si>
    <t>HghtMx</t>
  </si>
  <si>
    <t>DEW,DRF,MNH,USS,PNO,PNI,PVM,WTS,WPF</t>
  </si>
  <si>
    <t>Infiltration Potential</t>
  </si>
  <si>
    <t>InfltrtnPtntl</t>
  </si>
  <si>
    <t>PNI,PNO,DRF</t>
  </si>
  <si>
    <t>Inlet Level (mAoD)</t>
  </si>
  <si>
    <t>InltLvl</t>
  </si>
  <si>
    <t>DRF,PNO,PNI</t>
  </si>
  <si>
    <t>Inlet Point</t>
  </si>
  <si>
    <t>InltPnt</t>
  </si>
  <si>
    <t>Invert Level (mAoD)</t>
  </si>
  <si>
    <t>InvrtLvl</t>
  </si>
  <si>
    <t>CLW,KRB</t>
  </si>
  <si>
    <t>Kerb Height</t>
  </si>
  <si>
    <t>KrbHghtcm</t>
  </si>
  <si>
    <t>KRB,CLW</t>
  </si>
  <si>
    <t>Kerb Type</t>
  </si>
  <si>
    <t>KrbTyp</t>
  </si>
  <si>
    <t>HB1</t>
  </si>
  <si>
    <t>HB2</t>
  </si>
  <si>
    <t>HB3</t>
  </si>
  <si>
    <t>BN1</t>
  </si>
  <si>
    <t>BN2</t>
  </si>
  <si>
    <t>BN3</t>
  </si>
  <si>
    <t>SP1</t>
  </si>
  <si>
    <t>SP2</t>
  </si>
  <si>
    <t>SP3</t>
  </si>
  <si>
    <t>CD1</t>
  </si>
  <si>
    <t>CD2</t>
  </si>
  <si>
    <t>CD3</t>
  </si>
  <si>
    <t>CS1</t>
  </si>
  <si>
    <t>CS2</t>
  </si>
  <si>
    <t>CS3</t>
  </si>
  <si>
    <t>EF (Flat Top Edging)</t>
  </si>
  <si>
    <t>EBN (Bullnosed Edging)</t>
  </si>
  <si>
    <t>ER (Round Top Edge)</t>
  </si>
  <si>
    <t>STK1 (Natural Stone Kerb)</t>
  </si>
  <si>
    <t>STK2 (Natural Stone Kerb)</t>
  </si>
  <si>
    <t>STK3 (Natural Stone Kerb)</t>
  </si>
  <si>
    <t>DL1 (Drop Kerb)</t>
  </si>
  <si>
    <t>DL2 (Drop Kerb)</t>
  </si>
  <si>
    <t>DR1 (Drop Kerb)</t>
  </si>
  <si>
    <t>DR2 (Drop Kerb)</t>
  </si>
  <si>
    <t>TL (Transition Kerb)</t>
  </si>
  <si>
    <t>TR (Transition Kerb)</t>
  </si>
  <si>
    <t>Titan (High Containment Kerb)</t>
  </si>
  <si>
    <t>Trief (High Containment Kerb)</t>
  </si>
  <si>
    <t>HGV (High Containment Kerb)</t>
  </si>
  <si>
    <t>Lamp Type</t>
  </si>
  <si>
    <t>LmpTyp</t>
  </si>
  <si>
    <t>CDMT (Ceramic Discharge Metal-halide (CDMT))</t>
  </si>
  <si>
    <t>FLT (Fluorescent Tube)</t>
  </si>
  <si>
    <t>CFL (Compact Fluorescent (CFL))</t>
  </si>
  <si>
    <t>ESH (Energy Saving Halogen)</t>
  </si>
  <si>
    <t>INCDT (Incandescent)</t>
  </si>
  <si>
    <t>LED (LED)</t>
  </si>
  <si>
    <t>Length of Span (m)</t>
  </si>
  <si>
    <t>LnghtSpn</t>
  </si>
  <si>
    <t>FND,GRS,LSS</t>
  </si>
  <si>
    <t>Minimum Thickness (M)</t>
  </si>
  <si>
    <t>MnmmThcknssM</t>
  </si>
  <si>
    <t>LSS,GRS,SEL</t>
  </si>
  <si>
    <t>Minimum Thickness (mm)</t>
  </si>
  <si>
    <t>MnmmThcknssmm</t>
  </si>
  <si>
    <t>WLK,VET,SCF,RRS,RFL,TMW,TFS,TNK,STR,HND,CVS</t>
  </si>
  <si>
    <t>Mounting</t>
  </si>
  <si>
    <t>Mntng</t>
  </si>
  <si>
    <t>Driven Item</t>
  </si>
  <si>
    <t>Concrete Foundation</t>
  </si>
  <si>
    <t>Bolted</t>
  </si>
  <si>
    <t>Cast-in-Cradle / Anchor</t>
  </si>
  <si>
    <t>Welded</t>
  </si>
  <si>
    <t>Cast-in-Socket</t>
  </si>
  <si>
    <t>Supplier Design</t>
  </si>
  <si>
    <t>GRT,GRS,KRB,LEF,LDA,LOS,LNM,LNG,LHA,GSL,HND,HDW,INS,LSH,NSW,MNH,LSS,LUA,MHE,OCS,NV-SL-PL-WP,NV-SL-PL-ST,NV-SL-PL-WD,NV-SL-PL-LP,NV-SL-PL-MP,NV-SL-PL-RH,NV-SL-PL-SP,NV-SL-PL-AM,NV-SL-PL,NV-SL-PL-FP,NV-SL-PL-HD,NV-SL-PL-HR,NV-SL-PL-LG,NV-ES-PL-EC,NV-ES-BR,NV-ES-ML,GLY,GFL,GAT,FND,FLR,FAU,EXJ,DWP,DTC,CPT,DRF,DLV,DCK,DEW,BNL,CPB,BAS,APR,BEM,ANC,AFI,ABT,CAB,CAV,CHB,CLM,BER,BLD,BRR,ADI,BLR,CLW,CUT,CPS,CTR,CVS,SPL,SPK,Ss_15_30_17_14,SMP,SPC,Ss_25_15_60_60,Ss_25_45_12,Ss_20_05_15_70,UTD,STL,STR,STW,Ss_75_40_02_11,TMW,TNK,TFS,UEF,UPN,USS,TRS,TRG,Ss_32_80_90,Ss_75_40_02,PNI,PNO,PPE,PND,PLC,PIR,PHP,PIL,PCE,OPC,Pr_20_76_64,Pr_20_85_09,Pr_25_30_75,Pr_25_30_85,Pr_25_71_14,Pr_25_71_63,Pr_25_80_80,Pr_25_80_81,Pr_30_59_36,Pr_30_59_48_04,Pr_30_59_72,Pr_30_59_98,Pr_40_70_75,Pr_40,Pr_40_10_77,Pr_40_30,Pr_40_30_25,Pr_60_50_96,Pr_60_65_03_86,Pr_60_65_03_87,Pr_60_65_37_27,Pr_60_70_36,Pr_60_75_86,Pr_65_50_35,Pr_65_52_01_02,Pr_65_52_63,Pr_65_53_24_86,Pr_65_53_86,REX,RDE,RFL,PSG,PST,PRL,PRP,Pr_80_77_27,Pr_80_77_28,Pr_80_77_28_60,Pr_80_77_76,PWK,PSU,PVM,Pr_80_51,Pr_75_50_18_17,Pr_70_75_04,Pr_70_60_36_73,Pr_70_65_03_02,Pr_70_65_03_42,Pr_70_65_04_02,Pr_70_65_04_03,Pr_65_70_11,Pr_65_70_46,Pr_65_72_27,Pr_65_72_43_01,Pr_70_55_97,Pr_65_65_24_29,Pr_65_65_24_68,Pr_65_65_24_78,Pr_65_65_24_95,Pr_65_65_25,RMP,RRS,ROO,RSL,RTU,SC-EN-HE-WV,SC-EN-HE-WC,SC-EN-HE-RE,SC-EN-HE-IN,SC-EN-HE-GC,SC-EN-HE-FI,SC-EN-HE-DO,SC-EN-HE-BR,SC-EN-HE-BB,SEL,SCH,SCW,SCF,WLK,WPF,WIS,VLV,VGS,VET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</t>
  </si>
  <si>
    <t>DRF,PPE</t>
  </si>
  <si>
    <t>Material (Pipe)</t>
  </si>
  <si>
    <t>MtrlPp</t>
  </si>
  <si>
    <t>Asbestos</t>
  </si>
  <si>
    <t>Clay</t>
  </si>
  <si>
    <t>Concrete</t>
  </si>
  <si>
    <t>Metal</t>
  </si>
  <si>
    <t>Plastic</t>
  </si>
  <si>
    <t>Maximum depth of flow</t>
  </si>
  <si>
    <t>MxmmDpthOfFlw</t>
  </si>
  <si>
    <t>WLK,STR,FLR,LUA,CVS</t>
  </si>
  <si>
    <t>Maximum Loading</t>
  </si>
  <si>
    <t>MxmmLdng</t>
  </si>
  <si>
    <t>Maximum Permitted Height</t>
  </si>
  <si>
    <t>MxmmPrmttdHght</t>
  </si>
  <si>
    <t>WTS,CLW,PVM</t>
  </si>
  <si>
    <t>Maximum Permitted Width</t>
  </si>
  <si>
    <t>MxmmPrmttdWdthm</t>
  </si>
  <si>
    <t>RMP,STR,TMW,CVS,BNL,BER,GSL,DCK,CPT</t>
  </si>
  <si>
    <t>Maximum Permitted Weight</t>
  </si>
  <si>
    <t>MxmmPrmttdWght</t>
  </si>
  <si>
    <t>PND,GRS,LSS</t>
  </si>
  <si>
    <t>Net Perimeter (external)</t>
  </si>
  <si>
    <t>NetPerimeterExt</t>
  </si>
  <si>
    <t>Net Perimeter (internal)</t>
  </si>
  <si>
    <t>NetPerimeterInt</t>
  </si>
  <si>
    <t>PND,TMW,USS,GRS,LSS,LSH</t>
  </si>
  <si>
    <t>Net Plan Area (external)</t>
  </si>
  <si>
    <t>NetPlanAreaExt</t>
  </si>
  <si>
    <t>LSH,LSS,GRS</t>
  </si>
  <si>
    <t>Net Plan Area (internal)</t>
  </si>
  <si>
    <t>NetPlanAreaInt</t>
  </si>
  <si>
    <t>TRS,GRS,LSS</t>
  </si>
  <si>
    <t>Net Surface Area (external)</t>
  </si>
  <si>
    <t>NetSurfaceAreaExt</t>
  </si>
  <si>
    <t>LSS,GRS,TRS</t>
  </si>
  <si>
    <t>Net Surface Area (internal)</t>
  </si>
  <si>
    <t>NetSurfaceAreaInt</t>
  </si>
  <si>
    <t>TMW,TNK,TFS,USS,UEF,UPN,TRS,TRG,STW,STL,STR,Ss_75_40_02_11,UTD,Ss_32_80_90,Ss_75_40_02,SPL,SPK,Ss_15_30_17_14,SMP,SPC,Ss_20_05_15_70,Ss_25_15_60_60,Ss_25_45_12,PNO,PNI,PPE,PIR,PLC,PND,PHP,PCE,PIL,OPC,Pr_20_76_64,Pr_20_85_09,Pr_25_30_75,Pr_25_30_85,Pr_25_71_14,Pr_25_71_63,Pr_25_80_80,Pr_25_80_81,Pr_40_70_75,Pr_40,Pr_40_10_77,Pr_40_30,Pr_40_30_25,Pr_60_50_96,Pr_30_59_36,Pr_30_59_48_04,Pr_30_59_72,Pr_30_59_98,Pr_60_65_03_86,Pr_60_65_03_87,Pr_60_65_37_27,Pr_60_70_36,Pr_60_75_86,Pr_65_50_35,Pr_65_52_01_02,Pr_65_52_63,Pr_65_53_24_86,Pr_65_53_86,PST,PSG,PRL,PRP,Pr_80_77_27,Pr_80_77_28,Pr_80_77_28_60,Pr_80_77_76,PVM,PSU,PWK,RFL,RDE,REX,Pr_80_51,Pr_65_70_11,Pr_65_70_46,Pr_65_72_27,Pr_65_72_43_01,Pr_70_55_97,Pr_65_65_24_29,Pr_65_65_24_68,Pr_65_65_24_78,Pr_65_65_24_95,Pr_65_65_25,Pr_75_50_18_17,Pr_70_75_04,Pr_70_60_36_73,Pr_70_65_03_02,Pr_70_65_03_42,Pr_70_65_04_02,Pr_70_65_04_03,RRS,ROO,RMP,RTU,RSL,SC-EN-HE-BB,SC-EN-HE-BR,SC-EN-HE-DO,SC-EN-HE-FI,SC-EN-HE-GC,SC-EN-HE-IN,SC-EN-HE-RE,SC-EN-HE-WC,SC-EN-HE-WV,SCF,SCH,SCW,SEL,GLY,GFL,GAT,FND,FLR,FAU,EXJ,GRS,GRT,KRB,LEF,LDA,LHA,LNG,LOS,LNM,GSL,HDW,HND,INS,LSS,LUA,MNH,NSW,LSH,MHE,OCS,NV-SL-PL-WP,NV-SL-PL-ST,NV-SL-PL-WD,NV-SL-PL-LP,NV-SL-PL-MP,NV-SL-PL-RH,NV-SL-PL-SP,NV-SL-PL,NV-SL-PL-AM,NV-SL-PL-FP,NV-SL-PL-HD,NV-SL-PL-HR,NV-SL-PL-LG,NV-ES-PL-EC,NV-ES-ML,NV-ES-BR,DRF,DLV,DCK,DEW,DWP,DTC,CPT,CUT,CTR,CPS,CVS,CAB,CAV,CLM,CHB,BRR,ADI,BLR,BLD,BER,ABT,ANC,AFI,BEM,BAS,APR,CLW,BNL,CPB,VLV,VET,VGS,WIS,WPF,WLK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</t>
  </si>
  <si>
    <t>Net Volume</t>
  </si>
  <si>
    <t>Nominal Diameter (m)</t>
  </si>
  <si>
    <t>NmnlDmtr</t>
  </si>
  <si>
    <t>OCS,PNI,PNO</t>
  </si>
  <si>
    <t>Outfall ID</t>
  </si>
  <si>
    <t>OtfllID</t>
  </si>
  <si>
    <t>PNO,PNI,MNH</t>
  </si>
  <si>
    <t>Outfall Level (mAoD)</t>
  </si>
  <si>
    <t>OtfllLvl</t>
  </si>
  <si>
    <t>MNH,DRF,PNI,PNO</t>
  </si>
  <si>
    <t>Outflow Rate (l/s)</t>
  </si>
  <si>
    <t>OtflwRt</t>
  </si>
  <si>
    <t>Planting Interval</t>
  </si>
  <si>
    <t>PlntngInrvl</t>
  </si>
  <si>
    <t>GRS,NV-SL-PL-WP,NV-SL-PL-WD,NV-SL-PL-ST,NV-SL-PL-SP,NV-SL-PL-RH,NV-SL-PL-MP,NV-SL-PL-LP,NV-SL-PL-LG,NV-SL-PL-HR,NV-SL-PL-HD,NV-SL-PL-FP,NV-SL-PL-AM,NV-SL-PL,NV-SL-WD,NV-SL-GH,NV-SL-HD,NV-SL-WP</t>
  </si>
  <si>
    <t>Planting Type</t>
  </si>
  <si>
    <t>PlntngTyp</t>
  </si>
  <si>
    <t>AH</t>
  </si>
  <si>
    <t>AN</t>
  </si>
  <si>
    <t>AS</t>
  </si>
  <si>
    <t>AW</t>
  </si>
  <si>
    <t>BS</t>
  </si>
  <si>
    <t>BSR</t>
  </si>
  <si>
    <t>CE</t>
  </si>
  <si>
    <t>EW</t>
  </si>
  <si>
    <t>EWC</t>
  </si>
  <si>
    <t>EWH</t>
  </si>
  <si>
    <t>FPR</t>
  </si>
  <si>
    <t>FPU</t>
  </si>
  <si>
    <t>GA</t>
  </si>
  <si>
    <t>GC</t>
  </si>
  <si>
    <t>GG</t>
  </si>
  <si>
    <t>GMS</t>
  </si>
  <si>
    <t>Gr</t>
  </si>
  <si>
    <t>GVb</t>
  </si>
  <si>
    <t>GW</t>
  </si>
  <si>
    <t>GWP</t>
  </si>
  <si>
    <t>HEH</t>
  </si>
  <si>
    <t>HEL</t>
  </si>
  <si>
    <t>HEM</t>
  </si>
  <si>
    <t>HH</t>
  </si>
  <si>
    <t>HL</t>
  </si>
  <si>
    <t>HLP</t>
  </si>
  <si>
    <t>HM</t>
  </si>
  <si>
    <t>HQ</t>
  </si>
  <si>
    <t>HS</t>
  </si>
  <si>
    <t>HT</t>
  </si>
  <si>
    <t>LHS</t>
  </si>
  <si>
    <t>LS</t>
  </si>
  <si>
    <t>ME</t>
  </si>
  <si>
    <t>RL</t>
  </si>
  <si>
    <t>Sp</t>
  </si>
  <si>
    <t>TH</t>
  </si>
  <si>
    <t>WC</t>
  </si>
  <si>
    <t>WL</t>
  </si>
  <si>
    <t>WM</t>
  </si>
  <si>
    <t>WQ</t>
  </si>
  <si>
    <t>WW</t>
  </si>
  <si>
    <t>WWA</t>
  </si>
  <si>
    <t>WWB</t>
  </si>
  <si>
    <t>WWC</t>
  </si>
  <si>
    <t>WWF</t>
  </si>
  <si>
    <t>WWG</t>
  </si>
  <si>
    <t>WWM</t>
  </si>
  <si>
    <t>PIL,SPL</t>
  </si>
  <si>
    <t>Pile Section Details</t>
  </si>
  <si>
    <t>PlSctnDtls</t>
  </si>
  <si>
    <t>PST,DRF</t>
  </si>
  <si>
    <t>Pump Duties (l/s)</t>
  </si>
  <si>
    <t>PmpDts</t>
  </si>
  <si>
    <t>Pumping Head (Metre)</t>
  </si>
  <si>
    <t>PmpngHd</t>
  </si>
  <si>
    <t>DRF,PST</t>
  </si>
  <si>
    <t>Pump Type</t>
  </si>
  <si>
    <t>PmpTyp</t>
  </si>
  <si>
    <t>Pipe Size</t>
  </si>
  <si>
    <t>PpSz</t>
  </si>
  <si>
    <t>Pipe Type</t>
  </si>
  <si>
    <t>PpTyp</t>
  </si>
  <si>
    <t>Carrier</t>
  </si>
  <si>
    <t>Filter</t>
  </si>
  <si>
    <t>Combined</t>
  </si>
  <si>
    <t>Rising</t>
  </si>
  <si>
    <t>Fin</t>
  </si>
  <si>
    <t>Culvert</t>
  </si>
  <si>
    <t>NV-SL-PL-LG,NV-SL-PL-HR,NV-SL-PL-HD,NV-SL-PL-FP,NV-SL-PL,NV-SL-PL-AM,NV-SL-PL-SP,NV-SL-PL-RH,NV-SL-PL-MP,NV-SL-PL-LP,NV-SL-PL-WD,NV-SL-PL-ST,NV-SL-PL-WP,NV-SL-WD,NV-SL-GH,NV-SL-HD,NV-SL-WP</t>
  </si>
  <si>
    <t>Planting details Number or Spacing</t>
  </si>
  <si>
    <t>QuantityDetails</t>
  </si>
  <si>
    <t>Rodding Eye Material</t>
  </si>
  <si>
    <t>RddngEyMtrl</t>
  </si>
  <si>
    <t>KRB,CLW,REX,RFL,GAT</t>
  </si>
  <si>
    <t>Road Name</t>
  </si>
  <si>
    <t>RdNm</t>
  </si>
  <si>
    <t>RFL,REX,CLW,KRB</t>
  </si>
  <si>
    <t>Road Number</t>
  </si>
  <si>
    <t>RdNmbr</t>
  </si>
  <si>
    <t>KRB,CLW,RFL,PVM</t>
  </si>
  <si>
    <t>Road or Footpath Surface</t>
  </si>
  <si>
    <t>RdSrfc</t>
  </si>
  <si>
    <t>CPB,CAV,CLM,BRR,APR,BAS,BEM,ABT,DCK,DWP,FLR,FND,INS,GSL,NSW,LSH,PRP,ROO,RSL,RTU,SEL,PLC,PIR,PIL,STR,STW,PCE</t>
  </si>
  <si>
    <t>Rebar Density</t>
  </si>
  <si>
    <t>RebarDensity</t>
  </si>
  <si>
    <t>STW,PIL,PIR,PLC,SEL,RTU,RSL,PRP,LSH,NSW,GSL,INS,FND,FLR,DCK,ABT,BEM,BAS,APR,BRR,CLM,CAV,CPB,DWP,PCE,ROO,STR</t>
  </si>
  <si>
    <t>Rebar Volume</t>
  </si>
  <si>
    <t>RebarVolume</t>
  </si>
  <si>
    <t>Retained Height</t>
  </si>
  <si>
    <t>RtndHght</t>
  </si>
  <si>
    <t>RTU,SEL,LNG,CPS</t>
  </si>
  <si>
    <t>Secondary Lining Element Type</t>
  </si>
  <si>
    <t>ScndryLnngElmntTyp</t>
  </si>
  <si>
    <t>CIC - Low Corrision Reinforced</t>
  </si>
  <si>
    <t>CIC - Steel Bar Reinforcement</t>
  </si>
  <si>
    <t>SC - Low Corrosion Reinforced</t>
  </si>
  <si>
    <t>SC - Steel Bar Reinforcement</t>
  </si>
  <si>
    <t>SPC - Low Corrosion Reinforced</t>
  </si>
  <si>
    <t>SPC - Steel Bar Reinforcement</t>
  </si>
  <si>
    <t>USS,CLW,CUT,LSH,LSS,GFL</t>
  </si>
  <si>
    <t>Side Slope (1 in xx)</t>
  </si>
  <si>
    <t>SdSlp</t>
  </si>
  <si>
    <t>Speed Limit</t>
  </si>
  <si>
    <t>SpdLmt</t>
  </si>
  <si>
    <t>CLW,APR,WTS</t>
  </si>
  <si>
    <t>Surfacing Colour</t>
  </si>
  <si>
    <t>SrfcngClr</t>
  </si>
  <si>
    <t>LNG,PPE,RTU</t>
  </si>
  <si>
    <t>Surround Material</t>
  </si>
  <si>
    <t>SrrndMtrl</t>
  </si>
  <si>
    <t>Granular</t>
  </si>
  <si>
    <t>VLV,VET,UTD,TFS,TMW,TRS,PCE,PNI,PNO,PIR,PLC,RSL,RRS,PWK,PSU,PST,RDE,OCS,GSL,MNH,GLY,FND,DCK,BLD,CLM,ANC,ABT,BAS,BEM</t>
  </si>
  <si>
    <t>Structure Type</t>
  </si>
  <si>
    <t>StrctrlT</t>
  </si>
  <si>
    <t>LSH,LUA,LSS,GRS,LDA,LHA,LNG,GSL,USS,STR,PRP,RMP,WTS</t>
  </si>
  <si>
    <t>Thickness (max) (M)</t>
  </si>
  <si>
    <t>ThcknssMxM</t>
  </si>
  <si>
    <t>APR,CLM,CLW,LNG,LHA,LDA,GRT,GRS,LSS,LUA,LSH,DLV,RTU,SEL,PVM,USS,WTS,WPF,VGS</t>
  </si>
  <si>
    <t>Thickness (Average) (m)</t>
  </si>
  <si>
    <t>ThknsAvg</t>
  </si>
  <si>
    <t>Average Thickness (Millimetre)</t>
  </si>
  <si>
    <t>ThknsAvgMM</t>
  </si>
  <si>
    <t>RTU,SEL,LNM</t>
  </si>
  <si>
    <t>Thickness of Lining (mm)</t>
  </si>
  <si>
    <t>ThknsLng</t>
  </si>
  <si>
    <t>LNM,KRB</t>
  </si>
  <si>
    <t>Third Party Name</t>
  </si>
  <si>
    <t>ThrdPrty</t>
  </si>
  <si>
    <t>DLV,DRF,PND</t>
  </si>
  <si>
    <t>Total Flood Storage Volume estimate (m3)</t>
  </si>
  <si>
    <t>TtlFldStrgVlmEstmt</t>
  </si>
  <si>
    <t>Total Number of Luminaire</t>
  </si>
  <si>
    <t>TtlNmbrOfLmnr</t>
  </si>
  <si>
    <t>WLK,VET,WTS,PIR,PCE,OPC,RSL,RTU,SEL,CTR,APR,BAS,CLM,BRR,FLR,FND,GSL,HDW,INS,LSS,DLV</t>
  </si>
  <si>
    <t>Width Min (M)</t>
  </si>
  <si>
    <t>WdthMn</t>
  </si>
  <si>
    <t>WLK,VET,WTS,TRS,UPN,SMP,PIR,PCE,OPC,ROO,RTU,RSL,SEL,CTR,BAS,APR,ABT,CLM,BRR,FND,FLR,INS,HDW,GSL,LSS,DLV</t>
  </si>
  <si>
    <t>Width Max (m)</t>
  </si>
  <si>
    <t>WdthMx</t>
  </si>
  <si>
    <t>Weight (kg)</t>
  </si>
  <si>
    <t>WghtKg</t>
  </si>
  <si>
    <t>DTC,CLW,TRS</t>
  </si>
  <si>
    <t>Width Average (m)</t>
  </si>
  <si>
    <t>WidthAvrgm</t>
  </si>
  <si>
    <t>WTS,DRF,SMP</t>
  </si>
  <si>
    <t>Wet Well Volume</t>
  </si>
  <si>
    <t>WtWllVlm</t>
  </si>
  <si>
    <t>Essential/Non-Essential Supply</t>
  </si>
  <si>
    <t>EssntlNnEssntlSppl</t>
  </si>
  <si>
    <t>Railway Systems</t>
  </si>
  <si>
    <t>Essential Supply (Essential Supply)</t>
  </si>
  <si>
    <t>Non-Essential Supply (Non-Essential Supply)</t>
  </si>
  <si>
    <t>VGS,GRS,LEF,HND,HDW,INS,NSW,GFL,GAT,FND,BRR,BLD,CAV,CLM,CTR,CVS,UEF,TNK,STW,PRP,Pr_75_50_18_17,RMP,PLC,PCE</t>
  </si>
  <si>
    <t>Height (m)</t>
  </si>
  <si>
    <t>Hghtm</t>
  </si>
  <si>
    <t>CVS,CPS,CTR,CUT,BEM,BAS,APR,ABT,CLM,CHB,CAV,BRR,CLW,DEW,DRF,DTC,FND,FLR,GFL,EXJ,NSW,LUA,LSS,LSH,GSL,INS,HND,LHA,LNG,LOS,LNM,KRB,LDA,LEF,GRT,REX,PRP,PSU,PVM,ROO,RMP,RTU,SEL,PLC,PND,PIR,PPE,PCE,PIL,OPC,TRG,TRS,USS,UPN,UEF,TNK,STW,STR,SPL,SMP,VET,VGS,WLK,WPF,WTS</t>
  </si>
  <si>
    <t>Length (m)</t>
  </si>
  <si>
    <t>Lngthm</t>
  </si>
  <si>
    <t>Pr_40_70_75,Pr_65_70_11,Pr_75_50_18_17</t>
  </si>
  <si>
    <t>Manufacturer's Part Number</t>
  </si>
  <si>
    <t>MnfctrPrtNmbr</t>
  </si>
  <si>
    <t>Mounting Type</t>
  </si>
  <si>
    <t>MntngTp</t>
  </si>
  <si>
    <t>RECESSED (Recessed)</t>
  </si>
  <si>
    <t>SURFACE (Surface Mount)</t>
  </si>
  <si>
    <t>Number of doors served</t>
  </si>
  <si>
    <t>NbrDrsSrvd</t>
  </si>
  <si>
    <t>One Door (One Door)</t>
  </si>
  <si>
    <t>Two Door (Two Door)</t>
  </si>
  <si>
    <t>Power supply (V/ph/hz)</t>
  </si>
  <si>
    <t>PwrSppl</t>
  </si>
  <si>
    <t>Width (Metre)</t>
  </si>
  <si>
    <t>WdthM</t>
  </si>
  <si>
    <t>Is of interest to VMS</t>
  </si>
  <si>
    <t>VMS_IsVMS</t>
  </si>
  <si>
    <t>Vehicle Monitoring System</t>
  </si>
  <si>
    <t>No (No)</t>
  </si>
  <si>
    <t>Yes (Yes)</t>
  </si>
  <si>
    <t>FS-ES-ED,FS-PS-CS-DA-RT,PC-PS-BC-BT,PC-PS-DB-DB,PC-PS-HV-SW,PC-PS-HV-VT,PD-EA-EP-PD,PD-SR-CA-TR,PD-SR-LP-EB,PG-SR-MP-ES,PO-CA-VA-SO,PO-PL-LL-FL,PP-ME-CC-RT,PP-ME-CI-CP,PS-MM,PS-MM-MA-TR,FS-FF-EH,PS-SS-EE-CA,PS-SS-EE-JB,PS-SS-EE-MC</t>
  </si>
  <si>
    <t>Asset Status</t>
  </si>
  <si>
    <t>O&amp;M_AsstSts</t>
  </si>
  <si>
    <t>Operations and Maintenance</t>
  </si>
  <si>
    <t>AB (Abandoned - Asset that is not in use and is not planned to be recommissioned)</t>
  </si>
  <si>
    <t>DM (Demolished - Former asset that has been removed but where foundations and below ground structures may remain)</t>
  </si>
  <si>
    <t>HO (Handed over to others - An asset that has been handed over for other parties to maintain)</t>
  </si>
  <si>
    <t>MO (Mothballed - Asset that is not in use and has been protected/ left in a state where recommissioning could be achieved without extensive effort)</t>
  </si>
  <si>
    <t>OP (Operational - Permanent asset handed over for operational use and maintenance)</t>
  </si>
  <si>
    <t>PL (Planned - Planned asset where construction activities have not commenced)</t>
  </si>
  <si>
    <t>SP (Spare - Asset that is not operational but is intended to replace an operational asset in case of asset failure)</t>
  </si>
  <si>
    <t>Temp (Temporary - Asset that is in use but not intended for handover for operational use)</t>
  </si>
  <si>
    <t>WIP (Work in Progress - Planned asset where construction has commenced but asset is not handed over)</t>
  </si>
  <si>
    <t>Gate ID</t>
  </si>
  <si>
    <t>GtID</t>
  </si>
  <si>
    <t>Construction Logistics</t>
  </si>
  <si>
    <t>Junction Modification</t>
  </si>
  <si>
    <t>JnctnMdfctn</t>
  </si>
  <si>
    <t>N (No)</t>
  </si>
  <si>
    <t>Y (Yes)</t>
  </si>
  <si>
    <t>Number of Vehicles</t>
  </si>
  <si>
    <t>NmbrfVhcls</t>
  </si>
  <si>
    <t>Site Compound ID</t>
  </si>
  <si>
    <t>SteCmpndID</t>
  </si>
  <si>
    <t>Site Name</t>
  </si>
  <si>
    <t>StNm</t>
  </si>
  <si>
    <t>boolAttr</t>
  </si>
  <si>
    <t>USRN</t>
  </si>
  <si>
    <t>IfcPresentationLayer</t>
  </si>
  <si>
    <t>IfcExportAs</t>
  </si>
  <si>
    <t>IfcName</t>
  </si>
  <si>
    <t>Assetclassificationhierarchy</t>
  </si>
  <si>
    <t>* list adjusted to elements with data requirements in the AIMS data dictionary</t>
  </si>
  <si>
    <t>Comment</t>
  </si>
  <si>
    <t>Classificationcode</t>
  </si>
  <si>
    <t>Abutment (End Support)</t>
  </si>
  <si>
    <t>Adits</t>
  </si>
  <si>
    <t>Auxiliary Fencing Items</t>
  </si>
  <si>
    <t>Anchor</t>
  </si>
  <si>
    <t>Apron</t>
  </si>
  <si>
    <t>Base</t>
  </si>
  <si>
    <t>Beam</t>
  </si>
  <si>
    <t>Bearings</t>
  </si>
  <si>
    <t>Bollards</t>
  </si>
  <si>
    <t>Bailer</t>
  </si>
  <si>
    <t>Bin Lifter</t>
  </si>
  <si>
    <t>Barrier</t>
  </si>
  <si>
    <t>Cable</t>
  </si>
  <si>
    <t>Caverns</t>
  </si>
  <si>
    <t>Chamber</t>
  </si>
  <si>
    <t>Column</t>
  </si>
  <si>
    <t>Footways / Cycleways</t>
  </si>
  <si>
    <t>Capping Beam</t>
  </si>
  <si>
    <t>Cross Passages</t>
  </si>
  <si>
    <t>Compactor</t>
  </si>
  <si>
    <t>Cable Trough (Including Lid) (Do not use - Withdrawn - Replaced by PD-SR-CA-TR)</t>
  </si>
  <si>
    <t>Cut</t>
  </si>
  <si>
    <t>Conveyor System</t>
  </si>
  <si>
    <t>Deck</t>
  </si>
  <si>
    <t>Dewatering / Depressurisation</t>
  </si>
  <si>
    <t>Dam/Levee</t>
  </si>
  <si>
    <t>Drainage Feature</t>
  </si>
  <si>
    <t>Ditch</t>
  </si>
  <si>
    <t>Diaphragm wall panel</t>
  </si>
  <si>
    <t>Expansion Joint</t>
  </si>
  <si>
    <t>Fauna Elements</t>
  </si>
  <si>
    <t>Floor</t>
  </si>
  <si>
    <t>Post Foundation (Withdrawn - Do Not Use)</t>
  </si>
  <si>
    <t>Electricity distribution systems</t>
  </si>
  <si>
    <t>Equipment housing system</t>
  </si>
  <si>
    <t>CMS remote terminal unit system</t>
  </si>
  <si>
    <t>Gates (including posts)</t>
  </si>
  <si>
    <t>General Fill</t>
  </si>
  <si>
    <t>Gully</t>
  </si>
  <si>
    <t>Grassed Elements</t>
  </si>
  <si>
    <t>Ground Improvement/ Ground Treatment</t>
  </si>
  <si>
    <t>Ground Slab</t>
  </si>
  <si>
    <t>Headwall</t>
  </si>
  <si>
    <t>Handrail</t>
  </si>
  <si>
    <t>Helipad</t>
  </si>
  <si>
    <t>Internal Structures</t>
  </si>
  <si>
    <t>Kerbs</t>
  </si>
  <si>
    <t>Laydown Area</t>
  </si>
  <si>
    <t>Lower Embankment Fill</t>
  </si>
  <si>
    <t>Lorry Holding Area</t>
  </si>
  <si>
    <t>Primary Tunnel Lining</t>
  </si>
  <si>
    <t>Line Marking</t>
  </si>
  <si>
    <t>Lower Side Slopes</t>
  </si>
  <si>
    <t>Landscaping (Hard)</t>
  </si>
  <si>
    <t>Landscape (Soft)</t>
  </si>
  <si>
    <t>Loading/Unloading Area</t>
  </si>
  <si>
    <t>Materials Handling Equipment</t>
  </si>
  <si>
    <t>Manhole</t>
  </si>
  <si>
    <t>Non Structural Wall</t>
  </si>
  <si>
    <t>Bat Structures</t>
  </si>
  <si>
    <t>Mammal Ledge</t>
  </si>
  <si>
    <t>Ecological Mitigation Ponds</t>
  </si>
  <si>
    <t>Grassland</t>
  </si>
  <si>
    <t>Hedgerow</t>
  </si>
  <si>
    <t>Planting</t>
  </si>
  <si>
    <t>Meadow (Do not use - Withdrawn as per TCR1118 - Replaced by NV-SL-GH)</t>
  </si>
  <si>
    <t>Feature Planting (Do not use - Withdrawn as per TCR1118 - Replaced by NV-SL-ST)</t>
  </si>
  <si>
    <t>Hedgerow (Do not use - Withdrawn as per TCR1118 - Replaced by NV-SL-HD)</t>
  </si>
  <si>
    <t>Herbaceous (Do not use - Withdrawn as per TCR1118 - Replaced by NV-SL-GH)</t>
  </si>
  <si>
    <t>Amenity grassland (Do not use - Withdrawn as per TCR1118 - Replaced by NV-SL-GH)</t>
  </si>
  <si>
    <t>Landscape Planting (Do not use - Withdrawn as per TCR1118)</t>
  </si>
  <si>
    <t>Marginal planting (Do not use - Withdrawn as per TCR1118 - Replaced by NV-SL-WP)</t>
  </si>
  <si>
    <t>Retained Habitats (Do not use - Withdrawn as per TCR1118)</t>
  </si>
  <si>
    <t>Screen Planting (Do not use - Withdrawn as per TCR1118 - Replaced by NV-SL-WD)</t>
  </si>
  <si>
    <t>Tree (Do not use - Withdrawn as per TCR1118 - Replaced by NV-SL-ST)</t>
  </si>
  <si>
    <t>Woodland Planting (Do not use - Withdrawn as per TCR1118 - Replaced by NV-SL-WD)</t>
  </si>
  <si>
    <t>Wetland planting (Do not use - Withdrawn as per TCR1118 - Replaced by NV-SL-WP)</t>
  </si>
  <si>
    <t>Tree</t>
  </si>
  <si>
    <t>Woodland</t>
  </si>
  <si>
    <t>Wetland</t>
  </si>
  <si>
    <t>Outflow/Control Structure</t>
  </si>
  <si>
    <t>Open Channel</t>
  </si>
  <si>
    <t>PreCast Element</t>
  </si>
  <si>
    <t>Battery</t>
  </si>
  <si>
    <t>Distribution board</t>
  </si>
  <si>
    <t>Switchgear</t>
  </si>
  <si>
    <t>Voltage transformer</t>
  </si>
  <si>
    <t>Flow control device</t>
  </si>
  <si>
    <t>Protective device</t>
  </si>
  <si>
    <t>Cable trough</t>
  </si>
  <si>
    <t>Earth bar</t>
  </si>
  <si>
    <t>Equipment support structure</t>
  </si>
  <si>
    <t>3-Phase Power</t>
  </si>
  <si>
    <t>Pile</t>
  </si>
  <si>
    <t>Pier (Intermediate Support)</t>
  </si>
  <si>
    <t>PileCap</t>
  </si>
  <si>
    <t>Pond</t>
  </si>
  <si>
    <t>Pond Inlet</t>
  </si>
  <si>
    <t>Pond Outlet</t>
  </si>
  <si>
    <t>Sounder</t>
  </si>
  <si>
    <t>Fixed luminary</t>
  </si>
  <si>
    <t>Pipe</t>
  </si>
  <si>
    <t>Remote terminal unit equipment</t>
  </si>
  <si>
    <t>Control panel</t>
  </si>
  <si>
    <t>Geosynthetic clay liners (GCLs)</t>
  </si>
  <si>
    <t>Plastics geogrids</t>
  </si>
  <si>
    <t>Portland cements</t>
  </si>
  <si>
    <t>Designed concrete (WITHDRAWN as per TCR112- Do Not Use)</t>
  </si>
  <si>
    <t>Posts and post accessories</t>
  </si>
  <si>
    <t>Brackets (Do not use - Withdrawn - Replaced by PG-SR-BR)</t>
  </si>
  <si>
    <t>Concrete plinth units</t>
  </si>
  <si>
    <t>Safety cages</t>
  </si>
  <si>
    <t>Stair and ladder units (Do not use - Withdrawn as per TCR1518)</t>
  </si>
  <si>
    <t>Access ladders</t>
  </si>
  <si>
    <t>Drainage access chamber ladders</t>
  </si>
  <si>
    <t>Traffic islands</t>
  </si>
  <si>
    <t>Cladding and lining panels</t>
  </si>
  <si>
    <t>Carbon steel sheets</t>
  </si>
  <si>
    <t>Plastics-based boards and sheets</t>
  </si>
  <si>
    <t>Phenolic foam boards</t>
  </si>
  <si>
    <t>Smoke and fire cavity barriers</t>
  </si>
  <si>
    <t>Smoke and fire stopping</t>
  </si>
  <si>
    <t>Doorsets</t>
  </si>
  <si>
    <t>Hatches and access panels</t>
  </si>
  <si>
    <t>Aluminium louvre panel units</t>
  </si>
  <si>
    <t>Rooflights</t>
  </si>
  <si>
    <t>Ventilation ducts</t>
  </si>
  <si>
    <t>Window units</t>
  </si>
  <si>
    <t>Signage, sanitary fittings and fittings, furnishing and equipment (FF&amp;E) products</t>
  </si>
  <si>
    <t>Signs and markers</t>
  </si>
  <si>
    <t>Fittings</t>
  </si>
  <si>
    <t>Display and presentation fittings</t>
  </si>
  <si>
    <t>Storage units and cupboards</t>
  </si>
  <si>
    <t>Safety equipment</t>
  </si>
  <si>
    <t>High-pressure fire-extinguishing gas storage cylinders</t>
  </si>
  <si>
    <t>Water tanks and cisterns (Do not use - Withdrawn as per TCR1518)</t>
  </si>
  <si>
    <t>Supply air handling units</t>
  </si>
  <si>
    <t>Supply and return air handling units</t>
  </si>
  <si>
    <t>Electric heater batteries</t>
  </si>
  <si>
    <t>Cubicle switchboards</t>
  </si>
  <si>
    <t>Distribution boards (Do not use - Withdrawn - Replaced by PC-PS-DB-DB)</t>
  </si>
  <si>
    <t>High-voltage switchgear and transformers (Do not use - Withdrawn - Replaced by PC-PS-HV)</t>
  </si>
  <si>
    <t>Automatic transfer switching equipment (TSE)</t>
  </si>
  <si>
    <t>Low voltage switch disconnectors</t>
  </si>
  <si>
    <t>Uninterruptible power supply (UPS) units</t>
  </si>
  <si>
    <t>Surveillance cameras, monitors and ancillaries (Do not use - Withdrawn - Replaced by PC-CS-SC-CA)</t>
  </si>
  <si>
    <t>Gutters and accessories</t>
  </si>
  <si>
    <t>Access covers and frames</t>
  </si>
  <si>
    <t>Manhole covers and frames</t>
  </si>
  <si>
    <t>Pipes and fittings</t>
  </si>
  <si>
    <t>Stainless steel pipeline fittings</t>
  </si>
  <si>
    <t>Steel pipelines</t>
  </si>
  <si>
    <t>Submersible pumps</t>
  </si>
  <si>
    <t>Supply and exhaust pumps</t>
  </si>
  <si>
    <t>Inlet breechings</t>
  </si>
  <si>
    <t>Fire and smoke dampers</t>
  </si>
  <si>
    <t>Pressure relief dampers</t>
  </si>
  <si>
    <t>Shut off dampers</t>
  </si>
  <si>
    <t>Volume control dampers</t>
  </si>
  <si>
    <t>Ductwork and fittings</t>
  </si>
  <si>
    <t>Rectangular sheet metal ductwork and fittings</t>
  </si>
  <si>
    <t>Cable management and accessories</t>
  </si>
  <si>
    <t>Buried conduit</t>
  </si>
  <si>
    <t>Cable ladders</t>
  </si>
  <si>
    <t>Cable trunking</t>
  </si>
  <si>
    <t>Lightning protection and earthing components (Do not use - Withdrawn - Replaced by PD-SR-LP-AE)</t>
  </si>
  <si>
    <t>Copper earth tapes</t>
  </si>
  <si>
    <t>Earth bars (Do not use - Withdrawn - Replaced by PD-SR-LP-EB)</t>
  </si>
  <si>
    <t>Earth rod inspection pits</t>
  </si>
  <si>
    <t>Earth rods</t>
  </si>
  <si>
    <t>Earthing conductors</t>
  </si>
  <si>
    <t>Electrical protective devices</t>
  </si>
  <si>
    <t>Moulded case circuit breakers (Do not use - Withdrawn - Replaced by PD-EA-EP-PD)</t>
  </si>
  <si>
    <t>Active electrical filters</t>
  </si>
  <si>
    <t>Automatic power factor correction equipment</t>
  </si>
  <si>
    <t>Fused connection units</t>
  </si>
  <si>
    <t>Plate switches</t>
  </si>
  <si>
    <t>Specialist socket outlets</t>
  </si>
  <si>
    <t>Standard socket outlets</t>
  </si>
  <si>
    <t>Lifting platforms and hoists</t>
  </si>
  <si>
    <t>Water fire extinguishing outlets</t>
  </si>
  <si>
    <t>High-velocity nozzles</t>
  </si>
  <si>
    <t>Radiators</t>
  </si>
  <si>
    <t>Air cooled condensing units</t>
  </si>
  <si>
    <t>Indoor refrigeration units</t>
  </si>
  <si>
    <t>Air diffusers</t>
  </si>
  <si>
    <t>Air grilles</t>
  </si>
  <si>
    <t>Air plenum boxes</t>
  </si>
  <si>
    <t>Photoelectric control units</t>
  </si>
  <si>
    <t>Area floodlights</t>
  </si>
  <si>
    <t>Surface luminaires</t>
  </si>
  <si>
    <t>Suspended luminaires</t>
  </si>
  <si>
    <t>Audio, data and visual outlet plates and controllers</t>
  </si>
  <si>
    <t>Control panels (Do not use - Withdrawn - Replaced by PP-ME-CI-CP)</t>
  </si>
  <si>
    <t>Emergency hold devices</t>
  </si>
  <si>
    <t>Float switches</t>
  </si>
  <si>
    <t>Occupancy sensors</t>
  </si>
  <si>
    <t>Aspirating smoke detector units</t>
  </si>
  <si>
    <t>Manual call points</t>
  </si>
  <si>
    <t>Point smoke detectors</t>
  </si>
  <si>
    <t>Visual alarm signal devices</t>
  </si>
  <si>
    <t>Measuring and metering products</t>
  </si>
  <si>
    <t>Equipment boards, racks and supports</t>
  </si>
  <si>
    <t>Battery shelving racks</t>
  </si>
  <si>
    <t>Equipment enclosures, cabinets, boxes and housings (Do not use - Withdrawn - Replaced by PS-SS-EE)</t>
  </si>
  <si>
    <t>Padlock and key cabinets</t>
  </si>
  <si>
    <t>Steel lighting bollards (Do not use - Withdrawn as per TCR1518)</t>
  </si>
  <si>
    <t>Services insulation and protection products</t>
  </si>
  <si>
    <t>Protection Layer</t>
  </si>
  <si>
    <t>Parapet</t>
  </si>
  <si>
    <t>Prepared Subgrade</t>
  </si>
  <si>
    <t>Measuring and metering assets</t>
  </si>
  <si>
    <t>Transformer</t>
  </si>
  <si>
    <t>Cabinet</t>
  </si>
  <si>
    <t>Junction box</t>
  </si>
  <si>
    <t>Cable marshalling cabinet</t>
  </si>
  <si>
    <t>Pumping Station</t>
  </si>
  <si>
    <t>Pump Sump Adits</t>
  </si>
  <si>
    <t>Pavement</t>
  </si>
  <si>
    <t>Permanent Work Item</t>
  </si>
  <si>
    <t>Road Cleaning</t>
  </si>
  <si>
    <t>Rodding Eye</t>
  </si>
  <si>
    <t>Rail Expansion Joint (Do not use - Withdrawn - Replaced by PG-SA-RT-EJ)</t>
  </si>
  <si>
    <t>Road/Footway Lighting</t>
  </si>
  <si>
    <t>Ramp (Withdrawn - Do not use)</t>
  </si>
  <si>
    <t>Roof</t>
  </si>
  <si>
    <t>Road Restraint System (vehicular and pedestrian)</t>
  </si>
  <si>
    <t>Raised Slab</t>
  </si>
  <si>
    <t>Running Tunnel</t>
  </si>
  <si>
    <t>Breeding Birds Habitat Establishment</t>
  </si>
  <si>
    <t>Black Redstart Habitat Establishment</t>
  </si>
  <si>
    <t>Hazel Dormouse Habitat Establishment</t>
  </si>
  <si>
    <t>Fish Habitat Establishment</t>
  </si>
  <si>
    <t>Great Crested Newts Habitat Establishment</t>
  </si>
  <si>
    <t>Invertebrates Habitat Establishment</t>
  </si>
  <si>
    <t>Reptile Habitat Establishment</t>
  </si>
  <si>
    <t>White Cray Clawed Fish Habitat Establishment</t>
  </si>
  <si>
    <t>Water Vole Habitat Establishment</t>
  </si>
  <si>
    <t>Security Cabin/Facilities</t>
  </si>
  <si>
    <t>Security Hardware</t>
  </si>
  <si>
    <t>Sweeper / cleaner / wet vac</t>
  </si>
  <si>
    <t>Secondary Tunnel Lining</t>
  </si>
  <si>
    <t>Sump</t>
  </si>
  <si>
    <t>Sport's Equipment</t>
  </si>
  <si>
    <t>Spill Kit</t>
  </si>
  <si>
    <t>Sheet Piles</t>
  </si>
  <si>
    <t>Concrete mortar or overlay systems</t>
  </si>
  <si>
    <t>Reinforced concrete pad and strip foundation systems</t>
  </si>
  <si>
    <t>Pedestrian parapet systems</t>
  </si>
  <si>
    <t>Cavity wall insulation systems</t>
  </si>
  <si>
    <t>Water feature and pond sheet-lining systems</t>
  </si>
  <si>
    <t>Access control systems</t>
  </si>
  <si>
    <t>Card access control systems</t>
  </si>
  <si>
    <t>Starter Layer</t>
  </si>
  <si>
    <t>Stair</t>
  </si>
  <si>
    <t>Structural wall</t>
  </si>
  <si>
    <t>Traffic Signals</t>
  </si>
  <si>
    <t>Temporary Work Item</t>
  </si>
  <si>
    <t>Tank</t>
  </si>
  <si>
    <t>Tunnel Ring</t>
  </si>
  <si>
    <t>Tunnel Ring Segment (Class obsolete/Do not use TAC 493)</t>
  </si>
  <si>
    <t>Upper Embankment Fill</t>
  </si>
  <si>
    <t>Underpinning</t>
  </si>
  <si>
    <t>Upper Side Slopes</t>
  </si>
  <si>
    <t>Utilities Ducts</t>
  </si>
  <si>
    <t>Ventilation</t>
  </si>
  <si>
    <t>Vegetation (Screens)</t>
  </si>
  <si>
    <t>Valve</t>
  </si>
  <si>
    <t>Wheelie Bin</t>
  </si>
  <si>
    <t>Water Inception System</t>
  </si>
  <si>
    <t>Walkway</t>
  </si>
  <si>
    <t>Winter Maintenance</t>
  </si>
  <si>
    <t>Water Proofing System</t>
  </si>
  <si>
    <t>Water Tightness System</t>
  </si>
  <si>
    <t>Wheel Wash/ Vehicle Cleaning</t>
  </si>
  <si>
    <t>Pr_25_71_80_23-Fibre-reinforced calcium silicate boards</t>
  </si>
  <si>
    <t>Pr_25_80_80_43-Intumescent sheet cavity barriers</t>
  </si>
  <si>
    <t>Blank</t>
  </si>
  <si>
    <t>blank</t>
  </si>
  <si>
    <t>3rd part of model file name</t>
  </si>
  <si>
    <t>Concatanation of AG:AK - joined with "-"</t>
  </si>
  <si>
    <t>Existing MPDT, if UAID not present in existing MPDT then leave blank</t>
  </si>
  <si>
    <t>join2['UAID_3']</t>
  </si>
  <si>
    <t>join2['UAID_2']</t>
  </si>
  <si>
    <t>join2['UniClassID']</t>
  </si>
  <si>
    <t>join2['startChainage']</t>
  </si>
  <si>
    <t>join2['endChainage']</t>
  </si>
  <si>
    <t>join2['HS2_Class']</t>
  </si>
  <si>
    <t>control_files_df['Level Description']</t>
  </si>
  <si>
    <t>AssetName_2</t>
  </si>
  <si>
    <t>AssetDescription_2</t>
  </si>
  <si>
    <t>Vlm</t>
  </si>
  <si>
    <t>LwstLvl</t>
  </si>
  <si>
    <t>IntrnlPrmtr</t>
  </si>
  <si>
    <t>NmnlSrfcAr</t>
  </si>
  <si>
    <t>FFwk</t>
  </si>
  <si>
    <t>Ftop</t>
  </si>
  <si>
    <t>EmbdddLngth</t>
  </si>
  <si>
    <t>PlaneFormWorkClassIncl</t>
  </si>
  <si>
    <t xml:space="preserve">  </t>
  </si>
  <si>
    <t xml:space="preserve">strAttr Scope Level 2 UAID </t>
  </si>
  <si>
    <t xml:space="preserve">strAttr Asset Name 2 </t>
  </si>
  <si>
    <t xml:space="preserve">strAttr Asset Description 2 </t>
  </si>
  <si>
    <t xml:space="preserve">strAttr HS2 Asset Classification </t>
  </si>
  <si>
    <t xml:space="preserve">numAttr Start Chainage </t>
  </si>
  <si>
    <t xml:space="preserve">numAttr End Chainage </t>
  </si>
  <si>
    <t xml:space="preserve">numAttr OSGB Easting  </t>
  </si>
  <si>
    <t xml:space="preserve">numAttr OSGB Northing </t>
  </si>
  <si>
    <t xml:space="preserve">numAttr Snake Grid Easting </t>
  </si>
  <si>
    <t xml:space="preserve">numAttr Snake Grid Northing </t>
  </si>
  <si>
    <t xml:space="preserve">strAttr Scope Level 1 UAID </t>
  </si>
  <si>
    <t xml:space="preserve">strAttr Uniclass 2015 </t>
  </si>
  <si>
    <t xml:space="preserve">strAttr Scope Level 3 UAID </t>
  </si>
  <si>
    <t xml:space="preserve">strAttr Reference Number </t>
  </si>
  <si>
    <t xml:space="preserve">strAttr Type (Layer description text) </t>
  </si>
  <si>
    <t xml:space="preserve">strAttr Description </t>
  </si>
  <si>
    <t xml:space="preserve">strAttr Material </t>
  </si>
  <si>
    <t xml:space="preserve">strAttr Changes Considered  </t>
  </si>
  <si>
    <t xml:space="preserve">strAttr Contract Requirements Technical </t>
  </si>
  <si>
    <t xml:space="preserve">strAttr Is Configuration Item (Y/N) </t>
  </si>
  <si>
    <t xml:space="preserve">strAttr Standards Baseline </t>
  </si>
  <si>
    <t xml:space="preserve">numAttr Length (m) </t>
  </si>
  <si>
    <t xml:space="preserve">numAttr Net Volume (m³) </t>
  </si>
  <si>
    <t xml:space="preserve">intAttr Design Life </t>
  </si>
  <si>
    <t xml:space="preserve">numAttr Width Average (m) </t>
  </si>
  <si>
    <t xml:space="preserve">strAttr Third Party Name </t>
  </si>
  <si>
    <t xml:space="preserve">strAttr Thickness of Lining (mm) </t>
  </si>
  <si>
    <t xml:space="preserve">numAttr Volume (m³) </t>
  </si>
  <si>
    <t xml:space="preserve">strAttr Height (m) </t>
  </si>
  <si>
    <t xml:space="preserve">numAttr Height (max) (m) </t>
  </si>
  <si>
    <t xml:space="preserve">numAttr Maximum Permitted Weight </t>
  </si>
  <si>
    <t xml:space="preserve">numAttr Rebar Density (kg/m³) </t>
  </si>
  <si>
    <t xml:space="preserve">numAttr Rebar Volume (m³) </t>
  </si>
  <si>
    <t xml:space="preserve">strAttr Structure Type
(Unique type identifier) </t>
  </si>
  <si>
    <t xml:space="preserve">strAttr External Perimeter </t>
  </si>
  <si>
    <t xml:space="preserve">strAttr Fire Rating </t>
  </si>
  <si>
    <t xml:space="preserve">strAttr Infiltration Potential </t>
  </si>
  <si>
    <t xml:space="preserve">numAttr Thickness (max) (M) </t>
  </si>
  <si>
    <t xml:space="preserve">numAttr Wet Well Volume </t>
  </si>
  <si>
    <t xml:space="preserve">numAttr Depth (m) </t>
  </si>
  <si>
    <t xml:space="preserve">numAttr Finish Invert Level </t>
  </si>
  <si>
    <t xml:space="preserve">numAttr Lowest Level (mAOD) </t>
  </si>
  <si>
    <t xml:space="preserve">strAttr Surround Material </t>
  </si>
  <si>
    <t xml:space="preserve">numAttr Nominal Diameter (m)
(Smallest dia. of asset) </t>
  </si>
  <si>
    <t xml:space="preserve">numAttr Maximum Loading (Tonnes/m²) </t>
  </si>
  <si>
    <t xml:space="preserve">strAttr Mounting </t>
  </si>
  <si>
    <t xml:space="preserve">intAttr Diameter (External) (mm) </t>
  </si>
  <si>
    <t xml:space="preserve">strAttr Design Flow Basis </t>
  </si>
  <si>
    <t xml:space="preserve">intAttr Total Flood Storage Volume estimate (m3) </t>
  </si>
  <si>
    <t xml:space="preserve">strAttr Flow Direction </t>
  </si>
  <si>
    <t xml:space="preserve">numAttr Inlet Level (m AoD) </t>
  </si>
  <si>
    <t xml:space="preserve">strAttr Inlet Point
(Osgb Coordinates) </t>
  </si>
  <si>
    <t xml:space="preserve">numAttr Internal Perimeter (m) </t>
  </si>
  <si>
    <t xml:space="preserve">numAttr Invert Level (mAoD) </t>
  </si>
  <si>
    <t xml:space="preserve">strAttr Material (Pipe) </t>
  </si>
  <si>
    <t xml:space="preserve">numAttr Maximum depth of flow </t>
  </si>
  <si>
    <t xml:space="preserve">numAttr Outflow Rate (l/s) </t>
  </si>
  <si>
    <t xml:space="preserve">numAttr Pump Duties (l/s) </t>
  </si>
  <si>
    <t xml:space="preserve">numAttr Pumping Head (m) </t>
  </si>
  <si>
    <t xml:space="preserve">strAttr Pump Type </t>
  </si>
  <si>
    <t xml:space="preserve">numAttr Pipe Size (cm) </t>
  </si>
  <si>
    <t xml:space="preserve">strAttr Pipe Type </t>
  </si>
  <si>
    <t xml:space="preserve">strAttr BS EN 124 class for gully top </t>
  </si>
  <si>
    <t xml:space="preserve">strAttr Gully Material </t>
  </si>
  <si>
    <t xml:space="preserve">strAttr Gully Top Material </t>
  </si>
  <si>
    <t xml:space="preserve">numAttr Depth (Min) m </t>
  </si>
  <si>
    <t xml:space="preserve">strAttr Depth (max) (m) </t>
  </si>
  <si>
    <t xml:space="preserve">strAttr Area (sq.m) </t>
  </si>
  <si>
    <t xml:space="preserve">numAttr Design Flow (l/s) </t>
  </si>
  <si>
    <t xml:space="preserve">strAttr Pile Section Details </t>
  </si>
  <si>
    <t xml:space="preserve">intAttr Retained Height (m) </t>
  </si>
  <si>
    <t xml:space="preserve">strAttr Diameter (Internal) (mm) </t>
  </si>
  <si>
    <t xml:space="preserve">numAttr Nominal Surface Area </t>
  </si>
  <si>
    <t xml:space="preserve">strAttr Finishing – Formwork </t>
  </si>
  <si>
    <t xml:space="preserve">strAttr Finishing – Top Surface </t>
  </si>
  <si>
    <t xml:space="preserve">intAttr Embedded Length (m)
(Vertical embedded length) </t>
  </si>
  <si>
    <t xml:space="preserve">numAttr Net Plan Area (external)(m²) </t>
  </si>
  <si>
    <t xml:space="preserve">numAttr Gross Surface Area (internal) (m²) </t>
  </si>
  <si>
    <t xml:space="preserve">numAttr Net Surface Area (external) (m²) </t>
  </si>
  <si>
    <t xml:space="preserve">numAttr Net Surface Area (internal) (m²) </t>
  </si>
  <si>
    <t xml:space="preserve">numAttr Plane formwork class (Angle of inclination in deg) </t>
  </si>
  <si>
    <t>join1['Description']</t>
  </si>
  <si>
    <t>join1['AssetName']</t>
  </si>
  <si>
    <t>join2['ClassCode']</t>
  </si>
  <si>
    <t>join2['StartChainage']</t>
  </si>
  <si>
    <t>join2['EndChainage']</t>
  </si>
  <si>
    <t>join2['OsgbEasting']</t>
  </si>
  <si>
    <t>join2['OsgbNorthing']</t>
  </si>
  <si>
    <t>join2['snakeGridEasting']</t>
  </si>
  <si>
    <t>join2['snakeGridNorthing']</t>
  </si>
  <si>
    <t>join2['UAID_1']</t>
  </si>
  <si>
    <t>join2['Com_RfrncNmbr']</t>
  </si>
  <si>
    <t>join2['Com_Typ']</t>
  </si>
  <si>
    <t>join2['TtlFldStrgVlmEstmt']</t>
  </si>
  <si>
    <t>join2['PlaneFormWorkClassIncl']</t>
  </si>
  <si>
    <t>join2['NetSurfaceAreaInt']</t>
  </si>
  <si>
    <t>join2['NetSurfaceAreaExt']</t>
  </si>
  <si>
    <t>join2['GrossSurfaceAreaInt']</t>
  </si>
  <si>
    <t>join2['NetPlanAreaExt']</t>
  </si>
  <si>
    <t>join2['EmbdddLngth']</t>
  </si>
  <si>
    <t>join2['Ftop']</t>
  </si>
  <si>
    <t>join2['FFwk']</t>
  </si>
  <si>
    <t>join2['NmnlSrfcAr']</t>
  </si>
  <si>
    <t>join2['DmtrIntr']</t>
  </si>
  <si>
    <t>join2['RtndHght']</t>
  </si>
  <si>
    <t>join2['PlSctnDtls']</t>
  </si>
  <si>
    <t>join2['DsgnFlw']</t>
  </si>
  <si>
    <t>join2['Com_Arsqm']</t>
  </si>
  <si>
    <t>join2['DpthMx']</t>
  </si>
  <si>
    <t>join2['DpthMn']</t>
  </si>
  <si>
    <t>join2['GllyTpMtrl']</t>
  </si>
  <si>
    <t>join2['GllyMtrl']</t>
  </si>
  <si>
    <t>join2['BSEN124Clss']</t>
  </si>
  <si>
    <t>join2['PpTyp']</t>
  </si>
  <si>
    <t>join2['PpSz']</t>
  </si>
  <si>
    <t>join2['PmpTyp']</t>
  </si>
  <si>
    <t>join2['PmpngHd']</t>
  </si>
  <si>
    <t>join2['PmpDts']</t>
  </si>
  <si>
    <t>join2['OtflwRt']</t>
  </si>
  <si>
    <t>join2['MxmmDpthOfFlw']</t>
  </si>
  <si>
    <t>join2['MtrlPp']</t>
  </si>
  <si>
    <t>join2['InvrtLvl']</t>
  </si>
  <si>
    <t>join2['IntrnlPrmtr']</t>
  </si>
  <si>
    <t>join2['InltPnt']</t>
  </si>
  <si>
    <t>join2['InltLvl']</t>
  </si>
  <si>
    <t>join2['FlwDrctn']</t>
  </si>
  <si>
    <t>join2['DsgnFlwBss']</t>
  </si>
  <si>
    <t>join2['DmtrExtr']</t>
  </si>
  <si>
    <t>join2['Mntng']</t>
  </si>
  <si>
    <t>join2['MxmmLdng']</t>
  </si>
  <si>
    <t>join2['NmnlDmtr']</t>
  </si>
  <si>
    <t>join2['SrrndMtrl']</t>
  </si>
  <si>
    <t>join2['LwstLvl']</t>
  </si>
  <si>
    <t>join2['FnshInvrtLvl']</t>
  </si>
  <si>
    <t>join2['Dpth']</t>
  </si>
  <si>
    <t>join2['WtWllVlm']</t>
  </si>
  <si>
    <t>join2['ThcknssMxM']</t>
  </si>
  <si>
    <t>join2['InfltrtnPtntl']</t>
  </si>
  <si>
    <t>join2['FrRtng']</t>
  </si>
  <si>
    <t>join2['ExtrnlPrmtr']</t>
  </si>
  <si>
    <t>join2['StrctrlT']</t>
  </si>
  <si>
    <t>join2['RebarVolume']</t>
  </si>
  <si>
    <t>join2['RebarDensity']</t>
  </si>
  <si>
    <t>join2['MxmmPrmttdWght']</t>
  </si>
  <si>
    <t>join2['HghtMx']</t>
  </si>
  <si>
    <t>join2['Hghtm']</t>
  </si>
  <si>
    <t>join2['Vlm']</t>
  </si>
  <si>
    <t>join2['ThknsLng']</t>
  </si>
  <si>
    <t>join2['ThrdPrty']</t>
  </si>
  <si>
    <t>join2['WidthAvrgm']</t>
  </si>
  <si>
    <t>join2['DsgnLf']</t>
  </si>
  <si>
    <t>join2['NetVolume']</t>
  </si>
  <si>
    <t>join2['Lngthm']</t>
  </si>
  <si>
    <t>join2['CM_StdBL']</t>
  </si>
  <si>
    <t>join2['CM_ISCI']</t>
  </si>
  <si>
    <t>join2['CM_CRT']</t>
  </si>
  <si>
    <t>join2['CM_Chg']</t>
  </si>
  <si>
    <t>join2['Mtrl']</t>
  </si>
  <si>
    <t>join2['Com_Dscrptn']</t>
  </si>
  <si>
    <t>Chainage (km)</t>
  </si>
  <si>
    <t>Start</t>
  </si>
  <si>
    <t>End</t>
  </si>
  <si>
    <t>deliverableName</t>
  </si>
  <si>
    <t>join2['AssetName_3']</t>
  </si>
  <si>
    <t>lodm_df['ClassName']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</si>
</sst>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rbe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8"/>
      <color theme="1"/>
      <name val="Calibri"/>
      <family val="2"/>
      <scheme val="minor"/>
    </font>
    <font>
      <sz val="9.5"/>
      <color theme="1"/>
      <name val="Arial"/>
      <family val="2"/>
    </font>
    <font>
      <sz val="11"/>
      <color theme="1"/>
      <name val="Arial"/>
      <family val="2"/>
    </font>
    <font>
      <b/>
      <sz val="9"/>
      <color rgb="FF202020"/>
      <name val="Arial"/>
      <family val="2"/>
    </font>
    <font>
      <sz val="9"/>
      <color theme="1"/>
      <name val="Segoe UI Symbol"/>
      <family val="2"/>
    </font>
    <font>
      <sz val="9"/>
      <color rgb="FF20202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orbe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333333"/>
      <name val="Calibri"/>
      <family val="2"/>
    </font>
    <font>
      <sz val="11"/>
      <color rgb="FF1D1D1D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8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C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AEFC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lightUp">
        <fgColor theme="4" tint="0.79998168889431442"/>
        <bgColor theme="9"/>
      </patternFill>
    </fill>
    <fill>
      <patternFill patternType="solid">
        <fgColor theme="8" tint="0.59996337778862885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585858"/>
      </left>
      <right/>
      <top style="medium">
        <color rgb="FF585858"/>
      </top>
      <bottom style="medium">
        <color rgb="FF585858"/>
      </bottom>
      <diagonal/>
    </border>
    <border>
      <left/>
      <right/>
      <top style="medium">
        <color rgb="FF585858"/>
      </top>
      <bottom style="medium">
        <color rgb="FF585858"/>
      </bottom>
      <diagonal/>
    </border>
    <border>
      <left style="medium">
        <color rgb="FF585858"/>
      </left>
      <right/>
      <top/>
      <bottom style="medium">
        <color rgb="FFD9D9D9"/>
      </bottom>
      <diagonal/>
    </border>
    <border>
      <left style="medium">
        <color rgb="FF585858"/>
      </left>
      <right/>
      <top/>
      <bottom style="medium">
        <color rgb="FF585858"/>
      </bottom>
      <diagonal/>
    </border>
    <border>
      <left/>
      <right/>
      <top style="medium">
        <color rgb="FF585858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585858"/>
      </bottom>
      <diagonal/>
    </border>
    <border>
      <left style="medium">
        <color indexed="64"/>
      </left>
      <right/>
      <top/>
      <bottom style="medium">
        <color rgb="FFD9D9D9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/>
      <top style="medium">
        <color indexed="64"/>
      </top>
      <bottom style="medium">
        <color rgb="FFD9D9D9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4" fillId="0" borderId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</cellStyleXfs>
  <cellXfs count="92">
    <xf numFmtId="0" fontId="0" fillId="0" borderId="0" xfId="0"/>
    <xf numFmtId="0" fontId="2" fillId="0" borderId="0" xfId="0" applyFont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9" fillId="0" borderId="13" xfId="0" applyFont="1" applyBorder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13" fillId="0" borderId="5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3" fillId="5" borderId="24" xfId="0" applyFont="1" applyFill="1" applyBorder="1" applyAlignment="1" applyProtection="1">
      <alignment horizontal="center" vertical="top" wrapText="1"/>
      <protection hidden="1"/>
    </xf>
    <xf numFmtId="0" fontId="3" fillId="5" borderId="25" xfId="0" applyFont="1" applyFill="1" applyBorder="1" applyAlignment="1" applyProtection="1">
      <alignment horizontal="center" vertical="top" wrapText="1"/>
      <protection hidden="1"/>
    </xf>
    <xf numFmtId="0" fontId="17" fillId="7" borderId="24" xfId="3" applyFill="1" applyBorder="1" applyAlignment="1" applyProtection="1">
      <alignment horizontal="center" vertical="top" wrapText="1"/>
      <protection hidden="1"/>
    </xf>
    <xf numFmtId="0" fontId="18" fillId="0" borderId="26" xfId="3" applyFont="1" applyFill="1" applyBorder="1" applyAlignment="1" applyProtection="1">
      <alignment horizontal="center" vertical="top" wrapText="1"/>
      <protection hidden="1"/>
    </xf>
    <xf numFmtId="0" fontId="15" fillId="9" borderId="23" xfId="3" applyFont="1" applyFill="1" applyBorder="1" applyAlignment="1" applyProtection="1">
      <alignment horizontal="center" vertical="top" wrapText="1"/>
      <protection hidden="1"/>
    </xf>
    <xf numFmtId="0" fontId="15" fillId="9" borderId="24" xfId="3" applyFont="1" applyFill="1" applyBorder="1" applyAlignment="1" applyProtection="1">
      <alignment horizontal="center" vertical="top" wrapText="1"/>
      <protection hidden="1"/>
    </xf>
    <xf numFmtId="0" fontId="15" fillId="9" borderId="25" xfId="3" applyFont="1" applyFill="1" applyBorder="1" applyAlignment="1" applyProtection="1">
      <alignment horizontal="center" vertical="top" wrapText="1"/>
      <protection hidden="1"/>
    </xf>
    <xf numFmtId="0" fontId="0" fillId="10" borderId="27" xfId="0" applyFill="1" applyBorder="1" applyAlignment="1">
      <alignment horizontal="center" vertical="top"/>
    </xf>
    <xf numFmtId="0" fontId="16" fillId="3" borderId="27" xfId="2" applyBorder="1" applyAlignment="1" applyProtection="1">
      <alignment horizontal="center" vertical="top" wrapText="1"/>
      <protection hidden="1"/>
    </xf>
    <xf numFmtId="0" fontId="16" fillId="3" borderId="23" xfId="2" applyBorder="1" applyAlignment="1" applyProtection="1">
      <alignment horizontal="center" vertical="top" wrapText="1"/>
      <protection hidden="1"/>
    </xf>
    <xf numFmtId="0" fontId="16" fillId="3" borderId="28" xfId="2" applyBorder="1" applyAlignment="1" applyProtection="1">
      <alignment horizontal="center" vertical="top" wrapText="1"/>
      <protection hidden="1"/>
    </xf>
    <xf numFmtId="0" fontId="17" fillId="4" borderId="27" xfId="3" applyBorder="1" applyAlignment="1" applyProtection="1">
      <alignment horizontal="center" vertical="top" wrapText="1"/>
      <protection hidden="1"/>
    </xf>
    <xf numFmtId="0" fontId="15" fillId="11" borderId="27" xfId="2" applyFont="1" applyFill="1" applyBorder="1" applyAlignment="1" applyProtection="1">
      <alignment horizontal="center" vertical="top" wrapText="1"/>
      <protection hidden="1"/>
    </xf>
    <xf numFmtId="0" fontId="18" fillId="7" borderId="27" xfId="3" applyFont="1" applyFill="1" applyBorder="1" applyAlignment="1" applyProtection="1">
      <alignment horizontal="center" vertical="top" wrapText="1"/>
      <protection hidden="1"/>
    </xf>
    <xf numFmtId="0" fontId="18" fillId="0" borderId="29" xfId="3" applyFont="1" applyFill="1" applyBorder="1" applyAlignment="1" applyProtection="1">
      <alignment horizontal="center" vertical="top" wrapText="1"/>
      <protection hidden="1"/>
    </xf>
    <xf numFmtId="0" fontId="16" fillId="8" borderId="27" xfId="2" applyFill="1" applyBorder="1" applyAlignment="1" applyProtection="1">
      <alignment horizontal="center" vertical="top" wrapText="1"/>
      <protection hidden="1"/>
    </xf>
    <xf numFmtId="0" fontId="15" fillId="9" borderId="27" xfId="3" applyFont="1" applyFill="1" applyBorder="1" applyAlignment="1" applyProtection="1">
      <alignment horizontal="center" vertical="top" wrapText="1"/>
      <protection hidden="1"/>
    </xf>
    <xf numFmtId="0" fontId="0" fillId="10" borderId="27" xfId="3" applyFont="1" applyFill="1" applyBorder="1" applyAlignment="1" applyProtection="1">
      <alignment horizontal="center" vertical="top" wrapText="1"/>
      <protection hidden="1"/>
    </xf>
    <xf numFmtId="0" fontId="15" fillId="10" borderId="27" xfId="3" applyFont="1" applyFill="1" applyBorder="1" applyAlignment="1" applyProtection="1">
      <alignment horizontal="center" vertical="top" wrapText="1"/>
      <protection hidden="1"/>
    </xf>
    <xf numFmtId="0" fontId="0" fillId="12" borderId="0" xfId="0" applyFill="1"/>
    <xf numFmtId="0" fontId="0" fillId="0" borderId="0" xfId="0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0" fillId="0" borderId="0" xfId="0" applyAlignment="1">
      <alignment vertical="top"/>
    </xf>
    <xf numFmtId="0" fontId="22" fillId="0" borderId="0" xfId="0" applyFont="1"/>
    <xf numFmtId="0" fontId="23" fillId="0" borderId="0" xfId="0" applyFont="1"/>
    <xf numFmtId="0" fontId="21" fillId="0" borderId="0" xfId="0" applyFont="1" applyAlignment="1">
      <alignment vertical="center"/>
    </xf>
    <xf numFmtId="0" fontId="24" fillId="0" borderId="0" xfId="0" applyFont="1" applyAlignment="1">
      <alignment vertical="center" wrapText="1"/>
    </xf>
    <xf numFmtId="0" fontId="19" fillId="6" borderId="23" xfId="0" applyFont="1" applyFill="1" applyBorder="1" applyAlignment="1" applyProtection="1">
      <alignment horizontal="centerContinuous" vertical="top" wrapText="1"/>
      <protection hidden="1"/>
    </xf>
    <xf numFmtId="0" fontId="19" fillId="6" borderId="24" xfId="0" applyFont="1" applyFill="1" applyBorder="1" applyAlignment="1" applyProtection="1">
      <alignment horizontal="centerContinuous" vertical="top" wrapText="1"/>
      <protection hidden="1"/>
    </xf>
    <xf numFmtId="0" fontId="19" fillId="6" borderId="25" xfId="0" applyFont="1" applyFill="1" applyBorder="1" applyAlignment="1" applyProtection="1">
      <alignment horizontal="centerContinuous" vertical="top" wrapText="1"/>
      <protection hidden="1"/>
    </xf>
    <xf numFmtId="0" fontId="17" fillId="7" borderId="24" xfId="3" applyFill="1" applyBorder="1" applyAlignment="1" applyProtection="1">
      <alignment horizontal="centerContinuous" vertical="top" wrapText="1"/>
      <protection hidden="1"/>
    </xf>
    <xf numFmtId="0" fontId="26" fillId="7" borderId="24" xfId="3" applyFont="1" applyFill="1" applyBorder="1" applyAlignment="1" applyProtection="1">
      <alignment horizontal="centerContinuous" vertical="top" wrapText="1"/>
      <protection hidden="1"/>
    </xf>
    <xf numFmtId="0" fontId="3" fillId="5" borderId="23" xfId="0" applyFont="1" applyFill="1" applyBorder="1" applyAlignment="1" applyProtection="1">
      <alignment horizontal="center" vertical="top" wrapText="1"/>
      <protection hidden="1"/>
    </xf>
    <xf numFmtId="0" fontId="0" fillId="0" borderId="0" xfId="0" applyAlignment="1">
      <alignment horizontal="left" vertical="center"/>
    </xf>
    <xf numFmtId="0" fontId="28" fillId="0" borderId="0" xfId="0" applyFont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24" fillId="0" borderId="0" xfId="0" applyFont="1" applyAlignment="1">
      <alignment vertical="center"/>
    </xf>
    <xf numFmtId="0" fontId="29" fillId="0" borderId="0" xfId="0" applyFont="1"/>
    <xf numFmtId="0" fontId="26" fillId="0" borderId="0" xfId="0" applyFont="1" applyAlignment="1">
      <alignment horizontal="left" vertical="top"/>
    </xf>
    <xf numFmtId="0" fontId="30" fillId="0" borderId="0" xfId="0" applyFont="1" applyAlignment="1">
      <alignment horizontal="left" vertical="top"/>
    </xf>
    <xf numFmtId="0" fontId="31" fillId="17" borderId="28" xfId="0" applyFont="1" applyFill="1" applyBorder="1"/>
    <xf numFmtId="0" fontId="13" fillId="17" borderId="28" xfId="0" applyFont="1" applyFill="1" applyBorder="1" applyAlignment="1">
      <alignment horizontal="left" vertical="top" wrapText="1"/>
    </xf>
    <xf numFmtId="0" fontId="0" fillId="0" borderId="0" xfId="0" quotePrefix="1"/>
    <xf numFmtId="0" fontId="0" fillId="0" borderId="27" xfId="0" applyBorder="1" applyAlignment="1">
      <alignment horizontal="center" vertical="top"/>
    </xf>
    <xf numFmtId="0" fontId="26" fillId="0" borderId="27" xfId="0" applyFont="1" applyBorder="1" applyAlignment="1">
      <alignment horizontal="left" vertical="top"/>
    </xf>
    <xf numFmtId="0" fontId="16" fillId="8" borderId="23" xfId="2" applyFill="1" applyBorder="1" applyAlignment="1" applyProtection="1">
      <alignment horizontal="left" vertical="top" wrapText="1"/>
      <protection hidden="1"/>
    </xf>
    <xf numFmtId="0" fontId="16" fillId="8" borderId="24" xfId="2" applyFill="1" applyBorder="1" applyAlignment="1" applyProtection="1">
      <alignment horizontal="left" vertical="top" wrapText="1"/>
      <protection hidden="1"/>
    </xf>
    <xf numFmtId="0" fontId="16" fillId="8" borderId="25" xfId="2" applyFill="1" applyBorder="1" applyAlignment="1" applyProtection="1">
      <alignment horizontal="left" vertical="top" wrapText="1"/>
      <protection hidden="1"/>
    </xf>
    <xf numFmtId="0" fontId="0" fillId="9" borderId="28" xfId="3" applyFont="1" applyFill="1" applyBorder="1" applyAlignment="1" applyProtection="1">
      <alignment horizontal="center" vertical="center" wrapText="1"/>
      <protection hidden="1"/>
    </xf>
    <xf numFmtId="0" fontId="0" fillId="9" borderId="30" xfId="3" applyFont="1" applyFill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4" fillId="2" borderId="17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</cellXfs>
  <cellStyles count="4">
    <cellStyle name="Bad" xfId="3" builtinId="27"/>
    <cellStyle name="Good" xfId="2" builtinId="26"/>
    <cellStyle name="Normal" xfId="0" builtinId="0"/>
    <cellStyle name="Normal 2" xfId="1" xr:uid="{2E51AFD2-F818-4ECD-89AA-8004FB34273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342900</xdr:colOff>
      <xdr:row>0</xdr:row>
      <xdr:rowOff>53340</xdr:rowOff>
    </xdr:from>
    <xdr:to>
      <xdr:col>6</xdr:col>
      <xdr:colOff>319294</xdr:colOff>
      <xdr:row>3</xdr:row>
      <xdr:rowOff>22860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071267B-B588-43D7-8121-0EEF2610803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1943" y="53340"/>
          <a:ext cx="3595894" cy="532737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72E21-FE24-47DB-9AF7-EE766E22B0FD}">
  <sheetPr codeName="Sheet1">
    <pageSetUpPr fitToPage="1"/>
  </sheetPr>
  <dimension ref="A1:I44"/>
  <sheetViews>
    <sheetView workbookViewId="0"/>
  </sheetViews>
  <sheetFormatPr defaultRowHeight="14.5" x14ac:dyDescent="0.35"/>
  <cols>
    <col min="2" max="2" width="12.1796875" customWidth="1"/>
    <col min="3" max="5" width="12.81640625" customWidth="1"/>
    <col min="6" max="6" width="15.54296875" bestFit="1" customWidth="1"/>
    <col min="7" max="7" width="7.453125" customWidth="1"/>
    <col min="8" max="8" width="5.81640625" customWidth="1"/>
  </cols>
  <sheetData>
    <row r="1" spans="1:9" ht="14.5" customHeight="1" x14ac:dyDescent="0.35">
      <c r="C1" s="8"/>
      <c r="D1" s="8"/>
      <c r="E1" s="8"/>
      <c r="F1" s="8"/>
      <c r="G1" s="8"/>
      <c r="H1" s="8"/>
      <c r="I1" s="8"/>
    </row>
    <row r="2" spans="1:9" x14ac:dyDescent="0.35">
      <c r="C2" s="9"/>
      <c r="D2" s="9"/>
      <c r="E2" s="9"/>
      <c r="F2" s="9"/>
      <c r="G2" s="9"/>
      <c r="H2" s="9"/>
      <c r="I2" s="9"/>
    </row>
    <row r="3" spans="1:9" x14ac:dyDescent="0.35">
      <c r="C3" s="10"/>
      <c r="D3" s="10"/>
      <c r="E3" s="10"/>
      <c r="F3" s="10"/>
      <c r="G3" s="10"/>
      <c r="H3" s="10"/>
      <c r="I3" s="10"/>
    </row>
    <row r="4" spans="1:9" x14ac:dyDescent="0.35">
      <c r="C4" s="10"/>
      <c r="D4" s="10"/>
      <c r="E4" s="10"/>
      <c r="F4" s="10"/>
      <c r="G4" s="10"/>
      <c r="H4" s="10"/>
      <c r="I4" s="10"/>
    </row>
    <row r="10" spans="1:9" ht="18.5" x14ac:dyDescent="0.35">
      <c r="A10" s="88" t="s">
        <v>0</v>
      </c>
      <c r="B10" s="88"/>
      <c r="C10" s="88"/>
      <c r="D10" s="88"/>
      <c r="E10" s="88"/>
      <c r="F10" s="88"/>
      <c r="G10" s="88"/>
      <c r="H10" s="88"/>
    </row>
    <row r="11" spans="1:9" ht="18.5" x14ac:dyDescent="0.35">
      <c r="A11" s="88" t="s">
        <v>1</v>
      </c>
      <c r="B11" s="88"/>
      <c r="C11" s="88"/>
      <c r="D11" s="88"/>
      <c r="E11" s="88"/>
      <c r="F11" s="88"/>
      <c r="G11" s="88"/>
      <c r="H11" s="88"/>
    </row>
    <row r="13" spans="1:9" ht="23.5" x14ac:dyDescent="0.55000000000000004">
      <c r="A13" s="87" t="str">
        <f>_xll.BSIPWOfficeAttr.AttrConnect.1.GetDocumentProperty("PWTitle")</f>
        <v xml:space="preserve"> </v>
      </c>
      <c r="B13" s="87"/>
      <c r="C13" s="87"/>
      <c r="D13" s="87"/>
      <c r="E13" s="87"/>
      <c r="F13" s="87"/>
      <c r="G13" s="87"/>
      <c r="H13" s="87"/>
    </row>
    <row r="14" spans="1:9" ht="23.5" x14ac:dyDescent="0.55000000000000004">
      <c r="A14" s="87" t="str">
        <f>_xll.BSIPWOfficeAttr.AttrConnect.1.GetDocumentProperty("PWTitleL2")</f>
        <v xml:space="preserve"> </v>
      </c>
      <c r="B14" s="87"/>
      <c r="C14" s="87"/>
      <c r="D14" s="87"/>
      <c r="E14" s="87"/>
      <c r="F14" s="87"/>
      <c r="G14" s="87"/>
      <c r="H14" s="87"/>
    </row>
    <row r="15" spans="1:9" ht="23.5" x14ac:dyDescent="0.55000000000000004">
      <c r="A15" s="87" t="str">
        <f>_xll.BSIPWOfficeAttr.AttrConnect.1.GetDocumentProperty("PWTitleL3")</f>
        <v/>
      </c>
      <c r="B15" s="87"/>
      <c r="C15" s="87"/>
      <c r="D15" s="87"/>
      <c r="E15" s="87"/>
      <c r="F15" s="87"/>
      <c r="G15" s="87"/>
      <c r="H15" s="87"/>
    </row>
    <row r="16" spans="1:9" ht="23.5" x14ac:dyDescent="0.55000000000000004">
      <c r="A16" s="87" t="str">
        <f>_xll.BSIPWOfficeAttr.AttrConnect.1.GetDocumentProperty("PWTitleL4")</f>
        <v/>
      </c>
      <c r="B16" s="87"/>
      <c r="C16" s="87"/>
      <c r="D16" s="87"/>
      <c r="E16" s="87"/>
      <c r="F16" s="87"/>
      <c r="G16" s="87"/>
      <c r="H16" s="87"/>
    </row>
    <row r="18" spans="1:8" ht="21" x14ac:dyDescent="0.5">
      <c r="A18" s="89" t="str">
        <f>_xll.BSIPWOfficeAttr.AttrConnect.1.GetDocumentProperty("Document_Number")</f>
        <v xml:space="preserve"> </v>
      </c>
      <c r="B18" s="89"/>
      <c r="C18" s="89"/>
      <c r="D18" s="89"/>
      <c r="E18" s="89"/>
      <c r="F18" s="89"/>
      <c r="G18" s="89"/>
      <c r="H18" s="89"/>
    </row>
    <row r="26" spans="1:8" ht="15" thickBot="1" x14ac:dyDescent="0.4"/>
    <row r="27" spans="1:8" ht="15" thickBot="1" x14ac:dyDescent="0.4">
      <c r="A27" s="3" t="s">
        <v>2</v>
      </c>
      <c r="B27" s="2" t="s">
        <v>3</v>
      </c>
      <c r="C27" s="2" t="s">
        <v>4</v>
      </c>
      <c r="D27" s="2" t="s">
        <v>5</v>
      </c>
      <c r="E27" s="2" t="s">
        <v>6</v>
      </c>
      <c r="F27" s="2" t="s">
        <v>7</v>
      </c>
      <c r="G27" s="90" t="s">
        <v>8</v>
      </c>
      <c r="H27" s="91"/>
    </row>
    <row r="28" spans="1:8" ht="15" thickBot="1" x14ac:dyDescent="0.4">
      <c r="A28" s="11" t="str">
        <f>_xll.BSIPWOfficeAttr.AttrConnect.1.GetDocumentProperty("Rev 01")</f>
        <v xml:space="preserve"> </v>
      </c>
      <c r="B28" s="11" t="str">
        <f>_xll.BSIPWOfficeAttr.AttrConnect.1.GetDocumentProperty("Date 01")</f>
        <v/>
      </c>
      <c r="C28" s="11" t="str">
        <f>_xll.BSIPWOfficeAttr.AttrConnect.1.GetDocumentProperty("Drawn 01")</f>
        <v/>
      </c>
      <c r="D28" s="11" t="str">
        <f>_xll.BSIPWOfficeAttr.AttrConnect.1.GetDocumentProperty("Checked 01")</f>
        <v/>
      </c>
      <c r="E28" s="11" t="str">
        <f>_xll.BSIPWOfficeAttr.AttrConnect.1.GetDocumentProperty("Approved 01")</f>
        <v/>
      </c>
      <c r="F28" s="11" t="str">
        <f>_xll.BSIPWOfficeAttr.AttrConnect.1.GetDocumentProperty("Note 01")</f>
        <v xml:space="preserve"> </v>
      </c>
      <c r="G28" s="70"/>
      <c r="H28" s="71"/>
    </row>
    <row r="29" spans="1:8" ht="15" thickBot="1" x14ac:dyDescent="0.4">
      <c r="A29" s="11" t="str">
        <f>_xll.BSIPWOfficeAttr.AttrConnect.1.GetDocumentProperty("Rev 02")</f>
        <v/>
      </c>
      <c r="B29" s="11" t="str">
        <f>_xll.BSIPWOfficeAttr.AttrConnect.1.GetDocumentProperty("Date 02")</f>
        <v/>
      </c>
      <c r="C29" s="11" t="str">
        <f>_xll.BSIPWOfficeAttr.AttrConnect.1.GetDocumentProperty("Drawn 02")</f>
        <v/>
      </c>
      <c r="D29" s="11" t="str">
        <f>_xll.BSIPWOfficeAttr.AttrConnect.1.GetDocumentProperty("Checked 02")</f>
        <v/>
      </c>
      <c r="E29" s="11" t="str">
        <f>_xll.BSIPWOfficeAttr.AttrConnect.1.GetDocumentProperty("Approved 02")</f>
        <v/>
      </c>
      <c r="F29" s="11" t="str">
        <f>_xll.BSIPWOfficeAttr.AttrConnect.1.GetDocumentProperty("Note 02")</f>
        <v/>
      </c>
      <c r="G29" s="70"/>
      <c r="H29" s="71"/>
    </row>
    <row r="30" spans="1:8" ht="15" thickBot="1" x14ac:dyDescent="0.4">
      <c r="A30" s="11" t="str">
        <f>_xll.BSIPWOfficeAttr.AttrConnect.1.GetDocumentProperty("Rev 03")</f>
        <v/>
      </c>
      <c r="B30" s="11" t="str">
        <f>_xll.BSIPWOfficeAttr.AttrConnect.1.GetDocumentProperty("Date 03")</f>
        <v/>
      </c>
      <c r="C30" s="11" t="str">
        <f>_xll.BSIPWOfficeAttr.AttrConnect.1.GetDocumentProperty("Drawn 03")</f>
        <v/>
      </c>
      <c r="D30" s="11" t="str">
        <f>_xll.BSIPWOfficeAttr.AttrConnect.1.GetDocumentProperty("Checked 03")</f>
        <v/>
      </c>
      <c r="E30" s="11" t="str">
        <f>_xll.BSIPWOfficeAttr.AttrConnect.1.GetDocumentProperty("Approved 03")</f>
        <v/>
      </c>
      <c r="F30" s="11" t="str">
        <f>_xll.BSIPWOfficeAttr.AttrConnect.1.GetDocumentProperty("Note 03")</f>
        <v/>
      </c>
      <c r="G30" s="70"/>
      <c r="H30" s="71"/>
    </row>
    <row r="31" spans="1:8" ht="15" thickBot="1" x14ac:dyDescent="0.4">
      <c r="A31" s="11" t="str">
        <f>_xll.BSIPWOfficeAttr.AttrConnect.1.GetDocumentProperty("Rev 04")</f>
        <v/>
      </c>
      <c r="B31" s="11" t="str">
        <f>_xll.BSIPWOfficeAttr.AttrConnect.1.GetDocumentProperty("Date 04")</f>
        <v/>
      </c>
      <c r="C31" s="11" t="str">
        <f>_xll.BSIPWOfficeAttr.AttrConnect.1.GetDocumentProperty("Drawn 04")</f>
        <v/>
      </c>
      <c r="D31" s="11" t="str">
        <f>_xll.BSIPWOfficeAttr.AttrConnect.1.GetDocumentProperty("Checked 04")</f>
        <v/>
      </c>
      <c r="E31" s="11" t="str">
        <f>_xll.BSIPWOfficeAttr.AttrConnect.1.GetDocumentProperty("Approved 04")</f>
        <v/>
      </c>
      <c r="F31" s="11" t="str">
        <f>_xll.BSIPWOfficeAttr.AttrConnect.1.GetDocumentProperty("Note 04")</f>
        <v/>
      </c>
      <c r="G31" s="70"/>
      <c r="H31" s="71"/>
    </row>
    <row r="32" spans="1:8" ht="15" thickBot="1" x14ac:dyDescent="0.4">
      <c r="A32" s="11" t="str">
        <f>_xll.BSIPWOfficeAttr.AttrConnect.1.GetDocumentProperty("Rev 05")</f>
        <v/>
      </c>
      <c r="B32" s="11" t="str">
        <f>_xll.BSIPWOfficeAttr.AttrConnect.1.GetDocumentProperty("Date 05")</f>
        <v/>
      </c>
      <c r="C32" s="11" t="str">
        <f>_xll.BSIPWOfficeAttr.AttrConnect.1.GetDocumentProperty("Drawn 05")</f>
        <v/>
      </c>
      <c r="D32" s="11" t="str">
        <f>_xll.BSIPWOfficeAttr.AttrConnect.1.GetDocumentProperty("Checked 05")</f>
        <v/>
      </c>
      <c r="E32" s="11" t="str">
        <f>_xll.BSIPWOfficeAttr.AttrConnect.1.GetDocumentProperty("Approved 05")</f>
        <v/>
      </c>
      <c r="F32" s="11" t="str">
        <f>_xll.BSIPWOfficeAttr.AttrConnect.1.GetDocumentProperty("Note 05")</f>
        <v/>
      </c>
      <c r="G32" s="70"/>
      <c r="H32" s="71"/>
    </row>
    <row r="33" spans="1:8" ht="15" thickBot="1" x14ac:dyDescent="0.4">
      <c r="A33" s="12" t="str">
        <f>_xll.BSIPWOfficeAttr.AttrConnect.1.GetDocumentProperty("Rev 06")</f>
        <v/>
      </c>
      <c r="B33" s="12" t="str">
        <f>_xll.BSIPWOfficeAttr.AttrConnect.1.GetDocumentProperty("Date 06")</f>
        <v/>
      </c>
      <c r="C33" s="12" t="str">
        <f>_xll.BSIPWOfficeAttr.AttrConnect.1.GetDocumentProperty("Drawn 06")</f>
        <v/>
      </c>
      <c r="D33" s="12" t="str">
        <f>_xll.BSIPWOfficeAttr.AttrConnect.1.GetDocumentProperty("Checked 06")</f>
        <v/>
      </c>
      <c r="E33" s="12" t="str">
        <f>_xll.BSIPWOfficeAttr.AttrConnect.1.GetDocumentProperty("Approved 06")</f>
        <v/>
      </c>
      <c r="F33" s="12" t="str">
        <f>_xll.BSIPWOfficeAttr.AttrConnect.1.GetDocumentProperty("Note 06")</f>
        <v/>
      </c>
      <c r="G33" s="70"/>
      <c r="H33" s="71"/>
    </row>
    <row r="35" spans="1:8" ht="15" thickBot="1" x14ac:dyDescent="0.4">
      <c r="A35" s="4"/>
    </row>
    <row r="36" spans="1:8" ht="24" customHeight="1" thickBot="1" x14ac:dyDescent="0.4">
      <c r="A36" s="79" t="s">
        <v>9</v>
      </c>
      <c r="B36" s="80"/>
      <c r="C36" s="80"/>
      <c r="D36" s="80"/>
      <c r="E36" s="72" t="s">
        <v>10</v>
      </c>
      <c r="F36" s="73"/>
      <c r="G36" s="73"/>
      <c r="H36" s="74"/>
    </row>
    <row r="37" spans="1:8" ht="15" thickBot="1" x14ac:dyDescent="0.4">
      <c r="A37" s="13" t="s">
        <v>11</v>
      </c>
      <c r="B37" s="81" t="s">
        <v>12</v>
      </c>
      <c r="C37" s="81"/>
      <c r="D37" s="81"/>
      <c r="E37" s="15" t="s">
        <v>11</v>
      </c>
      <c r="F37" s="75" t="s">
        <v>13</v>
      </c>
      <c r="G37" s="75"/>
      <c r="H37" s="76"/>
    </row>
    <row r="38" spans="1:8" ht="15" thickBot="1" x14ac:dyDescent="0.4">
      <c r="A38" s="13" t="s">
        <v>11</v>
      </c>
      <c r="B38" s="77" t="s">
        <v>14</v>
      </c>
      <c r="C38" s="77"/>
      <c r="D38" s="77"/>
      <c r="E38" s="5" t="s">
        <v>11</v>
      </c>
      <c r="F38" s="77" t="s">
        <v>15</v>
      </c>
      <c r="G38" s="77"/>
      <c r="H38" s="78"/>
    </row>
    <row r="39" spans="1:8" ht="15.75" customHeight="1" thickBot="1" x14ac:dyDescent="0.4">
      <c r="A39" s="13" t="s">
        <v>11</v>
      </c>
      <c r="B39" s="77" t="s">
        <v>16</v>
      </c>
      <c r="C39" s="77"/>
      <c r="D39" s="77"/>
      <c r="E39" s="5" t="s">
        <v>11</v>
      </c>
      <c r="F39" s="77" t="s">
        <v>17</v>
      </c>
      <c r="G39" s="77"/>
      <c r="H39" s="78"/>
    </row>
    <row r="40" spans="1:8" ht="15" thickBot="1" x14ac:dyDescent="0.4">
      <c r="A40" s="13" t="s">
        <v>11</v>
      </c>
      <c r="B40" s="77" t="s">
        <v>18</v>
      </c>
      <c r="C40" s="77"/>
      <c r="D40" s="77"/>
      <c r="E40" s="5" t="s">
        <v>11</v>
      </c>
      <c r="F40" s="77" t="s">
        <v>19</v>
      </c>
      <c r="G40" s="77"/>
      <c r="H40" s="78"/>
    </row>
    <row r="41" spans="1:8" ht="15" thickBot="1" x14ac:dyDescent="0.4">
      <c r="A41" s="13" t="s">
        <v>11</v>
      </c>
      <c r="B41" s="77" t="s">
        <v>20</v>
      </c>
      <c r="C41" s="77"/>
      <c r="D41" s="77"/>
      <c r="E41" s="6"/>
      <c r="F41" s="83"/>
      <c r="G41" s="83"/>
      <c r="H41" s="84"/>
    </row>
    <row r="42" spans="1:8" ht="15" thickBot="1" x14ac:dyDescent="0.4">
      <c r="A42" s="13" t="s">
        <v>11</v>
      </c>
      <c r="B42" s="77" t="s">
        <v>21</v>
      </c>
      <c r="C42" s="77"/>
      <c r="D42" s="77"/>
      <c r="E42" s="6"/>
      <c r="F42" s="83"/>
      <c r="G42" s="83"/>
      <c r="H42" s="84"/>
    </row>
    <row r="43" spans="1:8" ht="15" thickBot="1" x14ac:dyDescent="0.4">
      <c r="A43" s="14" t="s">
        <v>11</v>
      </c>
      <c r="B43" s="82" t="s">
        <v>22</v>
      </c>
      <c r="C43" s="82"/>
      <c r="D43" s="82"/>
      <c r="E43" s="7"/>
      <c r="F43" s="85"/>
      <c r="G43" s="85"/>
      <c r="H43" s="86"/>
    </row>
    <row r="44" spans="1:8" x14ac:dyDescent="0.35">
      <c r="A44" s="1"/>
    </row>
  </sheetData>
  <mergeCells count="30">
    <mergeCell ref="G31:H31"/>
    <mergeCell ref="G32:H32"/>
    <mergeCell ref="A18:H18"/>
    <mergeCell ref="G27:H27"/>
    <mergeCell ref="G28:H28"/>
    <mergeCell ref="G29:H29"/>
    <mergeCell ref="G30:H30"/>
    <mergeCell ref="A13:H13"/>
    <mergeCell ref="A16:H16"/>
    <mergeCell ref="A10:H10"/>
    <mergeCell ref="A11:H11"/>
    <mergeCell ref="A14:H14"/>
    <mergeCell ref="A15:H15"/>
    <mergeCell ref="B41:D41"/>
    <mergeCell ref="B42:D42"/>
    <mergeCell ref="B43:D43"/>
    <mergeCell ref="F40:H40"/>
    <mergeCell ref="F41:H41"/>
    <mergeCell ref="F42:H42"/>
    <mergeCell ref="F43:H43"/>
    <mergeCell ref="A36:D36"/>
    <mergeCell ref="B37:D37"/>
    <mergeCell ref="B38:D38"/>
    <mergeCell ref="B39:D39"/>
    <mergeCell ref="B40:D40"/>
    <mergeCell ref="G33:H33"/>
    <mergeCell ref="E36:H36"/>
    <mergeCell ref="F37:H37"/>
    <mergeCell ref="F38:H38"/>
    <mergeCell ref="F39:H39"/>
  </mergeCells>
  <pageMargins left="0.7" right="0.7" top="0.75" bottom="0.75" header="0.3" footer="0.3"/>
  <pageSetup paperSize="9" scale="98" fitToHeight="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BC866-101F-4348-A6FA-AE728E81A2EF}">
  <sheetPr codeName="Sheet2"/>
  <dimension ref="A1:DY3"/>
  <sheetViews>
    <sheetView tabSelected="1" workbookViewId="0">
      <selection activeCell="C2" sqref="C2"/>
    </sheetView>
  </sheetViews>
  <sheetFormatPr defaultRowHeight="14.5" x14ac:dyDescent="0.35"/>
  <cols>
    <col min="1" max="1" width="36" bestFit="1" customWidth="1"/>
    <col min="2" max="2" width="42.26953125" bestFit="1" customWidth="1"/>
    <col min="3" max="3" width="23.6328125" customWidth="1"/>
    <col min="4" max="4" width="39" customWidth="1"/>
    <col min="5" max="5" width="6.453125" bestFit="1" customWidth="1"/>
    <col min="6" max="6" width="7.453125" bestFit="1" customWidth="1"/>
    <col min="7" max="7" width="14.1796875" bestFit="1" customWidth="1"/>
    <col min="8" max="8" width="9.1796875" customWidth="1"/>
    <col min="9" max="9" width="8.7265625" bestFit="1" customWidth="1"/>
    <col min="10" max="11" width="9.1796875" customWidth="1"/>
    <col min="12" max="12" width="11.7265625" bestFit="1" customWidth="1"/>
    <col min="13" max="13" width="4.54296875" bestFit="1" customWidth="1"/>
    <col min="14" max="14" width="3.81640625" bestFit="1" customWidth="1"/>
    <col min="15" max="15" width="11.7265625" bestFit="1" customWidth="1"/>
    <col min="16" max="16" width="4.54296875" bestFit="1" customWidth="1"/>
    <col min="17" max="17" width="3.81640625" bestFit="1" customWidth="1"/>
    <col min="18" max="18" width="11.7265625" bestFit="1" customWidth="1"/>
    <col min="19" max="19" width="4.54296875" bestFit="1" customWidth="1"/>
    <col min="20" max="20" width="3.81640625" bestFit="1" customWidth="1"/>
    <col min="21" max="21" width="8.81640625" bestFit="1" customWidth="1"/>
    <col min="22" max="23" width="9.1796875" customWidth="1"/>
    <col min="24" max="24" width="17.7265625" bestFit="1" customWidth="1"/>
    <col min="25" max="25" width="19.1796875" bestFit="1" customWidth="1"/>
    <col min="26" max="26" width="9.1796875" customWidth="1"/>
    <col min="27" max="28" width="6" bestFit="1" customWidth="1"/>
    <col min="29" max="30" width="9.1796875" customWidth="1"/>
    <col min="31" max="31" width="7.81640625" bestFit="1" customWidth="1"/>
    <col min="32" max="32" width="15" bestFit="1" customWidth="1"/>
    <col min="33" max="33" width="8.54296875" bestFit="1" customWidth="1"/>
    <col min="34" max="34" width="12.7265625" bestFit="1" customWidth="1"/>
    <col min="35" max="36" width="8.81640625" bestFit="1" customWidth="1"/>
    <col min="37" max="37" width="5.54296875" bestFit="1" customWidth="1"/>
    <col min="38" max="38" width="20" bestFit="1" customWidth="1"/>
    <col min="39" max="40" width="9.1796875" customWidth="1"/>
    <col min="44" max="44" width="60.54296875" bestFit="1" customWidth="1"/>
  </cols>
  <sheetData>
    <row r="1" spans="1:129" ht="29" x14ac:dyDescent="0.35">
      <c r="A1" s="49" t="s">
        <v>23</v>
      </c>
      <c r="B1" s="16"/>
      <c r="C1" s="16"/>
      <c r="D1" s="16"/>
      <c r="E1" s="16"/>
      <c r="F1" s="16"/>
      <c r="G1" s="16"/>
      <c r="H1" s="16"/>
      <c r="I1" s="16"/>
      <c r="J1" s="16"/>
      <c r="K1" s="17"/>
      <c r="L1" s="44" t="s">
        <v>24</v>
      </c>
      <c r="M1" s="45"/>
      <c r="N1" s="46"/>
      <c r="O1" s="44" t="s">
        <v>25</v>
      </c>
      <c r="P1" s="45"/>
      <c r="Q1" s="46"/>
      <c r="R1" s="44" t="s">
        <v>26</v>
      </c>
      <c r="S1" s="45"/>
      <c r="T1" s="46"/>
      <c r="U1" s="48" t="s">
        <v>27</v>
      </c>
      <c r="V1" s="47"/>
      <c r="W1" s="47"/>
      <c r="X1" s="47"/>
      <c r="Y1" s="47"/>
      <c r="Z1" s="18"/>
      <c r="AA1" s="18"/>
      <c r="AB1" s="19" t="s">
        <v>28</v>
      </c>
      <c r="AC1" s="65" t="s">
        <v>29</v>
      </c>
      <c r="AD1" s="66"/>
      <c r="AE1" s="66"/>
      <c r="AF1" s="67"/>
      <c r="AG1" s="20"/>
      <c r="AH1" s="21"/>
      <c r="AI1" s="21"/>
      <c r="AJ1" s="21"/>
      <c r="AK1" s="21"/>
      <c r="AL1" s="22" t="s">
        <v>30</v>
      </c>
      <c r="AM1" s="20" t="s">
        <v>1749</v>
      </c>
      <c r="AN1" s="22"/>
      <c r="AO1" s="23" t="s">
        <v>31</v>
      </c>
      <c r="AP1" s="23" t="s">
        <v>32</v>
      </c>
      <c r="AQ1" s="23"/>
      <c r="AR1" s="68" t="s">
        <v>33</v>
      </c>
      <c r="AU1" s="60" t="s">
        <v>74</v>
      </c>
      <c r="AV1" s="60" t="s">
        <v>76</v>
      </c>
      <c r="AW1" s="60" t="s">
        <v>40</v>
      </c>
      <c r="AX1" s="60" t="s">
        <v>1579</v>
      </c>
      <c r="AY1" s="60" t="s">
        <v>1580</v>
      </c>
      <c r="AZ1" s="60" t="s">
        <v>84</v>
      </c>
      <c r="BA1" s="60" t="s">
        <v>742</v>
      </c>
      <c r="BB1" s="60" t="s">
        <v>363</v>
      </c>
      <c r="BC1" s="60" t="s">
        <v>744</v>
      </c>
      <c r="BD1" s="60" t="s">
        <v>745</v>
      </c>
      <c r="BE1" s="60" t="s">
        <v>747</v>
      </c>
      <c r="BF1" s="60" t="s">
        <v>749</v>
      </c>
      <c r="BG1" s="60" t="s">
        <v>78</v>
      </c>
      <c r="BH1" s="60" t="s">
        <v>360</v>
      </c>
      <c r="BI1" s="60" t="s">
        <v>39</v>
      </c>
      <c r="BJ1" s="60" t="s">
        <v>792</v>
      </c>
      <c r="BK1" s="60" t="s">
        <v>778</v>
      </c>
      <c r="BL1" s="60" t="s">
        <v>780</v>
      </c>
      <c r="BM1" s="60" t="s">
        <v>366</v>
      </c>
      <c r="BN1" s="60" t="s">
        <v>795</v>
      </c>
      <c r="BO1" s="60" t="s">
        <v>800</v>
      </c>
      <c r="BP1" s="60" t="s">
        <v>803</v>
      </c>
      <c r="BQ1" s="60" t="s">
        <v>808</v>
      </c>
      <c r="BR1" s="60" t="s">
        <v>1234</v>
      </c>
      <c r="BS1" s="60" t="s">
        <v>751</v>
      </c>
      <c r="BT1" s="60" t="s">
        <v>865</v>
      </c>
      <c r="BU1" s="60" t="s">
        <v>1220</v>
      </c>
      <c r="BV1" s="60" t="s">
        <v>1204</v>
      </c>
      <c r="BW1" s="60" t="s">
        <v>1201</v>
      </c>
      <c r="BX1" s="60" t="s">
        <v>1581</v>
      </c>
      <c r="BY1" s="60" t="s">
        <v>1231</v>
      </c>
      <c r="BZ1" s="60" t="s">
        <v>946</v>
      </c>
      <c r="CA1" s="60" t="s">
        <v>1041</v>
      </c>
      <c r="CB1" s="60" t="s">
        <v>1161</v>
      </c>
      <c r="CC1" s="60" t="s">
        <v>1164</v>
      </c>
      <c r="CD1" s="60" t="s">
        <v>1190</v>
      </c>
      <c r="CE1" s="60" t="s">
        <v>870</v>
      </c>
      <c r="CF1" s="60" t="s">
        <v>889</v>
      </c>
      <c r="CG1" s="60" t="s">
        <v>949</v>
      </c>
      <c r="CH1" s="60" t="s">
        <v>1193</v>
      </c>
      <c r="CI1" s="60" t="s">
        <v>1223</v>
      </c>
      <c r="CJ1" s="60" t="s">
        <v>847</v>
      </c>
      <c r="CK1" s="60" t="s">
        <v>886</v>
      </c>
      <c r="CL1" s="60" t="s">
        <v>1582</v>
      </c>
      <c r="CM1" s="60" t="s">
        <v>1186</v>
      </c>
      <c r="CN1" s="60" t="s">
        <v>1062</v>
      </c>
      <c r="CO1" s="60" t="s">
        <v>1033</v>
      </c>
      <c r="CP1" s="60" t="s">
        <v>1012</v>
      </c>
      <c r="CQ1" s="60" t="s">
        <v>839</v>
      </c>
      <c r="CR1" s="60" t="s">
        <v>862</v>
      </c>
      <c r="CS1" s="60" t="s">
        <v>1207</v>
      </c>
      <c r="CT1" s="60" t="s">
        <v>873</v>
      </c>
      <c r="CU1" s="60" t="s">
        <v>952</v>
      </c>
      <c r="CV1" s="60" t="s">
        <v>955</v>
      </c>
      <c r="CW1" s="60" t="s">
        <v>1583</v>
      </c>
      <c r="CX1" s="60" t="s">
        <v>957</v>
      </c>
      <c r="CY1" s="60" t="s">
        <v>1023</v>
      </c>
      <c r="CZ1" s="60" t="s">
        <v>1030</v>
      </c>
      <c r="DA1" s="60" t="s">
        <v>1071</v>
      </c>
      <c r="DB1" s="60" t="s">
        <v>1129</v>
      </c>
      <c r="DC1" s="60" t="s">
        <v>1131</v>
      </c>
      <c r="DD1" s="60" t="s">
        <v>1134</v>
      </c>
      <c r="DE1" s="60" t="s">
        <v>1136</v>
      </c>
      <c r="DF1" s="60" t="s">
        <v>1138</v>
      </c>
      <c r="DG1" s="60" t="s">
        <v>826</v>
      </c>
      <c r="DH1" s="60" t="s">
        <v>894</v>
      </c>
      <c r="DI1" s="60" t="s">
        <v>899</v>
      </c>
      <c r="DJ1" s="60" t="s">
        <v>853</v>
      </c>
      <c r="DK1" s="60" t="s">
        <v>856</v>
      </c>
      <c r="DL1" s="60" t="s">
        <v>754</v>
      </c>
      <c r="DM1" s="60" t="s">
        <v>859</v>
      </c>
      <c r="DN1" s="60" t="s">
        <v>1126</v>
      </c>
      <c r="DO1" s="60" t="s">
        <v>1166</v>
      </c>
      <c r="DP1" s="60" t="s">
        <v>842</v>
      </c>
      <c r="DQ1" s="60" t="s">
        <v>1584</v>
      </c>
      <c r="DR1" s="60" t="s">
        <v>1585</v>
      </c>
      <c r="DS1" s="60" t="s">
        <v>1586</v>
      </c>
      <c r="DT1" s="60" t="s">
        <v>1587</v>
      </c>
      <c r="DU1" s="60" t="s">
        <v>1049</v>
      </c>
      <c r="DV1" s="60" t="s">
        <v>916</v>
      </c>
      <c r="DW1" s="60" t="s">
        <v>1055</v>
      </c>
      <c r="DX1" s="60" t="s">
        <v>1058</v>
      </c>
      <c r="DY1" s="60" t="s">
        <v>1588</v>
      </c>
    </row>
    <row r="2" spans="1:129" ht="70" x14ac:dyDescent="0.35">
      <c r="A2" s="24" t="s">
        <v>34</v>
      </c>
      <c r="B2" s="24" t="s">
        <v>35</v>
      </c>
      <c r="C2" s="25" t="s">
        <v>36</v>
      </c>
      <c r="D2" s="26" t="s">
        <v>37</v>
      </c>
      <c r="E2" s="27" t="s">
        <v>38</v>
      </c>
      <c r="F2" s="28" t="s">
        <v>39</v>
      </c>
      <c r="G2" s="24" t="s">
        <v>40</v>
      </c>
      <c r="H2" s="24" t="s">
        <v>41</v>
      </c>
      <c r="I2" s="24" t="s">
        <v>42</v>
      </c>
      <c r="J2" s="24" t="s">
        <v>43</v>
      </c>
      <c r="K2" s="27" t="s">
        <v>44</v>
      </c>
      <c r="L2" s="24" t="s">
        <v>45</v>
      </c>
      <c r="M2" s="24" t="s">
        <v>46</v>
      </c>
      <c r="N2" s="24" t="s">
        <v>47</v>
      </c>
      <c r="O2" s="24" t="s">
        <v>45</v>
      </c>
      <c r="P2" s="24" t="s">
        <v>46</v>
      </c>
      <c r="Q2" s="24" t="s">
        <v>47</v>
      </c>
      <c r="R2" s="24" t="s">
        <v>45</v>
      </c>
      <c r="S2" s="24" t="s">
        <v>46</v>
      </c>
      <c r="T2" s="24" t="s">
        <v>47</v>
      </c>
      <c r="U2" s="29" t="s">
        <v>48</v>
      </c>
      <c r="V2" s="29" t="s">
        <v>49</v>
      </c>
      <c r="W2" s="29" t="s">
        <v>50</v>
      </c>
      <c r="X2" s="29" t="s">
        <v>51</v>
      </c>
      <c r="Y2" s="29" t="s">
        <v>52</v>
      </c>
      <c r="Z2" s="29" t="s">
        <v>53</v>
      </c>
      <c r="AA2" s="29" t="s">
        <v>28</v>
      </c>
      <c r="AB2" s="30"/>
      <c r="AC2" s="31" t="s">
        <v>54</v>
      </c>
      <c r="AD2" s="31" t="s">
        <v>55</v>
      </c>
      <c r="AE2" s="31" t="s">
        <v>56</v>
      </c>
      <c r="AF2" s="31" t="s">
        <v>57</v>
      </c>
      <c r="AG2" s="32" t="s">
        <v>58</v>
      </c>
      <c r="AH2" s="32" t="s">
        <v>59</v>
      </c>
      <c r="AI2" s="32" t="s">
        <v>60</v>
      </c>
      <c r="AJ2" s="32" t="s">
        <v>61</v>
      </c>
      <c r="AK2" s="32" t="s">
        <v>62</v>
      </c>
      <c r="AL2" s="32" t="s">
        <v>63</v>
      </c>
      <c r="AM2" s="32" t="s">
        <v>1750</v>
      </c>
      <c r="AN2" s="32" t="s">
        <v>1751</v>
      </c>
      <c r="AO2" s="33" t="s">
        <v>64</v>
      </c>
      <c r="AP2" s="34" t="s">
        <v>65</v>
      </c>
      <c r="AQ2" s="33" t="s">
        <v>66</v>
      </c>
      <c r="AR2" s="69"/>
      <c r="AU2" s="61" t="s">
        <v>1589</v>
      </c>
      <c r="AV2" s="61" t="s">
        <v>1589</v>
      </c>
      <c r="AW2" s="61" t="s">
        <v>1590</v>
      </c>
      <c r="AX2" s="61" t="s">
        <v>1591</v>
      </c>
      <c r="AY2" s="61" t="s">
        <v>1592</v>
      </c>
      <c r="AZ2" s="61" t="s">
        <v>1593</v>
      </c>
      <c r="BA2" s="61" t="s">
        <v>1594</v>
      </c>
      <c r="BB2" s="61" t="s">
        <v>1595</v>
      </c>
      <c r="BC2" s="61" t="s">
        <v>1596</v>
      </c>
      <c r="BD2" s="61" t="s">
        <v>1597</v>
      </c>
      <c r="BE2" s="61" t="s">
        <v>1598</v>
      </c>
      <c r="BF2" s="61" t="s">
        <v>1599</v>
      </c>
      <c r="BG2" s="61" t="s">
        <v>1600</v>
      </c>
      <c r="BH2" s="61" t="s">
        <v>1601</v>
      </c>
      <c r="BI2" s="61" t="s">
        <v>1602</v>
      </c>
      <c r="BJ2" s="61" t="s">
        <v>1603</v>
      </c>
      <c r="BK2" s="61" t="s">
        <v>1604</v>
      </c>
      <c r="BL2" s="61" t="s">
        <v>1605</v>
      </c>
      <c r="BM2" s="61" t="s">
        <v>1606</v>
      </c>
      <c r="BN2" s="61" t="s">
        <v>1607</v>
      </c>
      <c r="BO2" s="61" t="s">
        <v>1608</v>
      </c>
      <c r="BP2" s="61" t="s">
        <v>1609</v>
      </c>
      <c r="BQ2" s="61" t="s">
        <v>1610</v>
      </c>
      <c r="BR2" s="61" t="s">
        <v>1611</v>
      </c>
      <c r="BS2" s="61" t="s">
        <v>1612</v>
      </c>
      <c r="BT2" s="61" t="s">
        <v>1613</v>
      </c>
      <c r="BU2" s="61" t="s">
        <v>1614</v>
      </c>
      <c r="BV2" s="61" t="s">
        <v>1615</v>
      </c>
      <c r="BW2" s="61" t="s">
        <v>1616</v>
      </c>
      <c r="BX2" s="61" t="s">
        <v>1617</v>
      </c>
      <c r="BY2" s="61" t="s">
        <v>1618</v>
      </c>
      <c r="BZ2" s="61" t="s">
        <v>1619</v>
      </c>
      <c r="CA2" s="61" t="s">
        <v>1620</v>
      </c>
      <c r="CB2" s="61" t="s">
        <v>1621</v>
      </c>
      <c r="CC2" s="61" t="s">
        <v>1622</v>
      </c>
      <c r="CD2" s="61" t="s">
        <v>1623</v>
      </c>
      <c r="CE2" s="61" t="s">
        <v>1624</v>
      </c>
      <c r="CF2" s="61" t="s">
        <v>1625</v>
      </c>
      <c r="CG2" s="61" t="s">
        <v>1626</v>
      </c>
      <c r="CH2" s="61" t="s">
        <v>1627</v>
      </c>
      <c r="CI2" s="61" t="s">
        <v>1628</v>
      </c>
      <c r="CJ2" s="61" t="s">
        <v>1629</v>
      </c>
      <c r="CK2" s="61" t="s">
        <v>1630</v>
      </c>
      <c r="CL2" s="61" t="s">
        <v>1631</v>
      </c>
      <c r="CM2" s="61" t="s">
        <v>1632</v>
      </c>
      <c r="CN2" s="61" t="s">
        <v>1633</v>
      </c>
      <c r="CO2" s="61" t="s">
        <v>1634</v>
      </c>
      <c r="CP2" s="61" t="s">
        <v>1635</v>
      </c>
      <c r="CQ2" s="61" t="s">
        <v>1636</v>
      </c>
      <c r="CR2" s="61" t="s">
        <v>1637</v>
      </c>
      <c r="CS2" s="61" t="s">
        <v>1638</v>
      </c>
      <c r="CT2" s="61" t="s">
        <v>1639</v>
      </c>
      <c r="CU2" s="61" t="s">
        <v>1640</v>
      </c>
      <c r="CV2" s="61" t="s">
        <v>1641</v>
      </c>
      <c r="CW2" s="61" t="s">
        <v>1642</v>
      </c>
      <c r="CX2" s="61" t="s">
        <v>1643</v>
      </c>
      <c r="CY2" s="61" t="s">
        <v>1644</v>
      </c>
      <c r="CZ2" s="61" t="s">
        <v>1645</v>
      </c>
      <c r="DA2" s="61" t="s">
        <v>1646</v>
      </c>
      <c r="DB2" s="61" t="s">
        <v>1647</v>
      </c>
      <c r="DC2" s="61" t="s">
        <v>1648</v>
      </c>
      <c r="DD2" s="61" t="s">
        <v>1649</v>
      </c>
      <c r="DE2" s="61" t="s">
        <v>1650</v>
      </c>
      <c r="DF2" s="61" t="s">
        <v>1651</v>
      </c>
      <c r="DG2" s="61" t="s">
        <v>1652</v>
      </c>
      <c r="DH2" s="61" t="s">
        <v>1653</v>
      </c>
      <c r="DI2" s="61" t="s">
        <v>1654</v>
      </c>
      <c r="DJ2" s="61" t="s">
        <v>1655</v>
      </c>
      <c r="DK2" s="61" t="s">
        <v>1656</v>
      </c>
      <c r="DL2" s="61" t="s">
        <v>1657</v>
      </c>
      <c r="DM2" s="61" t="s">
        <v>1658</v>
      </c>
      <c r="DN2" s="61" t="s">
        <v>1659</v>
      </c>
      <c r="DO2" s="61" t="s">
        <v>1660</v>
      </c>
      <c r="DP2" s="61" t="s">
        <v>1661</v>
      </c>
      <c r="DQ2" s="61" t="s">
        <v>1662</v>
      </c>
      <c r="DR2" s="61" t="s">
        <v>1663</v>
      </c>
      <c r="DS2" s="61" t="s">
        <v>1664</v>
      </c>
      <c r="DT2" s="61" t="s">
        <v>1665</v>
      </c>
      <c r="DU2" s="61" t="s">
        <v>1666</v>
      </c>
      <c r="DV2" s="61" t="s">
        <v>1667</v>
      </c>
      <c r="DW2" s="61" t="s">
        <v>1668</v>
      </c>
      <c r="DX2" s="61" t="s">
        <v>1669</v>
      </c>
      <c r="DY2" s="61" t="s">
        <v>1670</v>
      </c>
    </row>
    <row r="3" spans="1:129" x14ac:dyDescent="0.35">
      <c r="A3" s="59" t="s">
        <v>1752</v>
      </c>
      <c r="B3" t="s">
        <v>1753</v>
      </c>
      <c r="C3" t="s">
        <v>1577</v>
      </c>
      <c r="D3" t="s">
        <v>1754</v>
      </c>
      <c r="E3" s="62" t="s">
        <v>1568</v>
      </c>
      <c r="F3" s="63" t="s">
        <v>1572</v>
      </c>
      <c r="G3" s="63" t="s">
        <v>1573</v>
      </c>
      <c r="H3" t="s">
        <v>68</v>
      </c>
      <c r="I3" t="s">
        <v>68</v>
      </c>
      <c r="J3" t="s">
        <v>68</v>
      </c>
      <c r="K3" s="57" t="s">
        <v>1567</v>
      </c>
      <c r="L3" s="64" t="s">
        <v>69</v>
      </c>
      <c r="M3" s="64">
        <v>3</v>
      </c>
      <c r="N3" s="64">
        <v>3</v>
      </c>
      <c r="O3" s="64" t="s">
        <v>69</v>
      </c>
      <c r="P3" s="64">
        <v>4</v>
      </c>
      <c r="Q3" s="64">
        <v>4</v>
      </c>
      <c r="R3" s="64" t="s">
        <v>69</v>
      </c>
      <c r="S3" s="64">
        <v>5</v>
      </c>
      <c r="T3" s="64">
        <v>5</v>
      </c>
      <c r="U3" t="s">
        <v>1574</v>
      </c>
      <c r="V3" t="s">
        <v>1575</v>
      </c>
      <c r="W3" t="s">
        <v>1576</v>
      </c>
      <c r="X3" t="s">
        <v>1676</v>
      </c>
      <c r="Y3" t="s">
        <v>1677</v>
      </c>
      <c r="Z3" s="59" t="s">
        <v>1568</v>
      </c>
      <c r="AA3" s="59" t="s">
        <v>1568</v>
      </c>
      <c r="AC3" s="59" t="s">
        <v>1568</v>
      </c>
      <c r="AD3" s="59" t="s">
        <v>1568</v>
      </c>
      <c r="AE3" s="59" t="s">
        <v>1568</v>
      </c>
      <c r="AF3" s="59" t="s">
        <v>1568</v>
      </c>
      <c r="AG3" s="58" t="s">
        <v>1569</v>
      </c>
      <c r="AH3" t="s">
        <v>1574</v>
      </c>
      <c r="AI3" s="58" t="s">
        <v>70</v>
      </c>
      <c r="AJ3" s="59" t="s">
        <v>1578</v>
      </c>
      <c r="AK3" s="59"/>
      <c r="AL3" t="s">
        <v>1570</v>
      </c>
      <c r="AM3" t="s">
        <v>1575</v>
      </c>
      <c r="AN3" t="s">
        <v>1576</v>
      </c>
      <c r="AO3" s="59" t="s">
        <v>71</v>
      </c>
      <c r="AP3" s="59" t="s">
        <v>1568</v>
      </c>
      <c r="AQ3" s="59" t="s">
        <v>1568</v>
      </c>
      <c r="AR3" t="s">
        <v>1571</v>
      </c>
      <c r="AU3" s="59" t="s">
        <v>1568</v>
      </c>
      <c r="AV3" s="63"/>
      <c r="AW3" s="63" t="s">
        <v>1573</v>
      </c>
      <c r="AX3" t="s">
        <v>1672</v>
      </c>
      <c r="AY3" t="s">
        <v>1671</v>
      </c>
      <c r="AZ3" t="s">
        <v>1673</v>
      </c>
      <c r="BA3" t="s">
        <v>1674</v>
      </c>
      <c r="BB3" t="s">
        <v>1675</v>
      </c>
      <c r="BC3" t="s">
        <v>1676</v>
      </c>
      <c r="BD3" t="s">
        <v>1677</v>
      </c>
      <c r="BE3" t="s">
        <v>1678</v>
      </c>
      <c r="BF3" t="s">
        <v>1679</v>
      </c>
      <c r="BG3" t="s">
        <v>1680</v>
      </c>
      <c r="BH3" t="s">
        <v>1574</v>
      </c>
      <c r="BI3" t="s">
        <v>1572</v>
      </c>
      <c r="BJ3" t="s">
        <v>1681</v>
      </c>
      <c r="BK3" t="s">
        <v>1682</v>
      </c>
      <c r="BL3" t="s">
        <v>1748</v>
      </c>
      <c r="BM3" t="s">
        <v>1747</v>
      </c>
      <c r="BN3" t="s">
        <v>1746</v>
      </c>
      <c r="BO3" t="s">
        <v>1745</v>
      </c>
      <c r="BP3" t="s">
        <v>1744</v>
      </c>
      <c r="BQ3" t="s">
        <v>1743</v>
      </c>
      <c r="BR3" t="s">
        <v>1742</v>
      </c>
      <c r="BS3" t="s">
        <v>1741</v>
      </c>
      <c r="BT3" t="s">
        <v>1740</v>
      </c>
      <c r="BU3" t="s">
        <v>1739</v>
      </c>
      <c r="BV3" t="s">
        <v>1738</v>
      </c>
      <c r="BW3" t="s">
        <v>1737</v>
      </c>
      <c r="BX3" t="s">
        <v>1736</v>
      </c>
      <c r="BY3" t="s">
        <v>1735</v>
      </c>
      <c r="BZ3" t="s">
        <v>1734</v>
      </c>
      <c r="CA3" t="s">
        <v>1733</v>
      </c>
      <c r="CB3" t="s">
        <v>1732</v>
      </c>
      <c r="CC3" t="s">
        <v>1731</v>
      </c>
      <c r="CD3" t="s">
        <v>1730</v>
      </c>
      <c r="CE3" t="s">
        <v>1729</v>
      </c>
      <c r="CF3" t="s">
        <v>1728</v>
      </c>
      <c r="CG3" t="s">
        <v>1727</v>
      </c>
      <c r="CH3" t="s">
        <v>1726</v>
      </c>
      <c r="CI3" t="s">
        <v>1725</v>
      </c>
      <c r="CJ3" t="s">
        <v>1724</v>
      </c>
      <c r="CK3" t="s">
        <v>1723</v>
      </c>
      <c r="CL3" t="s">
        <v>1722</v>
      </c>
      <c r="CM3" t="s">
        <v>1721</v>
      </c>
      <c r="CN3" t="s">
        <v>1720</v>
      </c>
      <c r="CO3" t="s">
        <v>1719</v>
      </c>
      <c r="CP3" t="s">
        <v>1718</v>
      </c>
      <c r="CQ3" t="s">
        <v>1717</v>
      </c>
      <c r="CR3" t="s">
        <v>1716</v>
      </c>
      <c r="CS3" t="s">
        <v>1683</v>
      </c>
      <c r="CT3" t="s">
        <v>1715</v>
      </c>
      <c r="CU3" t="s">
        <v>1714</v>
      </c>
      <c r="CV3" t="s">
        <v>1713</v>
      </c>
      <c r="CW3" t="s">
        <v>1712</v>
      </c>
      <c r="CX3" t="s">
        <v>1711</v>
      </c>
      <c r="CY3" t="s">
        <v>1710</v>
      </c>
      <c r="CZ3" t="s">
        <v>1709</v>
      </c>
      <c r="DA3" t="s">
        <v>1708</v>
      </c>
      <c r="DB3" t="s">
        <v>1707</v>
      </c>
      <c r="DC3" t="s">
        <v>1706</v>
      </c>
      <c r="DD3" t="s">
        <v>1705</v>
      </c>
      <c r="DE3" t="s">
        <v>1704</v>
      </c>
      <c r="DF3" t="s">
        <v>1703</v>
      </c>
      <c r="DG3" t="s">
        <v>1702</v>
      </c>
      <c r="DH3" t="s">
        <v>1701</v>
      </c>
      <c r="DI3" t="s">
        <v>1700</v>
      </c>
      <c r="DJ3" t="s">
        <v>1699</v>
      </c>
      <c r="DK3" t="s">
        <v>1698</v>
      </c>
      <c r="DL3" t="s">
        <v>1697</v>
      </c>
      <c r="DM3" t="s">
        <v>1696</v>
      </c>
      <c r="DN3" t="s">
        <v>1695</v>
      </c>
      <c r="DO3" t="s">
        <v>1694</v>
      </c>
      <c r="DP3" t="s">
        <v>1693</v>
      </c>
      <c r="DQ3" t="s">
        <v>1692</v>
      </c>
      <c r="DR3" t="s">
        <v>1691</v>
      </c>
      <c r="DS3" t="s">
        <v>1690</v>
      </c>
      <c r="DT3" t="s">
        <v>1689</v>
      </c>
      <c r="DU3" t="s">
        <v>1688</v>
      </c>
      <c r="DV3" t="s">
        <v>1687</v>
      </c>
      <c r="DW3" t="s">
        <v>1686</v>
      </c>
      <c r="DX3" t="s">
        <v>1685</v>
      </c>
      <c r="DY3" t="s">
        <v>1684</v>
      </c>
    </row>
  </sheetData>
  <mergeCells count="2">
    <mergeCell ref="AC1:AF1"/>
    <mergeCell ref="AR1:AR2"/>
  </mergeCells>
  <phoneticPr fontId="27" type="noConversion"/>
  <conditionalFormatting sqref="D1:D2">
    <cfRule type="containsErrors" dxfId="5" priority="3">
      <formula>ISERROR(D1)</formula>
    </cfRule>
  </conditionalFormatting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A4585-3A12-47C9-946D-0731203632B3}">
  <sheetPr codeName="Sheet4">
    <tabColor rgb="FF00B0F0"/>
  </sheetPr>
  <dimension ref="A1:NR152"/>
  <sheetViews>
    <sheetView topLeftCell="A115" workbookViewId="0">
      <selection activeCell="I129" sqref="I129"/>
    </sheetView>
  </sheetViews>
  <sheetFormatPr defaultRowHeight="14.5" x14ac:dyDescent="0.35"/>
  <cols>
    <col min="1" max="1" width="100.1796875" customWidth="1"/>
    <col min="2" max="2" width="13.453125" customWidth="1"/>
    <col min="3" max="3" width="18" bestFit="1" customWidth="1"/>
  </cols>
  <sheetData>
    <row r="1" spans="1:382" x14ac:dyDescent="0.35">
      <c r="A1" s="51" t="s">
        <v>73</v>
      </c>
      <c r="B1" t="s">
        <v>74</v>
      </c>
      <c r="C1" s="52" t="s">
        <v>74</v>
      </c>
      <c r="D1">
        <v>10</v>
      </c>
      <c r="G1" s="54" t="s">
        <v>75</v>
      </c>
      <c r="H1" s="54">
        <v>1</v>
      </c>
    </row>
    <row r="2" spans="1:382" x14ac:dyDescent="0.35">
      <c r="A2" s="51" t="s">
        <v>73</v>
      </c>
      <c r="B2" t="s">
        <v>76</v>
      </c>
      <c r="C2" s="52" t="s">
        <v>76</v>
      </c>
      <c r="D2">
        <v>20</v>
      </c>
      <c r="G2" s="54" t="s">
        <v>75</v>
      </c>
      <c r="H2" s="54">
        <v>1</v>
      </c>
    </row>
    <row r="3" spans="1:382" x14ac:dyDescent="0.35">
      <c r="A3" s="51" t="s">
        <v>73</v>
      </c>
      <c r="B3" t="s">
        <v>77</v>
      </c>
      <c r="C3" s="52" t="s">
        <v>78</v>
      </c>
      <c r="D3">
        <v>30</v>
      </c>
      <c r="E3" s="54" t="s">
        <v>79</v>
      </c>
      <c r="G3" s="54" t="s">
        <v>80</v>
      </c>
      <c r="H3" s="54">
        <v>1</v>
      </c>
    </row>
    <row r="4" spans="1:382" ht="15" customHeight="1" x14ac:dyDescent="0.35">
      <c r="A4" s="51" t="s">
        <v>73</v>
      </c>
      <c r="B4" t="s">
        <v>81</v>
      </c>
      <c r="C4" s="52" t="s">
        <v>40</v>
      </c>
      <c r="D4">
        <v>40</v>
      </c>
      <c r="E4" s="54" t="s">
        <v>79</v>
      </c>
      <c r="G4" s="54" t="s">
        <v>80</v>
      </c>
      <c r="H4" s="54">
        <v>1</v>
      </c>
    </row>
    <row r="5" spans="1:382" ht="15" customHeight="1" x14ac:dyDescent="0.35">
      <c r="A5" s="51" t="s">
        <v>73</v>
      </c>
      <c r="B5" t="s">
        <v>82</v>
      </c>
      <c r="C5" s="52" t="s">
        <v>39</v>
      </c>
      <c r="D5">
        <v>50</v>
      </c>
      <c r="E5" s="54" t="s">
        <v>79</v>
      </c>
      <c r="G5" s="54" t="s">
        <v>80</v>
      </c>
      <c r="H5" s="54">
        <v>1</v>
      </c>
    </row>
    <row r="6" spans="1:382" x14ac:dyDescent="0.35">
      <c r="A6" s="51" t="s">
        <v>73</v>
      </c>
      <c r="B6" t="s">
        <v>83</v>
      </c>
      <c r="C6" s="52" t="s">
        <v>84</v>
      </c>
      <c r="D6">
        <v>60</v>
      </c>
      <c r="E6" s="54" t="s">
        <v>79</v>
      </c>
      <c r="G6" s="54" t="s">
        <v>80</v>
      </c>
      <c r="H6">
        <v>276</v>
      </c>
      <c r="I6" t="s">
        <v>85</v>
      </c>
      <c r="J6" t="s">
        <v>86</v>
      </c>
      <c r="K6" t="s">
        <v>87</v>
      </c>
      <c r="L6" t="s">
        <v>88</v>
      </c>
      <c r="M6" t="s">
        <v>89</v>
      </c>
      <c r="N6" t="s">
        <v>90</v>
      </c>
      <c r="O6" t="s">
        <v>91</v>
      </c>
      <c r="P6" t="s">
        <v>92</v>
      </c>
      <c r="Q6" t="s">
        <v>93</v>
      </c>
      <c r="R6" t="s">
        <v>94</v>
      </c>
      <c r="S6" t="s">
        <v>95</v>
      </c>
      <c r="T6" t="s">
        <v>96</v>
      </c>
      <c r="U6" t="s">
        <v>97</v>
      </c>
      <c r="V6" t="s">
        <v>98</v>
      </c>
      <c r="W6" t="s">
        <v>99</v>
      </c>
      <c r="X6" t="s">
        <v>100</v>
      </c>
      <c r="Y6" t="s">
        <v>101</v>
      </c>
      <c r="Z6" t="s">
        <v>102</v>
      </c>
      <c r="AA6" t="s">
        <v>103</v>
      </c>
      <c r="AB6" t="s">
        <v>104</v>
      </c>
      <c r="AC6" t="s">
        <v>105</v>
      </c>
      <c r="AD6" t="s">
        <v>106</v>
      </c>
      <c r="AE6" t="s">
        <v>107</v>
      </c>
      <c r="AF6" t="s">
        <v>108</v>
      </c>
      <c r="AG6" t="s">
        <v>109</v>
      </c>
      <c r="AH6" t="s">
        <v>110</v>
      </c>
      <c r="AI6" t="s">
        <v>111</v>
      </c>
      <c r="AJ6" t="s">
        <v>112</v>
      </c>
      <c r="AK6" t="s">
        <v>113</v>
      </c>
      <c r="AL6" t="s">
        <v>114</v>
      </c>
      <c r="AM6" t="s">
        <v>115</v>
      </c>
      <c r="AN6" t="s">
        <v>116</v>
      </c>
      <c r="AO6" t="s">
        <v>117</v>
      </c>
      <c r="AP6" t="s">
        <v>118</v>
      </c>
      <c r="AQ6" t="s">
        <v>119</v>
      </c>
      <c r="AR6" t="s">
        <v>120</v>
      </c>
      <c r="AS6" t="s">
        <v>121</v>
      </c>
      <c r="AT6" t="s">
        <v>122</v>
      </c>
      <c r="AU6" t="s">
        <v>123</v>
      </c>
      <c r="AV6" t="s">
        <v>124</v>
      </c>
      <c r="AW6" t="s">
        <v>125</v>
      </c>
      <c r="AX6" t="s">
        <v>126</v>
      </c>
      <c r="AY6" t="s">
        <v>127</v>
      </c>
      <c r="AZ6" t="s">
        <v>128</v>
      </c>
      <c r="BA6" t="s">
        <v>129</v>
      </c>
      <c r="BB6" t="s">
        <v>130</v>
      </c>
      <c r="BC6" t="s">
        <v>131</v>
      </c>
      <c r="BD6" t="s">
        <v>132</v>
      </c>
      <c r="BE6" t="s">
        <v>133</v>
      </c>
      <c r="BF6" t="s">
        <v>134</v>
      </c>
      <c r="BG6" t="s">
        <v>135</v>
      </c>
      <c r="BH6" t="s">
        <v>136</v>
      </c>
      <c r="BI6" t="s">
        <v>137</v>
      </c>
      <c r="BJ6" t="s">
        <v>138</v>
      </c>
      <c r="BK6" t="s">
        <v>139</v>
      </c>
      <c r="BL6" t="s">
        <v>140</v>
      </c>
      <c r="BM6" t="s">
        <v>141</v>
      </c>
      <c r="BN6" t="s">
        <v>142</v>
      </c>
      <c r="BO6" t="s">
        <v>143</v>
      </c>
      <c r="BP6" t="s">
        <v>144</v>
      </c>
      <c r="BQ6" s="38" t="s">
        <v>145</v>
      </c>
      <c r="BR6" t="s">
        <v>146</v>
      </c>
      <c r="BS6" t="s">
        <v>147</v>
      </c>
      <c r="BT6" t="s">
        <v>148</v>
      </c>
      <c r="BU6" t="s">
        <v>149</v>
      </c>
      <c r="BV6" t="s">
        <v>150</v>
      </c>
      <c r="BW6" t="s">
        <v>151</v>
      </c>
      <c r="BX6" t="s">
        <v>152</v>
      </c>
      <c r="BY6" t="s">
        <v>153</v>
      </c>
      <c r="BZ6" t="s">
        <v>154</v>
      </c>
      <c r="CA6" t="s">
        <v>155</v>
      </c>
      <c r="CB6" t="s">
        <v>156</v>
      </c>
      <c r="CC6" t="s">
        <v>157</v>
      </c>
      <c r="CD6" t="s">
        <v>158</v>
      </c>
      <c r="CE6" t="s">
        <v>159</v>
      </c>
      <c r="CF6" t="s">
        <v>160</v>
      </c>
      <c r="CG6" t="s">
        <v>161</v>
      </c>
      <c r="CH6" t="s">
        <v>162</v>
      </c>
      <c r="CI6" t="s">
        <v>163</v>
      </c>
      <c r="CJ6" t="s">
        <v>164</v>
      </c>
      <c r="CK6" t="s">
        <v>165</v>
      </c>
      <c r="CL6" t="s">
        <v>166</v>
      </c>
      <c r="CM6" t="s">
        <v>167</v>
      </c>
      <c r="CN6" t="s">
        <v>168</v>
      </c>
      <c r="CO6" t="s">
        <v>169</v>
      </c>
      <c r="CP6" t="s">
        <v>170</v>
      </c>
      <c r="CQ6" t="s">
        <v>171</v>
      </c>
      <c r="CR6" t="s">
        <v>172</v>
      </c>
      <c r="CS6" t="s">
        <v>173</v>
      </c>
      <c r="CT6" t="s">
        <v>174</v>
      </c>
      <c r="CU6" t="s">
        <v>175</v>
      </c>
      <c r="CV6" t="s">
        <v>176</v>
      </c>
      <c r="CW6" t="s">
        <v>177</v>
      </c>
      <c r="CX6" t="s">
        <v>178</v>
      </c>
      <c r="CY6" t="s">
        <v>179</v>
      </c>
      <c r="CZ6" t="s">
        <v>180</v>
      </c>
      <c r="DA6" t="s">
        <v>181</v>
      </c>
      <c r="DB6" t="s">
        <v>182</v>
      </c>
      <c r="DC6" t="s">
        <v>183</v>
      </c>
      <c r="DD6" t="s">
        <v>184</v>
      </c>
      <c r="DE6" t="s">
        <v>185</v>
      </c>
      <c r="DF6" t="s">
        <v>186</v>
      </c>
      <c r="DG6" t="s">
        <v>187</v>
      </c>
      <c r="DH6" t="s">
        <v>188</v>
      </c>
      <c r="DI6" t="s">
        <v>189</v>
      </c>
      <c r="DJ6" t="s">
        <v>190</v>
      </c>
      <c r="DK6" t="s">
        <v>191</v>
      </c>
      <c r="DL6" t="s">
        <v>192</v>
      </c>
      <c r="DM6" t="s">
        <v>193</v>
      </c>
      <c r="DN6" t="s">
        <v>194</v>
      </c>
      <c r="DO6" t="s">
        <v>195</v>
      </c>
      <c r="DP6" t="s">
        <v>196</v>
      </c>
      <c r="DQ6" t="s">
        <v>197</v>
      </c>
      <c r="DR6" t="s">
        <v>198</v>
      </c>
      <c r="DS6" t="s">
        <v>199</v>
      </c>
      <c r="DT6" t="s">
        <v>200</v>
      </c>
      <c r="DU6" t="s">
        <v>201</v>
      </c>
      <c r="DV6" t="s">
        <v>202</v>
      </c>
      <c r="DW6" t="s">
        <v>203</v>
      </c>
      <c r="DX6" t="s">
        <v>204</v>
      </c>
      <c r="DY6" t="s">
        <v>205</v>
      </c>
      <c r="DZ6" t="s">
        <v>206</v>
      </c>
      <c r="EA6" t="s">
        <v>207</v>
      </c>
      <c r="EB6" t="s">
        <v>208</v>
      </c>
      <c r="EC6" t="s">
        <v>209</v>
      </c>
      <c r="ED6" t="s">
        <v>210</v>
      </c>
      <c r="EE6" t="s">
        <v>211</v>
      </c>
      <c r="EF6" t="s">
        <v>212</v>
      </c>
      <c r="EG6" t="s">
        <v>213</v>
      </c>
      <c r="EH6" t="s">
        <v>214</v>
      </c>
      <c r="EI6" t="s">
        <v>215</v>
      </c>
      <c r="EJ6" t="s">
        <v>216</v>
      </c>
      <c r="EK6" t="s">
        <v>217</v>
      </c>
      <c r="EL6" t="s">
        <v>218</v>
      </c>
      <c r="EM6" s="50" t="s">
        <v>219</v>
      </c>
      <c r="EN6" t="s">
        <v>220</v>
      </c>
      <c r="EO6" t="s">
        <v>221</v>
      </c>
      <c r="EP6" t="s">
        <v>222</v>
      </c>
      <c r="EQ6" t="s">
        <v>223</v>
      </c>
      <c r="ER6" t="s">
        <v>224</v>
      </c>
      <c r="ES6" s="50" t="s">
        <v>225</v>
      </c>
      <c r="ET6" t="s">
        <v>226</v>
      </c>
      <c r="EU6" t="s">
        <v>227</v>
      </c>
      <c r="EV6" t="s">
        <v>228</v>
      </c>
      <c r="EW6" t="s">
        <v>229</v>
      </c>
      <c r="EX6" t="s">
        <v>230</v>
      </c>
      <c r="EY6" t="s">
        <v>231</v>
      </c>
      <c r="EZ6" t="s">
        <v>232</v>
      </c>
      <c r="FA6" t="s">
        <v>233</v>
      </c>
      <c r="FB6" t="s">
        <v>234</v>
      </c>
      <c r="FC6" s="50" t="s">
        <v>235</v>
      </c>
      <c r="FD6" t="s">
        <v>236</v>
      </c>
      <c r="FE6" t="s">
        <v>237</v>
      </c>
      <c r="FF6" t="s">
        <v>238</v>
      </c>
      <c r="FG6" s="50" t="s">
        <v>239</v>
      </c>
      <c r="FH6" t="s">
        <v>240</v>
      </c>
      <c r="FI6" t="s">
        <v>241</v>
      </c>
      <c r="FJ6" t="s">
        <v>242</v>
      </c>
      <c r="FK6" t="s">
        <v>243</v>
      </c>
      <c r="FL6" s="50" t="s">
        <v>244</v>
      </c>
      <c r="FM6" t="s">
        <v>245</v>
      </c>
      <c r="FN6" t="s">
        <v>246</v>
      </c>
      <c r="FO6" t="s">
        <v>247</v>
      </c>
      <c r="FP6" t="s">
        <v>248</v>
      </c>
      <c r="FQ6" t="s">
        <v>249</v>
      </c>
      <c r="FR6" t="s">
        <v>250</v>
      </c>
      <c r="FS6" t="s">
        <v>251</v>
      </c>
      <c r="FT6" s="50" t="s">
        <v>252</v>
      </c>
      <c r="FU6" t="s">
        <v>253</v>
      </c>
      <c r="FV6" t="s">
        <v>254</v>
      </c>
      <c r="FW6" s="50" t="s">
        <v>255</v>
      </c>
      <c r="FX6" t="s">
        <v>256</v>
      </c>
      <c r="FY6" t="s">
        <v>257</v>
      </c>
      <c r="FZ6" t="s">
        <v>258</v>
      </c>
      <c r="GA6" t="s">
        <v>259</v>
      </c>
      <c r="GB6" t="s">
        <v>260</v>
      </c>
      <c r="GC6" s="50" t="s">
        <v>261</v>
      </c>
      <c r="GD6" t="s">
        <v>262</v>
      </c>
      <c r="GE6" t="s">
        <v>263</v>
      </c>
      <c r="GF6" t="s">
        <v>264</v>
      </c>
      <c r="GG6" t="s">
        <v>265</v>
      </c>
      <c r="GH6" t="s">
        <v>266</v>
      </c>
      <c r="GI6" t="s">
        <v>267</v>
      </c>
      <c r="GJ6" t="s">
        <v>268</v>
      </c>
      <c r="GK6" t="s">
        <v>269</v>
      </c>
      <c r="GL6" s="50" t="s">
        <v>270</v>
      </c>
      <c r="GM6" t="s">
        <v>271</v>
      </c>
      <c r="GN6" t="s">
        <v>272</v>
      </c>
      <c r="GO6" t="s">
        <v>273</v>
      </c>
      <c r="GP6" t="s">
        <v>274</v>
      </c>
      <c r="GQ6" t="s">
        <v>275</v>
      </c>
      <c r="GR6" t="s">
        <v>276</v>
      </c>
      <c r="GS6" t="s">
        <v>277</v>
      </c>
      <c r="GT6" t="s">
        <v>278</v>
      </c>
      <c r="GU6" t="s">
        <v>279</v>
      </c>
      <c r="GV6" t="s">
        <v>280</v>
      </c>
      <c r="GW6" t="s">
        <v>281</v>
      </c>
      <c r="GX6" s="50" t="s">
        <v>282</v>
      </c>
      <c r="GY6" t="s">
        <v>283</v>
      </c>
      <c r="GZ6" t="s">
        <v>284</v>
      </c>
      <c r="HA6" t="s">
        <v>285</v>
      </c>
      <c r="HB6" t="s">
        <v>286</v>
      </c>
      <c r="HC6" t="s">
        <v>287</v>
      </c>
      <c r="HD6" t="s">
        <v>288</v>
      </c>
      <c r="HE6" t="s">
        <v>289</v>
      </c>
      <c r="HF6" t="s">
        <v>290</v>
      </c>
      <c r="HG6" s="50" t="s">
        <v>291</v>
      </c>
      <c r="HH6" t="s">
        <v>292</v>
      </c>
      <c r="HI6" s="50" t="s">
        <v>293</v>
      </c>
      <c r="HJ6" t="s">
        <v>294</v>
      </c>
      <c r="HK6" t="s">
        <v>295</v>
      </c>
      <c r="HL6" t="s">
        <v>296</v>
      </c>
      <c r="HM6" t="s">
        <v>297</v>
      </c>
      <c r="HN6" t="s">
        <v>298</v>
      </c>
      <c r="HO6" t="s">
        <v>299</v>
      </c>
      <c r="HP6" t="s">
        <v>300</v>
      </c>
      <c r="HQ6" t="s">
        <v>301</v>
      </c>
      <c r="HR6" t="s">
        <v>302</v>
      </c>
      <c r="HS6" t="s">
        <v>303</v>
      </c>
      <c r="HT6" t="s">
        <v>304</v>
      </c>
      <c r="HU6" t="s">
        <v>305</v>
      </c>
      <c r="HV6" t="s">
        <v>306</v>
      </c>
      <c r="HW6" t="s">
        <v>307</v>
      </c>
      <c r="HX6" t="s">
        <v>308</v>
      </c>
      <c r="HY6" t="s">
        <v>309</v>
      </c>
      <c r="HZ6" t="s">
        <v>310</v>
      </c>
      <c r="IA6" t="s">
        <v>311</v>
      </c>
      <c r="IB6" t="s">
        <v>312</v>
      </c>
      <c r="IC6" t="s">
        <v>313</v>
      </c>
      <c r="ID6" t="s">
        <v>314</v>
      </c>
      <c r="IE6" t="s">
        <v>315</v>
      </c>
      <c r="IF6" t="s">
        <v>316</v>
      </c>
      <c r="IG6" t="s">
        <v>317</v>
      </c>
      <c r="IH6" t="s">
        <v>318</v>
      </c>
      <c r="II6" t="s">
        <v>319</v>
      </c>
      <c r="IJ6" t="s">
        <v>320</v>
      </c>
      <c r="IK6" t="s">
        <v>321</v>
      </c>
      <c r="IL6" t="s">
        <v>322</v>
      </c>
      <c r="IM6" t="s">
        <v>323</v>
      </c>
      <c r="IN6" t="s">
        <v>324</v>
      </c>
      <c r="IO6" t="s">
        <v>325</v>
      </c>
      <c r="IP6" t="s">
        <v>326</v>
      </c>
      <c r="IQ6" t="s">
        <v>327</v>
      </c>
      <c r="IR6" t="s">
        <v>328</v>
      </c>
      <c r="IS6" t="s">
        <v>329</v>
      </c>
      <c r="IT6" t="s">
        <v>330</v>
      </c>
      <c r="IU6" t="s">
        <v>331</v>
      </c>
      <c r="IV6" t="s">
        <v>332</v>
      </c>
      <c r="IW6" t="s">
        <v>333</v>
      </c>
      <c r="IX6" t="s">
        <v>334</v>
      </c>
      <c r="IY6" t="s">
        <v>335</v>
      </c>
      <c r="IZ6" t="s">
        <v>336</v>
      </c>
      <c r="JA6" t="s">
        <v>337</v>
      </c>
      <c r="JB6" t="s">
        <v>67</v>
      </c>
      <c r="JC6" t="s">
        <v>338</v>
      </c>
      <c r="JD6" t="s">
        <v>339</v>
      </c>
      <c r="JE6" t="s">
        <v>340</v>
      </c>
      <c r="JF6" t="s">
        <v>341</v>
      </c>
      <c r="JG6" t="s">
        <v>342</v>
      </c>
      <c r="JH6" t="s">
        <v>343</v>
      </c>
      <c r="JI6" t="s">
        <v>344</v>
      </c>
      <c r="JJ6" t="s">
        <v>345</v>
      </c>
      <c r="JK6" t="s">
        <v>346</v>
      </c>
      <c r="JL6" t="s">
        <v>347</v>
      </c>
      <c r="JM6" t="s">
        <v>348</v>
      </c>
      <c r="JN6" t="s">
        <v>349</v>
      </c>
      <c r="JO6" t="s">
        <v>350</v>
      </c>
      <c r="JP6" t="s">
        <v>351</v>
      </c>
      <c r="JQ6" t="s">
        <v>352</v>
      </c>
      <c r="JR6" t="s">
        <v>353</v>
      </c>
      <c r="JS6" t="s">
        <v>354</v>
      </c>
      <c r="JT6" t="s">
        <v>355</v>
      </c>
      <c r="JU6" t="s">
        <v>356</v>
      </c>
      <c r="JV6" t="s">
        <v>357</v>
      </c>
      <c r="JW6" t="s">
        <v>358</v>
      </c>
      <c r="JX6" t="s">
        <v>72</v>
      </c>
    </row>
    <row r="7" spans="1:382" x14ac:dyDescent="0.35">
      <c r="A7" s="51" t="s">
        <v>73</v>
      </c>
      <c r="B7" t="s">
        <v>359</v>
      </c>
      <c r="C7" s="52" t="s">
        <v>360</v>
      </c>
      <c r="D7">
        <v>70</v>
      </c>
      <c r="E7" t="s">
        <v>79</v>
      </c>
      <c r="G7" t="s">
        <v>361</v>
      </c>
      <c r="H7">
        <v>1</v>
      </c>
      <c r="I7" t="s">
        <v>362</v>
      </c>
    </row>
    <row r="8" spans="1:382" x14ac:dyDescent="0.35">
      <c r="A8" s="51" t="s">
        <v>73</v>
      </c>
      <c r="B8" t="s">
        <v>50</v>
      </c>
      <c r="C8" s="52" t="s">
        <v>363</v>
      </c>
      <c r="D8">
        <v>80</v>
      </c>
      <c r="E8" s="54" t="s">
        <v>364</v>
      </c>
      <c r="G8" s="54" t="s">
        <v>80</v>
      </c>
      <c r="H8" s="54">
        <v>1</v>
      </c>
    </row>
    <row r="9" spans="1:382" x14ac:dyDescent="0.35">
      <c r="A9" s="51" t="s">
        <v>73</v>
      </c>
      <c r="B9" t="s">
        <v>365</v>
      </c>
      <c r="C9" s="55" t="s">
        <v>366</v>
      </c>
      <c r="D9">
        <v>80</v>
      </c>
      <c r="E9" t="s">
        <v>79</v>
      </c>
      <c r="G9" t="s">
        <v>367</v>
      </c>
      <c r="H9">
        <v>374</v>
      </c>
      <c r="I9" t="s">
        <v>368</v>
      </c>
      <c r="J9" t="s">
        <v>369</v>
      </c>
      <c r="K9" t="s">
        <v>370</v>
      </c>
      <c r="L9" t="s">
        <v>371</v>
      </c>
      <c r="M9" t="s">
        <v>372</v>
      </c>
      <c r="N9" t="s">
        <v>373</v>
      </c>
      <c r="O9" t="s">
        <v>374</v>
      </c>
      <c r="P9" t="s">
        <v>375</v>
      </c>
      <c r="Q9" t="s">
        <v>376</v>
      </c>
      <c r="R9" t="s">
        <v>377</v>
      </c>
      <c r="S9" t="s">
        <v>378</v>
      </c>
      <c r="T9" t="s">
        <v>379</v>
      </c>
      <c r="U9" t="s">
        <v>380</v>
      </c>
      <c r="V9" t="s">
        <v>381</v>
      </c>
      <c r="W9" s="36" t="s">
        <v>382</v>
      </c>
      <c r="X9" t="s">
        <v>383</v>
      </c>
      <c r="Y9" s="36" t="s">
        <v>384</v>
      </c>
      <c r="Z9" t="s">
        <v>385</v>
      </c>
      <c r="AA9" t="s">
        <v>386</v>
      </c>
      <c r="AB9" t="s">
        <v>387</v>
      </c>
      <c r="AC9" t="s">
        <v>388</v>
      </c>
      <c r="AD9" t="s">
        <v>389</v>
      </c>
      <c r="AE9" t="s">
        <v>390</v>
      </c>
      <c r="AF9" t="s">
        <v>391</v>
      </c>
      <c r="AG9" t="s">
        <v>392</v>
      </c>
      <c r="AH9" t="s">
        <v>393</v>
      </c>
      <c r="AI9" t="s">
        <v>394</v>
      </c>
      <c r="AJ9" t="s">
        <v>395</v>
      </c>
      <c r="AK9" t="s">
        <v>396</v>
      </c>
      <c r="AL9" t="s">
        <v>397</v>
      </c>
      <c r="AM9" t="s">
        <v>398</v>
      </c>
      <c r="AN9" t="s">
        <v>399</v>
      </c>
      <c r="AO9" t="s">
        <v>400</v>
      </c>
      <c r="AP9" s="37" t="s">
        <v>401</v>
      </c>
      <c r="AQ9" s="36" t="s">
        <v>402</v>
      </c>
      <c r="AR9" t="s">
        <v>403</v>
      </c>
      <c r="AS9" t="s">
        <v>404</v>
      </c>
      <c r="AT9" t="s">
        <v>405</v>
      </c>
      <c r="AU9" t="s">
        <v>406</v>
      </c>
      <c r="AV9" t="s">
        <v>407</v>
      </c>
      <c r="AW9" t="s">
        <v>408</v>
      </c>
      <c r="AX9" t="s">
        <v>409</v>
      </c>
      <c r="AY9" t="s">
        <v>410</v>
      </c>
      <c r="AZ9" t="s">
        <v>411</v>
      </c>
      <c r="BA9" t="s">
        <v>412</v>
      </c>
      <c r="BB9" t="s">
        <v>413</v>
      </c>
      <c r="BC9" t="s">
        <v>414</v>
      </c>
      <c r="BD9" t="s">
        <v>415</v>
      </c>
      <c r="BE9" t="s">
        <v>416</v>
      </c>
      <c r="BF9" t="s">
        <v>417</v>
      </c>
      <c r="BG9" t="s">
        <v>418</v>
      </c>
      <c r="BH9" t="s">
        <v>419</v>
      </c>
      <c r="BI9" t="s">
        <v>420</v>
      </c>
      <c r="BJ9" t="s">
        <v>421</v>
      </c>
      <c r="BK9" t="s">
        <v>422</v>
      </c>
      <c r="BL9" t="s">
        <v>423</v>
      </c>
      <c r="BM9" t="s">
        <v>424</v>
      </c>
      <c r="BN9" t="s">
        <v>425</v>
      </c>
      <c r="BO9" t="s">
        <v>426</v>
      </c>
      <c r="BP9" t="s">
        <v>427</v>
      </c>
      <c r="BQ9" t="s">
        <v>428</v>
      </c>
      <c r="BR9" t="s">
        <v>429</v>
      </c>
      <c r="BS9" t="s">
        <v>430</v>
      </c>
      <c r="BT9" t="s">
        <v>431</v>
      </c>
      <c r="BU9" t="s">
        <v>432</v>
      </c>
      <c r="BV9" t="s">
        <v>433</v>
      </c>
      <c r="BW9" t="s">
        <v>434</v>
      </c>
      <c r="BX9" t="s">
        <v>435</v>
      </c>
      <c r="BY9" t="s">
        <v>436</v>
      </c>
      <c r="BZ9" t="s">
        <v>437</v>
      </c>
      <c r="CA9" t="s">
        <v>438</v>
      </c>
      <c r="CB9" t="s">
        <v>439</v>
      </c>
      <c r="CC9" t="s">
        <v>440</v>
      </c>
      <c r="CD9" t="s">
        <v>441</v>
      </c>
      <c r="CE9" t="s">
        <v>442</v>
      </c>
      <c r="CF9" t="s">
        <v>443</v>
      </c>
      <c r="CG9" t="s">
        <v>444</v>
      </c>
      <c r="CH9" t="s">
        <v>445</v>
      </c>
      <c r="CI9" t="s">
        <v>446</v>
      </c>
      <c r="CJ9" t="s">
        <v>447</v>
      </c>
      <c r="CK9" t="s">
        <v>448</v>
      </c>
      <c r="CL9" t="s">
        <v>449</v>
      </c>
      <c r="CM9" t="s">
        <v>450</v>
      </c>
      <c r="CN9" t="s">
        <v>451</v>
      </c>
      <c r="CO9" t="s">
        <v>452</v>
      </c>
      <c r="CP9" t="s">
        <v>453</v>
      </c>
      <c r="CQ9" t="s">
        <v>454</v>
      </c>
      <c r="CR9" t="s">
        <v>455</v>
      </c>
      <c r="CS9" t="s">
        <v>456</v>
      </c>
      <c r="CT9" t="s">
        <v>457</v>
      </c>
      <c r="CU9" t="s">
        <v>458</v>
      </c>
      <c r="CV9" t="s">
        <v>459</v>
      </c>
      <c r="CW9" t="s">
        <v>460</v>
      </c>
      <c r="CX9" t="s">
        <v>461</v>
      </c>
      <c r="CY9" t="s">
        <v>462</v>
      </c>
      <c r="CZ9" t="s">
        <v>463</v>
      </c>
      <c r="DA9" t="s">
        <v>464</v>
      </c>
      <c r="DB9" t="s">
        <v>465</v>
      </c>
      <c r="DC9" t="s">
        <v>466</v>
      </c>
      <c r="DD9" t="s">
        <v>467</v>
      </c>
      <c r="DE9" t="s">
        <v>468</v>
      </c>
      <c r="DF9" t="s">
        <v>469</v>
      </c>
      <c r="DG9" t="s">
        <v>470</v>
      </c>
      <c r="DH9" t="s">
        <v>471</v>
      </c>
      <c r="DI9" t="s">
        <v>472</v>
      </c>
      <c r="DJ9" t="s">
        <v>473</v>
      </c>
      <c r="DK9" t="s">
        <v>474</v>
      </c>
      <c r="DL9" t="s">
        <v>475</v>
      </c>
      <c r="DM9" t="s">
        <v>476</v>
      </c>
      <c r="DN9" t="s">
        <v>477</v>
      </c>
      <c r="DO9" t="s">
        <v>478</v>
      </c>
      <c r="DP9" t="s">
        <v>479</v>
      </c>
      <c r="DQ9" t="s">
        <v>480</v>
      </c>
      <c r="DR9" t="s">
        <v>481</v>
      </c>
      <c r="DS9" t="s">
        <v>482</v>
      </c>
      <c r="DT9" s="38" t="s">
        <v>483</v>
      </c>
      <c r="DU9" t="s">
        <v>484</v>
      </c>
      <c r="DV9" t="s">
        <v>485</v>
      </c>
      <c r="DW9" s="39" t="s">
        <v>486</v>
      </c>
      <c r="DX9" t="s">
        <v>487</v>
      </c>
      <c r="DY9" t="s">
        <v>488</v>
      </c>
      <c r="DZ9" t="s">
        <v>489</v>
      </c>
      <c r="EA9" t="s">
        <v>490</v>
      </c>
      <c r="EB9" t="s">
        <v>491</v>
      </c>
      <c r="EC9" t="s">
        <v>492</v>
      </c>
      <c r="ED9" t="s">
        <v>493</v>
      </c>
      <c r="EE9" t="s">
        <v>494</v>
      </c>
      <c r="EF9" t="s">
        <v>495</v>
      </c>
      <c r="EG9" t="s">
        <v>496</v>
      </c>
      <c r="EH9" t="s">
        <v>497</v>
      </c>
      <c r="EI9" t="s">
        <v>498</v>
      </c>
      <c r="EJ9" t="s">
        <v>499</v>
      </c>
      <c r="EK9" t="s">
        <v>500</v>
      </c>
      <c r="EL9" t="s">
        <v>501</v>
      </c>
      <c r="EM9" t="s">
        <v>502</v>
      </c>
      <c r="EN9" t="s">
        <v>503</v>
      </c>
      <c r="EO9" t="s">
        <v>504</v>
      </c>
      <c r="EP9" t="s">
        <v>505</v>
      </c>
      <c r="EQ9" s="40" t="s">
        <v>506</v>
      </c>
      <c r="ER9" s="41" t="s">
        <v>507</v>
      </c>
      <c r="ES9" s="41" t="s">
        <v>508</v>
      </c>
      <c r="ET9" s="41" t="s">
        <v>509</v>
      </c>
      <c r="EU9" t="s">
        <v>510</v>
      </c>
      <c r="EV9" t="s">
        <v>511</v>
      </c>
      <c r="EW9" t="s">
        <v>512</v>
      </c>
      <c r="EX9" t="s">
        <v>513</v>
      </c>
      <c r="EY9" t="s">
        <v>514</v>
      </c>
      <c r="EZ9" t="s">
        <v>515</v>
      </c>
      <c r="FA9" s="38" t="s">
        <v>516</v>
      </c>
      <c r="FB9" s="38" t="s">
        <v>517</v>
      </c>
      <c r="FC9" t="s">
        <v>518</v>
      </c>
      <c r="FD9" t="s">
        <v>519</v>
      </c>
      <c r="FE9" t="s">
        <v>520</v>
      </c>
      <c r="FF9" t="s">
        <v>521</v>
      </c>
      <c r="FG9" t="s">
        <v>522</v>
      </c>
      <c r="FH9" t="s">
        <v>523</v>
      </c>
      <c r="FI9" t="s">
        <v>524</v>
      </c>
      <c r="FJ9" t="s">
        <v>525</v>
      </c>
      <c r="FK9" t="s">
        <v>526</v>
      </c>
      <c r="FL9" s="38" t="s">
        <v>527</v>
      </c>
      <c r="FM9" t="s">
        <v>528</v>
      </c>
      <c r="FN9" t="s">
        <v>529</v>
      </c>
      <c r="FO9" t="s">
        <v>530</v>
      </c>
      <c r="FP9" t="s">
        <v>531</v>
      </c>
      <c r="FQ9" t="s">
        <v>532</v>
      </c>
      <c r="FR9" t="s">
        <v>533</v>
      </c>
      <c r="FS9" t="s">
        <v>534</v>
      </c>
      <c r="FT9" t="s">
        <v>535</v>
      </c>
      <c r="FU9" t="s">
        <v>536</v>
      </c>
      <c r="FV9" t="s">
        <v>537</v>
      </c>
      <c r="FW9" t="s">
        <v>538</v>
      </c>
      <c r="FX9" t="s">
        <v>539</v>
      </c>
      <c r="FY9" s="38" t="s">
        <v>540</v>
      </c>
      <c r="FZ9" s="36" t="s">
        <v>541</v>
      </c>
      <c r="GA9" t="s">
        <v>542</v>
      </c>
      <c r="GB9" t="s">
        <v>543</v>
      </c>
      <c r="GC9" t="s">
        <v>544</v>
      </c>
      <c r="GD9" t="s">
        <v>545</v>
      </c>
      <c r="GE9" t="s">
        <v>546</v>
      </c>
      <c r="GF9" t="s">
        <v>547</v>
      </c>
      <c r="GG9" t="s">
        <v>548</v>
      </c>
      <c r="GH9" t="s">
        <v>549</v>
      </c>
      <c r="GI9" s="36" t="s">
        <v>550</v>
      </c>
      <c r="GJ9" t="s">
        <v>551</v>
      </c>
      <c r="GK9" t="s">
        <v>552</v>
      </c>
      <c r="GL9" t="s">
        <v>553</v>
      </c>
      <c r="GM9" t="s">
        <v>554</v>
      </c>
      <c r="GN9" s="36" t="s">
        <v>555</v>
      </c>
      <c r="GO9" t="s">
        <v>556</v>
      </c>
      <c r="GP9" t="s">
        <v>557</v>
      </c>
      <c r="GQ9" s="36" t="s">
        <v>558</v>
      </c>
      <c r="GR9" t="s">
        <v>559</v>
      </c>
      <c r="GS9" t="s">
        <v>560</v>
      </c>
      <c r="GT9" s="36" t="s">
        <v>561</v>
      </c>
      <c r="GU9" s="36" t="s">
        <v>562</v>
      </c>
      <c r="GV9" s="36" t="s">
        <v>563</v>
      </c>
      <c r="GW9" s="38" t="s">
        <v>564</v>
      </c>
      <c r="GX9" t="s">
        <v>565</v>
      </c>
      <c r="GY9" s="37" t="s">
        <v>566</v>
      </c>
      <c r="GZ9" t="s">
        <v>567</v>
      </c>
      <c r="HA9" t="s">
        <v>568</v>
      </c>
      <c r="HB9" t="s">
        <v>569</v>
      </c>
      <c r="HC9" t="s">
        <v>570</v>
      </c>
      <c r="HD9" s="36" t="s">
        <v>571</v>
      </c>
      <c r="HE9" t="s">
        <v>572</v>
      </c>
      <c r="HF9" s="36" t="s">
        <v>573</v>
      </c>
      <c r="HG9" s="42" t="s">
        <v>574</v>
      </c>
      <c r="HH9" t="s">
        <v>575</v>
      </c>
      <c r="HI9" t="s">
        <v>576</v>
      </c>
      <c r="HJ9" t="s">
        <v>577</v>
      </c>
      <c r="HK9" t="s">
        <v>578</v>
      </c>
      <c r="HL9" t="s">
        <v>579</v>
      </c>
      <c r="HM9" s="56" t="s">
        <v>580</v>
      </c>
      <c r="HN9" t="s">
        <v>581</v>
      </c>
      <c r="HO9" t="s">
        <v>582</v>
      </c>
      <c r="HP9" t="s">
        <v>583</v>
      </c>
      <c r="HQ9" t="s">
        <v>584</v>
      </c>
      <c r="HR9" t="s">
        <v>585</v>
      </c>
      <c r="HS9" t="s">
        <v>586</v>
      </c>
      <c r="HT9" t="s">
        <v>587</v>
      </c>
      <c r="HU9" t="s">
        <v>588</v>
      </c>
      <c r="HV9" t="s">
        <v>589</v>
      </c>
      <c r="HW9" t="s">
        <v>590</v>
      </c>
      <c r="HX9" t="s">
        <v>591</v>
      </c>
      <c r="HY9" t="s">
        <v>592</v>
      </c>
      <c r="HZ9" t="s">
        <v>593</v>
      </c>
      <c r="IA9" t="s">
        <v>594</v>
      </c>
      <c r="IB9" t="s">
        <v>595</v>
      </c>
      <c r="IC9" t="s">
        <v>596</v>
      </c>
      <c r="ID9" t="s">
        <v>597</v>
      </c>
      <c r="IE9" t="s">
        <v>598</v>
      </c>
      <c r="IF9" t="s">
        <v>599</v>
      </c>
      <c r="IG9" t="s">
        <v>600</v>
      </c>
      <c r="IH9" t="s">
        <v>601</v>
      </c>
      <c r="II9" t="s">
        <v>602</v>
      </c>
      <c r="IJ9" t="s">
        <v>603</v>
      </c>
      <c r="IK9" t="s">
        <v>604</v>
      </c>
      <c r="IL9" t="s">
        <v>605</v>
      </c>
      <c r="IM9" t="s">
        <v>606</v>
      </c>
      <c r="IN9" t="s">
        <v>607</v>
      </c>
      <c r="IO9" t="s">
        <v>608</v>
      </c>
      <c r="IP9" t="s">
        <v>609</v>
      </c>
      <c r="IQ9" t="s">
        <v>610</v>
      </c>
      <c r="IR9" t="s">
        <v>611</v>
      </c>
      <c r="IS9" t="s">
        <v>612</v>
      </c>
      <c r="IT9" t="s">
        <v>613</v>
      </c>
      <c r="IU9" t="s">
        <v>614</v>
      </c>
      <c r="IV9" t="s">
        <v>615</v>
      </c>
      <c r="IW9" t="s">
        <v>616</v>
      </c>
      <c r="IX9" t="s">
        <v>617</v>
      </c>
      <c r="IY9" t="s">
        <v>618</v>
      </c>
      <c r="IZ9" t="s">
        <v>619</v>
      </c>
      <c r="JA9" t="s">
        <v>620</v>
      </c>
      <c r="JB9" t="s">
        <v>621</v>
      </c>
      <c r="JC9" t="s">
        <v>622</v>
      </c>
      <c r="JD9" t="s">
        <v>623</v>
      </c>
      <c r="JE9" t="s">
        <v>624</v>
      </c>
      <c r="JF9" t="s">
        <v>625</v>
      </c>
      <c r="JG9" t="s">
        <v>626</v>
      </c>
      <c r="JH9" t="s">
        <v>627</v>
      </c>
      <c r="JI9" t="s">
        <v>628</v>
      </c>
      <c r="JJ9" t="s">
        <v>629</v>
      </c>
      <c r="JK9" t="s">
        <v>630</v>
      </c>
      <c r="JL9" t="s">
        <v>631</v>
      </c>
      <c r="JM9" t="s">
        <v>632</v>
      </c>
      <c r="JN9" t="s">
        <v>633</v>
      </c>
      <c r="JO9" t="s">
        <v>634</v>
      </c>
      <c r="JP9" t="s">
        <v>635</v>
      </c>
      <c r="JQ9" t="s">
        <v>636</v>
      </c>
      <c r="JR9" t="s">
        <v>637</v>
      </c>
      <c r="JS9" t="s">
        <v>638</v>
      </c>
      <c r="JT9" t="s">
        <v>639</v>
      </c>
      <c r="JU9" t="s">
        <v>640</v>
      </c>
      <c r="JV9" t="s">
        <v>641</v>
      </c>
      <c r="JW9" t="s">
        <v>642</v>
      </c>
      <c r="JX9" t="s">
        <v>643</v>
      </c>
      <c r="JY9" t="s">
        <v>644</v>
      </c>
      <c r="JZ9" t="s">
        <v>645</v>
      </c>
      <c r="KA9" t="s">
        <v>646</v>
      </c>
      <c r="KB9" t="s">
        <v>647</v>
      </c>
      <c r="KC9" t="s">
        <v>648</v>
      </c>
      <c r="KD9" t="s">
        <v>649</v>
      </c>
      <c r="KE9" t="s">
        <v>650</v>
      </c>
      <c r="KF9" t="s">
        <v>651</v>
      </c>
      <c r="KG9" t="s">
        <v>652</v>
      </c>
      <c r="KH9" t="s">
        <v>653</v>
      </c>
      <c r="KI9" t="s">
        <v>654</v>
      </c>
      <c r="KJ9" t="s">
        <v>655</v>
      </c>
      <c r="KK9" t="s">
        <v>656</v>
      </c>
      <c r="KL9" t="s">
        <v>657</v>
      </c>
      <c r="KM9" t="s">
        <v>658</v>
      </c>
      <c r="KN9" t="s">
        <v>659</v>
      </c>
      <c r="KO9" t="s">
        <v>660</v>
      </c>
      <c r="KP9" t="s">
        <v>661</v>
      </c>
      <c r="KQ9" t="s">
        <v>662</v>
      </c>
      <c r="KR9" t="s">
        <v>663</v>
      </c>
      <c r="KS9" t="s">
        <v>664</v>
      </c>
      <c r="KT9" t="s">
        <v>665</v>
      </c>
      <c r="KU9" t="s">
        <v>666</v>
      </c>
      <c r="KV9" t="s">
        <v>667</v>
      </c>
      <c r="KW9" t="s">
        <v>668</v>
      </c>
      <c r="KX9" t="s">
        <v>669</v>
      </c>
      <c r="KY9" t="s">
        <v>670</v>
      </c>
      <c r="KZ9" t="s">
        <v>671</v>
      </c>
      <c r="LA9" t="s">
        <v>672</v>
      </c>
      <c r="LB9" t="s">
        <v>673</v>
      </c>
      <c r="LC9" t="s">
        <v>674</v>
      </c>
      <c r="LD9" t="s">
        <v>675</v>
      </c>
      <c r="LE9" t="s">
        <v>676</v>
      </c>
      <c r="LF9" t="s">
        <v>677</v>
      </c>
      <c r="LG9" t="s">
        <v>678</v>
      </c>
      <c r="LH9" t="s">
        <v>679</v>
      </c>
      <c r="LI9" t="s">
        <v>680</v>
      </c>
      <c r="LJ9" t="s">
        <v>681</v>
      </c>
      <c r="LK9" t="s">
        <v>682</v>
      </c>
      <c r="LL9" t="s">
        <v>683</v>
      </c>
      <c r="LM9" t="s">
        <v>684</v>
      </c>
      <c r="LN9" t="s">
        <v>685</v>
      </c>
      <c r="LO9" t="s">
        <v>686</v>
      </c>
      <c r="LP9" t="s">
        <v>687</v>
      </c>
      <c r="LQ9" t="s">
        <v>688</v>
      </c>
      <c r="LR9" t="s">
        <v>689</v>
      </c>
      <c r="LS9" t="s">
        <v>690</v>
      </c>
      <c r="LT9" t="s">
        <v>691</v>
      </c>
      <c r="LU9" t="s">
        <v>692</v>
      </c>
      <c r="LV9" t="s">
        <v>693</v>
      </c>
      <c r="LW9" t="s">
        <v>694</v>
      </c>
      <c r="LX9" t="s">
        <v>695</v>
      </c>
      <c r="LY9" t="s">
        <v>696</v>
      </c>
      <c r="LZ9" t="s">
        <v>697</v>
      </c>
      <c r="MA9" t="s">
        <v>698</v>
      </c>
      <c r="MB9" t="s">
        <v>699</v>
      </c>
      <c r="MC9" t="s">
        <v>700</v>
      </c>
      <c r="MD9" t="s">
        <v>701</v>
      </c>
      <c r="ME9" t="s">
        <v>702</v>
      </c>
      <c r="MF9" t="s">
        <v>703</v>
      </c>
      <c r="MG9" t="s">
        <v>704</v>
      </c>
      <c r="MH9" t="s">
        <v>705</v>
      </c>
      <c r="MI9" t="s">
        <v>706</v>
      </c>
      <c r="MJ9" t="s">
        <v>707</v>
      </c>
      <c r="MK9" t="s">
        <v>708</v>
      </c>
      <c r="ML9" t="s">
        <v>709</v>
      </c>
      <c r="MM9" t="s">
        <v>710</v>
      </c>
      <c r="MN9" t="s">
        <v>711</v>
      </c>
      <c r="MO9" t="s">
        <v>712</v>
      </c>
      <c r="MP9" t="s">
        <v>713</v>
      </c>
      <c r="MQ9" t="s">
        <v>714</v>
      </c>
      <c r="MR9" t="s">
        <v>715</v>
      </c>
      <c r="MS9" t="s">
        <v>716</v>
      </c>
      <c r="MT9" t="s">
        <v>717</v>
      </c>
      <c r="MU9" t="s">
        <v>718</v>
      </c>
      <c r="MV9" t="s">
        <v>719</v>
      </c>
      <c r="MW9" t="s">
        <v>720</v>
      </c>
      <c r="MX9" t="s">
        <v>721</v>
      </c>
      <c r="MY9" t="s">
        <v>722</v>
      </c>
      <c r="MZ9" t="s">
        <v>723</v>
      </c>
      <c r="NA9" t="s">
        <v>724</v>
      </c>
      <c r="NB9" t="s">
        <v>725</v>
      </c>
      <c r="NC9" t="s">
        <v>726</v>
      </c>
      <c r="ND9" t="s">
        <v>727</v>
      </c>
      <c r="NE9" t="s">
        <v>728</v>
      </c>
      <c r="NF9" t="s">
        <v>729</v>
      </c>
      <c r="NG9" t="s">
        <v>730</v>
      </c>
      <c r="NH9" t="s">
        <v>731</v>
      </c>
      <c r="NI9" t="s">
        <v>732</v>
      </c>
      <c r="NJ9" t="s">
        <v>733</v>
      </c>
      <c r="NK9" t="s">
        <v>734</v>
      </c>
      <c r="NL9" t="s">
        <v>735</v>
      </c>
      <c r="NM9" t="s">
        <v>736</v>
      </c>
      <c r="NN9" t="s">
        <v>737</v>
      </c>
      <c r="NO9" t="s">
        <v>738</v>
      </c>
      <c r="NP9" t="s">
        <v>739</v>
      </c>
      <c r="NQ9" t="s">
        <v>740</v>
      </c>
      <c r="NR9" t="s">
        <v>741</v>
      </c>
    </row>
    <row r="10" spans="1:382" x14ac:dyDescent="0.35">
      <c r="A10" s="51" t="s">
        <v>73</v>
      </c>
      <c r="B10" t="s">
        <v>49</v>
      </c>
      <c r="C10" s="52" t="s">
        <v>742</v>
      </c>
      <c r="D10">
        <v>90</v>
      </c>
      <c r="E10" s="54" t="s">
        <v>364</v>
      </c>
      <c r="G10" s="54" t="s">
        <v>80</v>
      </c>
      <c r="H10" s="54">
        <v>1</v>
      </c>
    </row>
    <row r="11" spans="1:382" x14ac:dyDescent="0.35">
      <c r="A11" s="51" t="s">
        <v>73</v>
      </c>
      <c r="B11" t="s">
        <v>743</v>
      </c>
      <c r="C11" s="52" t="s">
        <v>744</v>
      </c>
      <c r="D11">
        <v>110</v>
      </c>
      <c r="E11" s="54" t="s">
        <v>364</v>
      </c>
      <c r="G11" s="54" t="s">
        <v>80</v>
      </c>
      <c r="H11" s="54">
        <v>1</v>
      </c>
    </row>
    <row r="12" spans="1:382" x14ac:dyDescent="0.35">
      <c r="A12" s="51" t="s">
        <v>73</v>
      </c>
      <c r="B12" t="s">
        <v>52</v>
      </c>
      <c r="C12" s="52" t="s">
        <v>745</v>
      </c>
      <c r="D12">
        <v>120</v>
      </c>
      <c r="E12" s="54" t="s">
        <v>364</v>
      </c>
      <c r="G12" s="54" t="s">
        <v>80</v>
      </c>
      <c r="H12" s="54">
        <v>1</v>
      </c>
    </row>
    <row r="13" spans="1:382" x14ac:dyDescent="0.35">
      <c r="A13" s="51" t="s">
        <v>73</v>
      </c>
      <c r="B13" t="s">
        <v>746</v>
      </c>
      <c r="C13" s="52" t="s">
        <v>747</v>
      </c>
      <c r="D13">
        <v>130</v>
      </c>
      <c r="E13" s="54" t="s">
        <v>364</v>
      </c>
      <c r="G13" s="54" t="s">
        <v>80</v>
      </c>
      <c r="H13" s="54">
        <v>1</v>
      </c>
    </row>
    <row r="14" spans="1:382" ht="15" customHeight="1" x14ac:dyDescent="0.35">
      <c r="A14" s="51" t="s">
        <v>73</v>
      </c>
      <c r="B14" t="s">
        <v>748</v>
      </c>
      <c r="C14" s="52" t="s">
        <v>749</v>
      </c>
      <c r="D14">
        <v>140</v>
      </c>
      <c r="E14" s="54" t="s">
        <v>364</v>
      </c>
      <c r="G14" s="54" t="s">
        <v>80</v>
      </c>
      <c r="H14" s="54">
        <v>1</v>
      </c>
    </row>
    <row r="15" spans="1:382" x14ac:dyDescent="0.35">
      <c r="A15" s="51" t="s">
        <v>73</v>
      </c>
      <c r="B15" t="s">
        <v>750</v>
      </c>
      <c r="C15" s="52" t="s">
        <v>751</v>
      </c>
      <c r="D15">
        <v>150</v>
      </c>
      <c r="E15" t="s">
        <v>364</v>
      </c>
      <c r="G15" t="s">
        <v>367</v>
      </c>
      <c r="H15">
        <v>1</v>
      </c>
      <c r="I15" t="s">
        <v>362</v>
      </c>
      <c r="J15" t="s">
        <v>362</v>
      </c>
      <c r="K15" t="s">
        <v>362</v>
      </c>
      <c r="L15" t="s">
        <v>362</v>
      </c>
      <c r="M15" t="s">
        <v>362</v>
      </c>
      <c r="N15" t="s">
        <v>362</v>
      </c>
      <c r="O15" t="s">
        <v>362</v>
      </c>
      <c r="P15" t="s">
        <v>362</v>
      </c>
      <c r="Q15" t="s">
        <v>362</v>
      </c>
      <c r="R15" t="s">
        <v>362</v>
      </c>
      <c r="S15" t="s">
        <v>362</v>
      </c>
      <c r="T15" t="s">
        <v>362</v>
      </c>
      <c r="U15" t="s">
        <v>362</v>
      </c>
      <c r="V15" t="s">
        <v>362</v>
      </c>
      <c r="W15" t="s">
        <v>362</v>
      </c>
      <c r="X15" t="s">
        <v>362</v>
      </c>
      <c r="Y15" t="s">
        <v>362</v>
      </c>
      <c r="Z15" t="s">
        <v>362</v>
      </c>
      <c r="AA15" t="s">
        <v>362</v>
      </c>
      <c r="AB15" t="s">
        <v>362</v>
      </c>
      <c r="AC15" t="s">
        <v>362</v>
      </c>
    </row>
    <row r="16" spans="1:382" x14ac:dyDescent="0.35">
      <c r="A16" t="s">
        <v>752</v>
      </c>
      <c r="B16" t="s">
        <v>753</v>
      </c>
      <c r="C16" t="s">
        <v>754</v>
      </c>
      <c r="D16">
        <v>160</v>
      </c>
      <c r="E16" t="s">
        <v>79</v>
      </c>
      <c r="G16" t="s">
        <v>755</v>
      </c>
      <c r="H16">
        <v>1</v>
      </c>
      <c r="I16" t="s">
        <v>362</v>
      </c>
    </row>
    <row r="17" spans="1:16" x14ac:dyDescent="0.35">
      <c r="A17" t="s">
        <v>756</v>
      </c>
      <c r="B17" t="s">
        <v>757</v>
      </c>
      <c r="C17" t="s">
        <v>758</v>
      </c>
      <c r="D17">
        <v>170</v>
      </c>
      <c r="E17" t="s">
        <v>79</v>
      </c>
      <c r="G17" t="s">
        <v>755</v>
      </c>
      <c r="H17">
        <v>1</v>
      </c>
      <c r="I17" t="s">
        <v>362</v>
      </c>
    </row>
    <row r="18" spans="1:16" x14ac:dyDescent="0.35">
      <c r="A18" t="s">
        <v>759</v>
      </c>
      <c r="B18" t="s">
        <v>760</v>
      </c>
      <c r="C18" s="53" t="s">
        <v>761</v>
      </c>
      <c r="D18">
        <v>180</v>
      </c>
      <c r="E18" t="s">
        <v>79</v>
      </c>
      <c r="G18" t="s">
        <v>755</v>
      </c>
      <c r="H18">
        <v>8</v>
      </c>
      <c r="I18" t="s">
        <v>762</v>
      </c>
      <c r="J18" t="s">
        <v>763</v>
      </c>
      <c r="K18" t="s">
        <v>764</v>
      </c>
      <c r="L18" t="s">
        <v>765</v>
      </c>
      <c r="M18" t="s">
        <v>766</v>
      </c>
      <c r="N18" t="s">
        <v>767</v>
      </c>
      <c r="O18" t="s">
        <v>768</v>
      </c>
      <c r="P18" t="s">
        <v>769</v>
      </c>
    </row>
    <row r="19" spans="1:16" x14ac:dyDescent="0.35">
      <c r="A19" t="s">
        <v>181</v>
      </c>
      <c r="B19" t="s">
        <v>770</v>
      </c>
      <c r="C19" s="53" t="s">
        <v>771</v>
      </c>
      <c r="D19">
        <v>190</v>
      </c>
      <c r="E19" t="s">
        <v>79</v>
      </c>
      <c r="G19" t="s">
        <v>755</v>
      </c>
      <c r="H19">
        <v>4</v>
      </c>
      <c r="I19" t="s">
        <v>772</v>
      </c>
      <c r="J19" t="s">
        <v>773</v>
      </c>
      <c r="K19" t="s">
        <v>774</v>
      </c>
      <c r="L19" t="s">
        <v>775</v>
      </c>
    </row>
    <row r="20" spans="1:16" x14ac:dyDescent="0.35">
      <c r="A20" t="s">
        <v>776</v>
      </c>
      <c r="B20" t="s">
        <v>777</v>
      </c>
      <c r="C20" t="s">
        <v>778</v>
      </c>
      <c r="D20">
        <v>200</v>
      </c>
      <c r="E20" t="s">
        <v>79</v>
      </c>
      <c r="G20" t="s">
        <v>755</v>
      </c>
      <c r="H20">
        <v>1</v>
      </c>
      <c r="I20" t="s">
        <v>362</v>
      </c>
    </row>
    <row r="21" spans="1:16" x14ac:dyDescent="0.35">
      <c r="A21" t="s">
        <v>779</v>
      </c>
      <c r="B21" t="s">
        <v>61</v>
      </c>
      <c r="C21" t="s">
        <v>780</v>
      </c>
      <c r="D21">
        <v>210</v>
      </c>
      <c r="E21" t="s">
        <v>79</v>
      </c>
      <c r="G21" t="s">
        <v>755</v>
      </c>
      <c r="H21">
        <v>1</v>
      </c>
      <c r="I21" t="s">
        <v>362</v>
      </c>
    </row>
    <row r="22" spans="1:16" x14ac:dyDescent="0.35">
      <c r="A22" t="s">
        <v>781</v>
      </c>
      <c r="B22" t="s">
        <v>782</v>
      </c>
      <c r="C22" t="s">
        <v>783</v>
      </c>
      <c r="D22">
        <v>220</v>
      </c>
      <c r="E22" t="s">
        <v>79</v>
      </c>
      <c r="G22" t="s">
        <v>755</v>
      </c>
      <c r="H22">
        <v>1</v>
      </c>
      <c r="I22" t="s">
        <v>362</v>
      </c>
    </row>
    <row r="23" spans="1:16" x14ac:dyDescent="0.35">
      <c r="A23" t="s">
        <v>784</v>
      </c>
      <c r="B23" t="s">
        <v>785</v>
      </c>
      <c r="C23" t="s">
        <v>786</v>
      </c>
      <c r="D23">
        <v>230</v>
      </c>
      <c r="E23" t="s">
        <v>79</v>
      </c>
      <c r="G23" t="s">
        <v>755</v>
      </c>
      <c r="H23">
        <v>1</v>
      </c>
      <c r="I23" t="s">
        <v>362</v>
      </c>
    </row>
    <row r="24" spans="1:16" x14ac:dyDescent="0.35">
      <c r="A24" t="s">
        <v>787</v>
      </c>
      <c r="B24" t="s">
        <v>788</v>
      </c>
      <c r="C24" t="s">
        <v>789</v>
      </c>
      <c r="D24">
        <v>240</v>
      </c>
      <c r="E24" t="s">
        <v>79</v>
      </c>
      <c r="G24" t="s">
        <v>755</v>
      </c>
      <c r="H24">
        <v>1</v>
      </c>
      <c r="I24" t="s">
        <v>362</v>
      </c>
    </row>
    <row r="25" spans="1:16" x14ac:dyDescent="0.35">
      <c r="A25" t="s">
        <v>790</v>
      </c>
      <c r="B25" t="s">
        <v>791</v>
      </c>
      <c r="C25" t="s">
        <v>792</v>
      </c>
      <c r="D25">
        <v>250</v>
      </c>
      <c r="E25" t="s">
        <v>79</v>
      </c>
      <c r="G25" t="s">
        <v>755</v>
      </c>
      <c r="H25">
        <v>1</v>
      </c>
      <c r="I25" t="s">
        <v>362</v>
      </c>
    </row>
    <row r="26" spans="1:16" x14ac:dyDescent="0.35">
      <c r="A26" t="s">
        <v>793</v>
      </c>
      <c r="B26" t="s">
        <v>794</v>
      </c>
      <c r="C26" s="53" t="s">
        <v>795</v>
      </c>
      <c r="D26">
        <v>260</v>
      </c>
      <c r="E26" t="s">
        <v>79</v>
      </c>
      <c r="G26" t="s">
        <v>796</v>
      </c>
      <c r="H26">
        <v>2</v>
      </c>
      <c r="I26" t="s">
        <v>797</v>
      </c>
      <c r="J26" t="s">
        <v>798</v>
      </c>
    </row>
    <row r="27" spans="1:16" x14ac:dyDescent="0.35">
      <c r="A27" t="s">
        <v>793</v>
      </c>
      <c r="B27" t="s">
        <v>799</v>
      </c>
      <c r="C27" s="53" t="s">
        <v>800</v>
      </c>
      <c r="D27">
        <v>270</v>
      </c>
      <c r="E27" t="s">
        <v>79</v>
      </c>
      <c r="G27" t="s">
        <v>796</v>
      </c>
      <c r="H27">
        <v>2</v>
      </c>
      <c r="I27" t="s">
        <v>797</v>
      </c>
      <c r="J27" t="s">
        <v>798</v>
      </c>
    </row>
    <row r="28" spans="1:16" x14ac:dyDescent="0.35">
      <c r="A28" t="s">
        <v>801</v>
      </c>
      <c r="B28" t="s">
        <v>802</v>
      </c>
      <c r="C28" s="53" t="s">
        <v>803</v>
      </c>
      <c r="D28">
        <v>280</v>
      </c>
      <c r="E28" t="s">
        <v>79</v>
      </c>
      <c r="G28" t="s">
        <v>796</v>
      </c>
      <c r="H28">
        <v>2</v>
      </c>
      <c r="I28" t="s">
        <v>804</v>
      </c>
      <c r="J28" t="s">
        <v>805</v>
      </c>
    </row>
    <row r="29" spans="1:16" x14ac:dyDescent="0.35">
      <c r="A29" t="s">
        <v>806</v>
      </c>
      <c r="B29" t="s">
        <v>807</v>
      </c>
      <c r="C29" s="53" t="s">
        <v>808</v>
      </c>
      <c r="D29">
        <v>290</v>
      </c>
      <c r="E29" t="s">
        <v>79</v>
      </c>
      <c r="G29" t="s">
        <v>796</v>
      </c>
      <c r="H29">
        <v>3</v>
      </c>
      <c r="I29" t="s">
        <v>809</v>
      </c>
      <c r="J29" t="s">
        <v>810</v>
      </c>
      <c r="K29" t="s">
        <v>811</v>
      </c>
    </row>
    <row r="30" spans="1:16" x14ac:dyDescent="0.35">
      <c r="A30" t="s">
        <v>812</v>
      </c>
      <c r="B30" t="s">
        <v>813</v>
      </c>
      <c r="C30" t="s">
        <v>814</v>
      </c>
      <c r="D30">
        <v>300</v>
      </c>
      <c r="E30" t="s">
        <v>364</v>
      </c>
      <c r="G30" t="s">
        <v>367</v>
      </c>
      <c r="H30">
        <v>1</v>
      </c>
      <c r="I30" t="s">
        <v>362</v>
      </c>
    </row>
    <row r="31" spans="1:16" x14ac:dyDescent="0.35">
      <c r="A31" t="s">
        <v>815</v>
      </c>
      <c r="B31" t="s">
        <v>816</v>
      </c>
      <c r="C31" t="s">
        <v>817</v>
      </c>
      <c r="D31">
        <v>310</v>
      </c>
      <c r="E31" t="s">
        <v>818</v>
      </c>
      <c r="G31" t="s">
        <v>367</v>
      </c>
      <c r="H31">
        <v>1</v>
      </c>
      <c r="I31" t="s">
        <v>362</v>
      </c>
    </row>
    <row r="32" spans="1:16" x14ac:dyDescent="0.35">
      <c r="A32" t="s">
        <v>819</v>
      </c>
      <c r="B32" t="s">
        <v>820</v>
      </c>
      <c r="C32" t="s">
        <v>821</v>
      </c>
      <c r="D32">
        <v>320</v>
      </c>
      <c r="E32" t="s">
        <v>79</v>
      </c>
      <c r="G32" t="s">
        <v>367</v>
      </c>
      <c r="H32">
        <v>1</v>
      </c>
      <c r="I32" t="s">
        <v>362</v>
      </c>
    </row>
    <row r="33" spans="1:18" x14ac:dyDescent="0.35">
      <c r="A33" t="s">
        <v>822</v>
      </c>
      <c r="B33" t="s">
        <v>823</v>
      </c>
      <c r="C33" t="s">
        <v>824</v>
      </c>
      <c r="D33">
        <v>330</v>
      </c>
      <c r="E33" t="s">
        <v>79</v>
      </c>
      <c r="G33" t="s">
        <v>367</v>
      </c>
      <c r="H33">
        <v>1</v>
      </c>
      <c r="I33" t="s">
        <v>362</v>
      </c>
    </row>
    <row r="34" spans="1:18" x14ac:dyDescent="0.35">
      <c r="A34" t="s">
        <v>123</v>
      </c>
      <c r="B34" t="s">
        <v>825</v>
      </c>
      <c r="C34" t="s">
        <v>826</v>
      </c>
      <c r="D34">
        <v>340</v>
      </c>
      <c r="E34" t="s">
        <v>79</v>
      </c>
      <c r="G34" t="s">
        <v>367</v>
      </c>
      <c r="H34">
        <v>1</v>
      </c>
      <c r="I34" t="s">
        <v>362</v>
      </c>
    </row>
    <row r="35" spans="1:18" x14ac:dyDescent="0.35">
      <c r="A35" t="s">
        <v>140</v>
      </c>
      <c r="B35" t="s">
        <v>827</v>
      </c>
      <c r="C35" t="s">
        <v>828</v>
      </c>
      <c r="D35">
        <v>350</v>
      </c>
      <c r="E35" t="s">
        <v>364</v>
      </c>
      <c r="G35" t="s">
        <v>367</v>
      </c>
      <c r="H35">
        <v>1</v>
      </c>
      <c r="I35" t="s">
        <v>362</v>
      </c>
    </row>
    <row r="36" spans="1:18" x14ac:dyDescent="0.35">
      <c r="A36" t="s">
        <v>303</v>
      </c>
      <c r="B36" t="s">
        <v>829</v>
      </c>
      <c r="C36" t="s">
        <v>830</v>
      </c>
      <c r="D36">
        <v>360</v>
      </c>
      <c r="E36" t="s">
        <v>364</v>
      </c>
      <c r="G36" t="s">
        <v>367</v>
      </c>
      <c r="H36">
        <v>1</v>
      </c>
      <c r="I36" t="s">
        <v>362</v>
      </c>
    </row>
    <row r="37" spans="1:18" x14ac:dyDescent="0.35">
      <c r="A37" t="s">
        <v>103</v>
      </c>
      <c r="B37" t="s">
        <v>831</v>
      </c>
      <c r="C37" t="s">
        <v>832</v>
      </c>
      <c r="D37">
        <v>370</v>
      </c>
      <c r="E37" t="s">
        <v>79</v>
      </c>
      <c r="G37" t="s">
        <v>367</v>
      </c>
      <c r="H37">
        <v>1</v>
      </c>
      <c r="I37" t="s">
        <v>362</v>
      </c>
    </row>
    <row r="38" spans="1:18" x14ac:dyDescent="0.35">
      <c r="A38" t="s">
        <v>306</v>
      </c>
      <c r="B38" t="s">
        <v>833</v>
      </c>
      <c r="C38" t="s">
        <v>834</v>
      </c>
      <c r="D38">
        <v>380</v>
      </c>
      <c r="E38" t="s">
        <v>79</v>
      </c>
      <c r="G38" t="s">
        <v>367</v>
      </c>
      <c r="H38">
        <v>2</v>
      </c>
      <c r="I38" t="s">
        <v>835</v>
      </c>
      <c r="J38" t="s">
        <v>836</v>
      </c>
    </row>
    <row r="39" spans="1:18" x14ac:dyDescent="0.35">
      <c r="A39" t="s">
        <v>837</v>
      </c>
      <c r="B39" t="s">
        <v>838</v>
      </c>
      <c r="C39" t="s">
        <v>839</v>
      </c>
      <c r="D39">
        <v>390</v>
      </c>
      <c r="E39" t="s">
        <v>818</v>
      </c>
      <c r="G39" t="s">
        <v>367</v>
      </c>
      <c r="H39">
        <v>1</v>
      </c>
      <c r="I39" t="s">
        <v>362</v>
      </c>
    </row>
    <row r="40" spans="1:18" x14ac:dyDescent="0.35">
      <c r="A40" t="s">
        <v>840</v>
      </c>
      <c r="B40" t="s">
        <v>841</v>
      </c>
      <c r="C40" t="s">
        <v>842</v>
      </c>
      <c r="D40">
        <v>400</v>
      </c>
      <c r="E40" t="s">
        <v>364</v>
      </c>
      <c r="G40" t="s">
        <v>367</v>
      </c>
      <c r="H40">
        <v>1</v>
      </c>
      <c r="I40" t="s">
        <v>362</v>
      </c>
    </row>
    <row r="41" spans="1:18" x14ac:dyDescent="0.35">
      <c r="A41" t="s">
        <v>103</v>
      </c>
      <c r="B41" t="s">
        <v>843</v>
      </c>
      <c r="C41" t="s">
        <v>844</v>
      </c>
      <c r="D41">
        <v>410</v>
      </c>
      <c r="E41" t="s">
        <v>364</v>
      </c>
      <c r="G41" t="s">
        <v>367</v>
      </c>
      <c r="H41">
        <v>1</v>
      </c>
      <c r="I41" t="s">
        <v>362</v>
      </c>
    </row>
    <row r="42" spans="1:18" x14ac:dyDescent="0.35">
      <c r="A42" t="s">
        <v>845</v>
      </c>
      <c r="B42" t="s">
        <v>846</v>
      </c>
      <c r="C42" t="s">
        <v>847</v>
      </c>
      <c r="D42">
        <v>420</v>
      </c>
      <c r="E42" t="s">
        <v>364</v>
      </c>
      <c r="G42" t="s">
        <v>367</v>
      </c>
      <c r="H42">
        <v>1</v>
      </c>
      <c r="I42" t="s">
        <v>362</v>
      </c>
    </row>
    <row r="43" spans="1:18" x14ac:dyDescent="0.35">
      <c r="A43" t="s">
        <v>848</v>
      </c>
      <c r="B43" t="s">
        <v>849</v>
      </c>
      <c r="C43" t="s">
        <v>850</v>
      </c>
      <c r="D43">
        <v>430</v>
      </c>
      <c r="E43" t="s">
        <v>364</v>
      </c>
      <c r="G43" t="s">
        <v>367</v>
      </c>
      <c r="H43">
        <v>1</v>
      </c>
      <c r="I43" t="s">
        <v>362</v>
      </c>
    </row>
    <row r="44" spans="1:18" x14ac:dyDescent="0.35">
      <c r="A44" t="s">
        <v>851</v>
      </c>
      <c r="B44" t="s">
        <v>852</v>
      </c>
      <c r="C44" t="s">
        <v>853</v>
      </c>
      <c r="D44">
        <v>440</v>
      </c>
      <c r="E44" t="s">
        <v>364</v>
      </c>
      <c r="G44" t="s">
        <v>367</v>
      </c>
      <c r="H44">
        <v>1</v>
      </c>
      <c r="I44" t="s">
        <v>362</v>
      </c>
    </row>
    <row r="45" spans="1:18" x14ac:dyDescent="0.35">
      <c r="A45" t="s">
        <v>854</v>
      </c>
      <c r="B45" t="s">
        <v>855</v>
      </c>
      <c r="C45" t="s">
        <v>856</v>
      </c>
      <c r="D45">
        <v>450</v>
      </c>
      <c r="E45" t="s">
        <v>364</v>
      </c>
      <c r="G45" t="s">
        <v>367</v>
      </c>
      <c r="H45">
        <v>1</v>
      </c>
      <c r="I45" t="s">
        <v>362</v>
      </c>
    </row>
    <row r="46" spans="1:18" x14ac:dyDescent="0.35">
      <c r="A46" t="s">
        <v>857</v>
      </c>
      <c r="B46" t="s">
        <v>858</v>
      </c>
      <c r="C46" t="s">
        <v>859</v>
      </c>
      <c r="D46">
        <v>460</v>
      </c>
      <c r="E46" t="s">
        <v>364</v>
      </c>
      <c r="G46" t="s">
        <v>367</v>
      </c>
      <c r="H46">
        <v>1</v>
      </c>
      <c r="I46" t="s">
        <v>362</v>
      </c>
    </row>
    <row r="47" spans="1:18" x14ac:dyDescent="0.35">
      <c r="A47" t="s">
        <v>860</v>
      </c>
      <c r="B47" t="s">
        <v>861</v>
      </c>
      <c r="C47" t="s">
        <v>862</v>
      </c>
      <c r="D47">
        <v>470</v>
      </c>
      <c r="E47" t="s">
        <v>79</v>
      </c>
      <c r="G47" t="s">
        <v>367</v>
      </c>
      <c r="H47">
        <v>1</v>
      </c>
      <c r="I47" t="s">
        <v>362</v>
      </c>
    </row>
    <row r="48" spans="1:18" x14ac:dyDescent="0.35">
      <c r="A48" t="s">
        <v>863</v>
      </c>
      <c r="B48" t="s">
        <v>864</v>
      </c>
      <c r="C48" s="53" t="s">
        <v>865</v>
      </c>
      <c r="D48">
        <v>480</v>
      </c>
      <c r="E48" t="s">
        <v>818</v>
      </c>
      <c r="G48" t="s">
        <v>367</v>
      </c>
      <c r="H48">
        <v>10</v>
      </c>
      <c r="I48">
        <v>5</v>
      </c>
      <c r="J48">
        <v>10</v>
      </c>
      <c r="K48">
        <v>15</v>
      </c>
      <c r="L48">
        <v>25</v>
      </c>
      <c r="M48">
        <v>30</v>
      </c>
      <c r="N48">
        <v>40</v>
      </c>
      <c r="O48">
        <v>50</v>
      </c>
      <c r="P48">
        <v>60</v>
      </c>
      <c r="Q48">
        <v>100</v>
      </c>
      <c r="R48">
        <v>120</v>
      </c>
    </row>
    <row r="49" spans="1:382" x14ac:dyDescent="0.35">
      <c r="A49" t="s">
        <v>866</v>
      </c>
      <c r="B49" t="s">
        <v>867</v>
      </c>
      <c r="C49" t="s">
        <v>868</v>
      </c>
      <c r="D49">
        <v>490</v>
      </c>
      <c r="E49" t="s">
        <v>79</v>
      </c>
      <c r="G49" t="s">
        <v>367</v>
      </c>
      <c r="H49">
        <v>1</v>
      </c>
      <c r="I49" t="s">
        <v>362</v>
      </c>
    </row>
    <row r="50" spans="1:382" x14ac:dyDescent="0.35">
      <c r="A50" t="s">
        <v>139</v>
      </c>
      <c r="B50" t="s">
        <v>869</v>
      </c>
      <c r="C50" t="s">
        <v>870</v>
      </c>
      <c r="D50">
        <v>500</v>
      </c>
      <c r="E50" t="s">
        <v>364</v>
      </c>
      <c r="G50" t="s">
        <v>367</v>
      </c>
      <c r="H50">
        <v>1</v>
      </c>
      <c r="I50" t="s">
        <v>362</v>
      </c>
    </row>
    <row r="51" spans="1:382" x14ac:dyDescent="0.35">
      <c r="A51" t="s">
        <v>871</v>
      </c>
      <c r="B51" t="s">
        <v>872</v>
      </c>
      <c r="C51" s="53" t="s">
        <v>873</v>
      </c>
      <c r="D51">
        <v>510</v>
      </c>
      <c r="E51" t="s">
        <v>79</v>
      </c>
      <c r="G51" t="s">
        <v>367</v>
      </c>
      <c r="H51">
        <v>10</v>
      </c>
      <c r="I51" t="s">
        <v>874</v>
      </c>
      <c r="J51" t="s">
        <v>875</v>
      </c>
      <c r="K51" t="s">
        <v>876</v>
      </c>
      <c r="L51" t="s">
        <v>877</v>
      </c>
      <c r="M51" t="s">
        <v>878</v>
      </c>
      <c r="N51" t="s">
        <v>879</v>
      </c>
      <c r="O51" t="s">
        <v>880</v>
      </c>
      <c r="P51" t="s">
        <v>881</v>
      </c>
      <c r="Q51" t="s">
        <v>882</v>
      </c>
      <c r="R51" t="s">
        <v>883</v>
      </c>
    </row>
    <row r="52" spans="1:382" x14ac:dyDescent="0.35">
      <c r="A52" t="s">
        <v>884</v>
      </c>
      <c r="B52" t="s">
        <v>885</v>
      </c>
      <c r="C52" t="s">
        <v>886</v>
      </c>
      <c r="D52">
        <v>520</v>
      </c>
      <c r="E52" t="s">
        <v>364</v>
      </c>
      <c r="G52" t="s">
        <v>367</v>
      </c>
      <c r="H52">
        <v>1</v>
      </c>
      <c r="I52" t="s">
        <v>362</v>
      </c>
    </row>
    <row r="53" spans="1:382" x14ac:dyDescent="0.35">
      <c r="A53" t="s">
        <v>887</v>
      </c>
      <c r="B53" t="s">
        <v>888</v>
      </c>
      <c r="C53" t="s">
        <v>889</v>
      </c>
      <c r="D53">
        <v>530</v>
      </c>
      <c r="E53" t="s">
        <v>79</v>
      </c>
      <c r="G53" t="s">
        <v>367</v>
      </c>
      <c r="H53">
        <v>1</v>
      </c>
      <c r="I53" t="s">
        <v>362</v>
      </c>
    </row>
    <row r="54" spans="1:382" x14ac:dyDescent="0.35">
      <c r="A54" t="s">
        <v>890</v>
      </c>
      <c r="B54" t="s">
        <v>891</v>
      </c>
      <c r="C54" s="53" t="s">
        <v>892</v>
      </c>
      <c r="D54">
        <v>540</v>
      </c>
      <c r="E54" t="s">
        <v>79</v>
      </c>
      <c r="G54" t="s">
        <v>367</v>
      </c>
      <c r="H54">
        <v>374</v>
      </c>
      <c r="I54" t="s">
        <v>368</v>
      </c>
      <c r="J54" t="s">
        <v>369</v>
      </c>
      <c r="K54" t="s">
        <v>370</v>
      </c>
      <c r="L54" t="s">
        <v>371</v>
      </c>
      <c r="M54" t="s">
        <v>372</v>
      </c>
      <c r="N54" t="s">
        <v>373</v>
      </c>
      <c r="O54" t="s">
        <v>374</v>
      </c>
      <c r="P54" t="s">
        <v>375</v>
      </c>
      <c r="Q54" t="s">
        <v>376</v>
      </c>
      <c r="R54" t="s">
        <v>377</v>
      </c>
      <c r="S54" t="s">
        <v>378</v>
      </c>
      <c r="T54" t="s">
        <v>379</v>
      </c>
      <c r="U54" t="s">
        <v>380</v>
      </c>
      <c r="V54" t="s">
        <v>381</v>
      </c>
      <c r="W54" t="s">
        <v>382</v>
      </c>
      <c r="X54" t="s">
        <v>383</v>
      </c>
      <c r="Y54" t="s">
        <v>384</v>
      </c>
      <c r="Z54" t="s">
        <v>385</v>
      </c>
      <c r="AA54" t="s">
        <v>386</v>
      </c>
      <c r="AB54" t="s">
        <v>387</v>
      </c>
      <c r="AC54" t="s">
        <v>388</v>
      </c>
      <c r="AD54" t="s">
        <v>389</v>
      </c>
      <c r="AE54" t="s">
        <v>390</v>
      </c>
      <c r="AF54" t="s">
        <v>391</v>
      </c>
      <c r="AG54" t="s">
        <v>392</v>
      </c>
      <c r="AH54" t="s">
        <v>393</v>
      </c>
      <c r="AI54" t="s">
        <v>394</v>
      </c>
      <c r="AJ54" t="s">
        <v>395</v>
      </c>
      <c r="AK54" t="s">
        <v>396</v>
      </c>
      <c r="AL54" t="s">
        <v>397</v>
      </c>
      <c r="AM54" t="s">
        <v>398</v>
      </c>
      <c r="AN54" t="s">
        <v>399</v>
      </c>
      <c r="AO54" t="s">
        <v>400</v>
      </c>
      <c r="AP54" t="s">
        <v>401</v>
      </c>
      <c r="AQ54" t="s">
        <v>402</v>
      </c>
      <c r="AR54" t="s">
        <v>403</v>
      </c>
      <c r="AS54" t="s">
        <v>404</v>
      </c>
      <c r="AT54" t="s">
        <v>405</v>
      </c>
      <c r="AU54" t="s">
        <v>406</v>
      </c>
      <c r="AV54" t="s">
        <v>407</v>
      </c>
      <c r="AW54" t="s">
        <v>408</v>
      </c>
      <c r="AX54" t="s">
        <v>409</v>
      </c>
      <c r="AY54" t="s">
        <v>410</v>
      </c>
      <c r="AZ54" t="s">
        <v>411</v>
      </c>
      <c r="BA54" t="s">
        <v>412</v>
      </c>
      <c r="BB54" t="s">
        <v>413</v>
      </c>
      <c r="BC54" t="s">
        <v>414</v>
      </c>
      <c r="BD54" t="s">
        <v>415</v>
      </c>
      <c r="BE54" t="s">
        <v>416</v>
      </c>
      <c r="BF54" t="s">
        <v>417</v>
      </c>
      <c r="BG54" t="s">
        <v>418</v>
      </c>
      <c r="BH54" t="s">
        <v>419</v>
      </c>
      <c r="BI54" t="s">
        <v>420</v>
      </c>
      <c r="BJ54" t="s">
        <v>421</v>
      </c>
      <c r="BK54" t="s">
        <v>422</v>
      </c>
      <c r="BL54" t="s">
        <v>423</v>
      </c>
      <c r="BM54" t="s">
        <v>424</v>
      </c>
      <c r="BN54" t="s">
        <v>425</v>
      </c>
      <c r="BO54" t="s">
        <v>426</v>
      </c>
      <c r="BP54" t="s">
        <v>427</v>
      </c>
      <c r="BQ54" t="s">
        <v>428</v>
      </c>
      <c r="BR54" t="s">
        <v>429</v>
      </c>
      <c r="BS54" t="s">
        <v>430</v>
      </c>
      <c r="BT54" t="s">
        <v>431</v>
      </c>
      <c r="BU54" t="s">
        <v>432</v>
      </c>
      <c r="BV54" t="s">
        <v>433</v>
      </c>
      <c r="BW54" t="s">
        <v>434</v>
      </c>
      <c r="BX54" t="s">
        <v>435</v>
      </c>
      <c r="BY54" t="s">
        <v>436</v>
      </c>
      <c r="BZ54" t="s">
        <v>437</v>
      </c>
      <c r="CA54" t="s">
        <v>438</v>
      </c>
      <c r="CB54" t="s">
        <v>439</v>
      </c>
      <c r="CC54" t="s">
        <v>440</v>
      </c>
      <c r="CD54" t="s">
        <v>441</v>
      </c>
      <c r="CE54" t="s">
        <v>442</v>
      </c>
      <c r="CF54" t="s">
        <v>443</v>
      </c>
      <c r="CG54" t="s">
        <v>444</v>
      </c>
      <c r="CH54" t="s">
        <v>445</v>
      </c>
      <c r="CI54" t="s">
        <v>446</v>
      </c>
      <c r="CJ54" t="s">
        <v>447</v>
      </c>
      <c r="CK54" t="s">
        <v>448</v>
      </c>
      <c r="CL54" t="s">
        <v>449</v>
      </c>
      <c r="CM54" t="s">
        <v>450</v>
      </c>
      <c r="CN54" t="s">
        <v>451</v>
      </c>
      <c r="CO54" t="s">
        <v>452</v>
      </c>
      <c r="CP54" t="s">
        <v>453</v>
      </c>
      <c r="CQ54" t="s">
        <v>454</v>
      </c>
      <c r="CR54" t="s">
        <v>455</v>
      </c>
      <c r="CS54" t="s">
        <v>456</v>
      </c>
      <c r="CT54" t="s">
        <v>457</v>
      </c>
      <c r="CU54" t="s">
        <v>458</v>
      </c>
      <c r="CV54" t="s">
        <v>459</v>
      </c>
      <c r="CW54" t="s">
        <v>460</v>
      </c>
      <c r="CX54" t="s">
        <v>461</v>
      </c>
      <c r="CY54" t="s">
        <v>462</v>
      </c>
      <c r="CZ54" t="s">
        <v>463</v>
      </c>
      <c r="DA54" t="s">
        <v>464</v>
      </c>
      <c r="DB54" t="s">
        <v>465</v>
      </c>
      <c r="DC54" t="s">
        <v>466</v>
      </c>
      <c r="DD54" t="s">
        <v>467</v>
      </c>
      <c r="DE54" t="s">
        <v>468</v>
      </c>
      <c r="DF54" t="s">
        <v>469</v>
      </c>
      <c r="DG54" t="s">
        <v>470</v>
      </c>
      <c r="DH54" t="s">
        <v>471</v>
      </c>
      <c r="DI54" t="s">
        <v>472</v>
      </c>
      <c r="DJ54" t="s">
        <v>473</v>
      </c>
      <c r="DK54" t="s">
        <v>474</v>
      </c>
      <c r="DL54" t="s">
        <v>475</v>
      </c>
      <c r="DM54" t="s">
        <v>476</v>
      </c>
      <c r="DN54" t="s">
        <v>477</v>
      </c>
      <c r="DO54" t="s">
        <v>478</v>
      </c>
      <c r="DP54" t="s">
        <v>479</v>
      </c>
      <c r="DQ54" t="s">
        <v>480</v>
      </c>
      <c r="DR54" t="s">
        <v>481</v>
      </c>
      <c r="DS54" t="s">
        <v>482</v>
      </c>
      <c r="DT54" t="s">
        <v>483</v>
      </c>
      <c r="DU54" t="s">
        <v>484</v>
      </c>
      <c r="DV54" t="s">
        <v>485</v>
      </c>
      <c r="DW54" t="s">
        <v>486</v>
      </c>
      <c r="DX54" t="s">
        <v>487</v>
      </c>
      <c r="DY54" t="s">
        <v>488</v>
      </c>
      <c r="DZ54" t="s">
        <v>489</v>
      </c>
      <c r="EA54" t="s">
        <v>490</v>
      </c>
      <c r="EB54" t="s">
        <v>491</v>
      </c>
      <c r="EC54" t="s">
        <v>492</v>
      </c>
      <c r="ED54" t="s">
        <v>493</v>
      </c>
      <c r="EE54" t="s">
        <v>494</v>
      </c>
      <c r="EF54" t="s">
        <v>495</v>
      </c>
      <c r="EG54" t="s">
        <v>496</v>
      </c>
      <c r="EH54" t="s">
        <v>497</v>
      </c>
      <c r="EI54" t="s">
        <v>498</v>
      </c>
      <c r="EJ54" t="s">
        <v>499</v>
      </c>
      <c r="EK54" t="s">
        <v>500</v>
      </c>
      <c r="EL54" t="s">
        <v>501</v>
      </c>
      <c r="EM54" t="s">
        <v>502</v>
      </c>
      <c r="EN54" t="s">
        <v>503</v>
      </c>
      <c r="EO54" t="s">
        <v>504</v>
      </c>
      <c r="EP54" t="s">
        <v>505</v>
      </c>
      <c r="EQ54" t="s">
        <v>506</v>
      </c>
      <c r="ER54" t="s">
        <v>507</v>
      </c>
      <c r="ES54" t="s">
        <v>508</v>
      </c>
      <c r="ET54" t="s">
        <v>509</v>
      </c>
      <c r="EU54" t="s">
        <v>510</v>
      </c>
      <c r="EV54" t="s">
        <v>511</v>
      </c>
      <c r="EW54" t="s">
        <v>512</v>
      </c>
      <c r="EX54" t="s">
        <v>513</v>
      </c>
      <c r="EY54" t="s">
        <v>514</v>
      </c>
      <c r="EZ54" t="s">
        <v>515</v>
      </c>
      <c r="FA54" t="s">
        <v>516</v>
      </c>
      <c r="FB54" t="s">
        <v>517</v>
      </c>
      <c r="FC54" t="s">
        <v>518</v>
      </c>
      <c r="FD54" t="s">
        <v>519</v>
      </c>
      <c r="FE54" t="s">
        <v>520</v>
      </c>
      <c r="FF54" t="s">
        <v>521</v>
      </c>
      <c r="FG54" t="s">
        <v>522</v>
      </c>
      <c r="FH54" t="s">
        <v>523</v>
      </c>
      <c r="FI54" t="s">
        <v>524</v>
      </c>
      <c r="FJ54" t="s">
        <v>525</v>
      </c>
      <c r="FK54" t="s">
        <v>526</v>
      </c>
      <c r="FL54" t="s">
        <v>527</v>
      </c>
      <c r="FM54" t="s">
        <v>528</v>
      </c>
      <c r="FN54" t="s">
        <v>529</v>
      </c>
      <c r="FO54" t="s">
        <v>530</v>
      </c>
      <c r="FP54" t="s">
        <v>531</v>
      </c>
      <c r="FQ54" t="s">
        <v>532</v>
      </c>
      <c r="FR54" t="s">
        <v>533</v>
      </c>
      <c r="FS54" t="s">
        <v>534</v>
      </c>
      <c r="FT54" t="s">
        <v>535</v>
      </c>
      <c r="FU54" t="s">
        <v>536</v>
      </c>
      <c r="FV54" t="s">
        <v>537</v>
      </c>
      <c r="FW54" t="s">
        <v>538</v>
      </c>
      <c r="FX54" t="s">
        <v>539</v>
      </c>
      <c r="FY54" t="s">
        <v>540</v>
      </c>
      <c r="FZ54" t="s">
        <v>541</v>
      </c>
      <c r="GA54" t="s">
        <v>542</v>
      </c>
      <c r="GB54" t="s">
        <v>543</v>
      </c>
      <c r="GC54" t="s">
        <v>544</v>
      </c>
      <c r="GD54" t="s">
        <v>545</v>
      </c>
      <c r="GE54" t="s">
        <v>546</v>
      </c>
      <c r="GF54" t="s">
        <v>547</v>
      </c>
      <c r="GG54" t="s">
        <v>548</v>
      </c>
      <c r="GH54" t="s">
        <v>549</v>
      </c>
      <c r="GI54" t="s">
        <v>550</v>
      </c>
      <c r="GJ54" t="s">
        <v>551</v>
      </c>
      <c r="GK54" t="s">
        <v>552</v>
      </c>
      <c r="GL54" t="s">
        <v>553</v>
      </c>
      <c r="GM54" t="s">
        <v>554</v>
      </c>
      <c r="GN54" t="s">
        <v>555</v>
      </c>
      <c r="GO54" t="s">
        <v>556</v>
      </c>
      <c r="GP54" t="s">
        <v>557</v>
      </c>
      <c r="GQ54" t="s">
        <v>558</v>
      </c>
      <c r="GR54" t="s">
        <v>559</v>
      </c>
      <c r="GS54" t="s">
        <v>560</v>
      </c>
      <c r="GT54" t="s">
        <v>561</v>
      </c>
      <c r="GU54" t="s">
        <v>562</v>
      </c>
      <c r="GV54" t="s">
        <v>563</v>
      </c>
      <c r="GW54" t="s">
        <v>564</v>
      </c>
      <c r="GX54" t="s">
        <v>565</v>
      </c>
      <c r="GY54" t="s">
        <v>566</v>
      </c>
      <c r="GZ54" t="s">
        <v>567</v>
      </c>
      <c r="HA54" t="s">
        <v>568</v>
      </c>
      <c r="HB54" t="s">
        <v>569</v>
      </c>
      <c r="HC54" t="s">
        <v>570</v>
      </c>
      <c r="HD54" t="s">
        <v>571</v>
      </c>
      <c r="HE54" t="s">
        <v>572</v>
      </c>
      <c r="HF54" t="s">
        <v>573</v>
      </c>
      <c r="HG54" t="s">
        <v>574</v>
      </c>
      <c r="HH54" t="s">
        <v>575</v>
      </c>
      <c r="HI54" t="s">
        <v>576</v>
      </c>
      <c r="HJ54" t="s">
        <v>577</v>
      </c>
      <c r="HK54" t="s">
        <v>578</v>
      </c>
      <c r="HL54" t="s">
        <v>579</v>
      </c>
      <c r="HM54" t="s">
        <v>580</v>
      </c>
      <c r="HN54" t="s">
        <v>581</v>
      </c>
      <c r="HO54" t="s">
        <v>582</v>
      </c>
      <c r="HP54" t="s">
        <v>583</v>
      </c>
      <c r="HQ54" t="s">
        <v>584</v>
      </c>
      <c r="HR54" t="s">
        <v>585</v>
      </c>
      <c r="HS54" t="s">
        <v>586</v>
      </c>
      <c r="HT54" t="s">
        <v>587</v>
      </c>
      <c r="HU54" t="s">
        <v>588</v>
      </c>
      <c r="HV54" t="s">
        <v>589</v>
      </c>
      <c r="HW54" t="s">
        <v>590</v>
      </c>
      <c r="HX54" t="s">
        <v>591</v>
      </c>
      <c r="HY54" t="s">
        <v>592</v>
      </c>
      <c r="HZ54" t="s">
        <v>593</v>
      </c>
      <c r="IA54" t="s">
        <v>594</v>
      </c>
      <c r="IB54" t="s">
        <v>595</v>
      </c>
      <c r="IC54" t="s">
        <v>596</v>
      </c>
      <c r="ID54" t="s">
        <v>597</v>
      </c>
      <c r="IE54" t="s">
        <v>598</v>
      </c>
      <c r="IF54" t="s">
        <v>599</v>
      </c>
      <c r="IG54" t="s">
        <v>600</v>
      </c>
      <c r="IH54" t="s">
        <v>601</v>
      </c>
      <c r="II54" t="s">
        <v>602</v>
      </c>
      <c r="IJ54" t="s">
        <v>603</v>
      </c>
      <c r="IK54" t="s">
        <v>604</v>
      </c>
      <c r="IL54" t="s">
        <v>605</v>
      </c>
      <c r="IM54" t="s">
        <v>606</v>
      </c>
      <c r="IN54" t="s">
        <v>607</v>
      </c>
      <c r="IO54" t="s">
        <v>608</v>
      </c>
      <c r="IP54" t="s">
        <v>609</v>
      </c>
      <c r="IQ54" t="s">
        <v>610</v>
      </c>
      <c r="IR54" t="s">
        <v>611</v>
      </c>
      <c r="IS54" t="s">
        <v>612</v>
      </c>
      <c r="IT54" t="s">
        <v>613</v>
      </c>
      <c r="IU54" t="s">
        <v>614</v>
      </c>
      <c r="IV54" t="s">
        <v>615</v>
      </c>
      <c r="IW54" t="s">
        <v>616</v>
      </c>
      <c r="IX54" t="s">
        <v>617</v>
      </c>
      <c r="IY54" t="s">
        <v>618</v>
      </c>
      <c r="IZ54" t="s">
        <v>619</v>
      </c>
      <c r="JA54" t="s">
        <v>620</v>
      </c>
      <c r="JB54" t="s">
        <v>621</v>
      </c>
      <c r="JC54" t="s">
        <v>622</v>
      </c>
      <c r="JD54" t="s">
        <v>623</v>
      </c>
      <c r="JE54" t="s">
        <v>624</v>
      </c>
      <c r="JF54" t="s">
        <v>625</v>
      </c>
      <c r="JG54" t="s">
        <v>626</v>
      </c>
      <c r="JH54" t="s">
        <v>627</v>
      </c>
      <c r="JI54" t="s">
        <v>628</v>
      </c>
      <c r="JJ54" t="s">
        <v>629</v>
      </c>
      <c r="JK54" t="s">
        <v>630</v>
      </c>
      <c r="JL54" t="s">
        <v>631</v>
      </c>
      <c r="JM54" t="s">
        <v>632</v>
      </c>
      <c r="JN54" t="s">
        <v>633</v>
      </c>
      <c r="JO54" t="s">
        <v>634</v>
      </c>
      <c r="JP54" t="s">
        <v>635</v>
      </c>
      <c r="JQ54" t="s">
        <v>636</v>
      </c>
      <c r="JR54" t="s">
        <v>637</v>
      </c>
      <c r="JS54" t="s">
        <v>638</v>
      </c>
      <c r="JT54" t="s">
        <v>639</v>
      </c>
      <c r="JU54" t="s">
        <v>640</v>
      </c>
      <c r="JV54" t="s">
        <v>641</v>
      </c>
      <c r="JW54" t="s">
        <v>642</v>
      </c>
      <c r="JX54" t="s">
        <v>643</v>
      </c>
      <c r="JY54" t="s">
        <v>644</v>
      </c>
      <c r="JZ54" t="s">
        <v>645</v>
      </c>
      <c r="KA54" t="s">
        <v>646</v>
      </c>
      <c r="KB54" t="s">
        <v>647</v>
      </c>
      <c r="KC54" t="s">
        <v>648</v>
      </c>
      <c r="KD54" t="s">
        <v>649</v>
      </c>
      <c r="KE54" t="s">
        <v>650</v>
      </c>
      <c r="KF54" t="s">
        <v>651</v>
      </c>
      <c r="KG54" t="s">
        <v>652</v>
      </c>
      <c r="KH54" t="s">
        <v>653</v>
      </c>
      <c r="KI54" t="s">
        <v>654</v>
      </c>
      <c r="KJ54" t="s">
        <v>655</v>
      </c>
      <c r="KK54" t="s">
        <v>656</v>
      </c>
      <c r="KL54" t="s">
        <v>657</v>
      </c>
      <c r="KM54" t="s">
        <v>658</v>
      </c>
      <c r="KN54" t="s">
        <v>659</v>
      </c>
      <c r="KO54" t="s">
        <v>660</v>
      </c>
      <c r="KP54" t="s">
        <v>661</v>
      </c>
      <c r="KQ54" t="s">
        <v>662</v>
      </c>
      <c r="KR54" t="s">
        <v>663</v>
      </c>
      <c r="KS54" t="s">
        <v>664</v>
      </c>
      <c r="KT54" t="s">
        <v>665</v>
      </c>
      <c r="KU54" t="s">
        <v>666</v>
      </c>
      <c r="KV54" t="s">
        <v>667</v>
      </c>
      <c r="KW54" t="s">
        <v>668</v>
      </c>
      <c r="KX54" t="s">
        <v>669</v>
      </c>
      <c r="KY54" t="s">
        <v>670</v>
      </c>
      <c r="KZ54" t="s">
        <v>671</v>
      </c>
      <c r="LA54" t="s">
        <v>672</v>
      </c>
      <c r="LB54" t="s">
        <v>673</v>
      </c>
      <c r="LC54" t="s">
        <v>674</v>
      </c>
      <c r="LD54" t="s">
        <v>675</v>
      </c>
      <c r="LE54" t="s">
        <v>676</v>
      </c>
      <c r="LF54" t="s">
        <v>677</v>
      </c>
      <c r="LG54" t="s">
        <v>678</v>
      </c>
      <c r="LH54" t="s">
        <v>679</v>
      </c>
      <c r="LI54" t="s">
        <v>680</v>
      </c>
      <c r="LJ54" t="s">
        <v>681</v>
      </c>
      <c r="LK54" t="s">
        <v>682</v>
      </c>
      <c r="LL54" t="s">
        <v>683</v>
      </c>
      <c r="LM54" t="s">
        <v>684</v>
      </c>
      <c r="LN54" t="s">
        <v>685</v>
      </c>
      <c r="LO54" t="s">
        <v>686</v>
      </c>
      <c r="LP54" t="s">
        <v>687</v>
      </c>
      <c r="LQ54" t="s">
        <v>688</v>
      </c>
      <c r="LR54" t="s">
        <v>689</v>
      </c>
      <c r="LS54" t="s">
        <v>690</v>
      </c>
      <c r="LT54" t="s">
        <v>691</v>
      </c>
      <c r="LU54" t="s">
        <v>692</v>
      </c>
      <c r="LV54" t="s">
        <v>693</v>
      </c>
      <c r="LW54" t="s">
        <v>694</v>
      </c>
      <c r="LX54" t="s">
        <v>695</v>
      </c>
      <c r="LY54" t="s">
        <v>696</v>
      </c>
      <c r="LZ54" t="s">
        <v>697</v>
      </c>
      <c r="MA54" t="s">
        <v>698</v>
      </c>
      <c r="MB54" t="s">
        <v>699</v>
      </c>
      <c r="MC54" t="s">
        <v>700</v>
      </c>
      <c r="MD54" t="s">
        <v>701</v>
      </c>
      <c r="ME54" t="s">
        <v>702</v>
      </c>
      <c r="MF54" t="s">
        <v>703</v>
      </c>
      <c r="MG54" t="s">
        <v>704</v>
      </c>
      <c r="MH54" t="s">
        <v>705</v>
      </c>
      <c r="MI54" t="s">
        <v>706</v>
      </c>
      <c r="MJ54" t="s">
        <v>707</v>
      </c>
      <c r="MK54" t="s">
        <v>708</v>
      </c>
      <c r="ML54" t="s">
        <v>709</v>
      </c>
      <c r="MM54" t="s">
        <v>710</v>
      </c>
      <c r="MN54" t="s">
        <v>711</v>
      </c>
      <c r="MO54" t="s">
        <v>712</v>
      </c>
      <c r="MP54" t="s">
        <v>713</v>
      </c>
      <c r="MQ54" t="s">
        <v>714</v>
      </c>
      <c r="MR54" t="s">
        <v>715</v>
      </c>
      <c r="MS54" t="s">
        <v>716</v>
      </c>
      <c r="MT54" t="s">
        <v>717</v>
      </c>
      <c r="MU54" t="s">
        <v>718</v>
      </c>
      <c r="MV54" t="s">
        <v>719</v>
      </c>
      <c r="MW54" t="s">
        <v>720</v>
      </c>
      <c r="MX54" t="s">
        <v>721</v>
      </c>
      <c r="MY54" t="s">
        <v>722</v>
      </c>
      <c r="MZ54" t="s">
        <v>723</v>
      </c>
      <c r="NA54" t="s">
        <v>724</v>
      </c>
      <c r="NB54" t="s">
        <v>725</v>
      </c>
      <c r="NC54" t="s">
        <v>726</v>
      </c>
      <c r="ND54" t="s">
        <v>727</v>
      </c>
      <c r="NE54" t="s">
        <v>728</v>
      </c>
      <c r="NF54" t="s">
        <v>729</v>
      </c>
      <c r="NG54" t="s">
        <v>730</v>
      </c>
      <c r="NH54" t="s">
        <v>731</v>
      </c>
      <c r="NI54" t="s">
        <v>732</v>
      </c>
      <c r="NJ54" t="s">
        <v>733</v>
      </c>
      <c r="NK54" t="s">
        <v>734</v>
      </c>
      <c r="NL54" t="s">
        <v>735</v>
      </c>
      <c r="NM54" t="s">
        <v>736</v>
      </c>
      <c r="NN54" t="s">
        <v>737</v>
      </c>
      <c r="NO54" t="s">
        <v>738</v>
      </c>
      <c r="NP54" t="s">
        <v>739</v>
      </c>
      <c r="NQ54" t="s">
        <v>740</v>
      </c>
      <c r="NR54" t="s">
        <v>741</v>
      </c>
    </row>
    <row r="55" spans="1:382" x14ac:dyDescent="0.35">
      <c r="A55" t="s">
        <v>123</v>
      </c>
      <c r="B55" t="s">
        <v>893</v>
      </c>
      <c r="C55" t="s">
        <v>894</v>
      </c>
      <c r="D55">
        <v>550</v>
      </c>
      <c r="E55" t="s">
        <v>79</v>
      </c>
      <c r="G55" t="s">
        <v>367</v>
      </c>
      <c r="H55">
        <v>3</v>
      </c>
      <c r="I55" t="s">
        <v>895</v>
      </c>
      <c r="J55" t="s">
        <v>896</v>
      </c>
      <c r="K55" t="s">
        <v>897</v>
      </c>
    </row>
    <row r="56" spans="1:382" x14ac:dyDescent="0.35">
      <c r="A56" t="s">
        <v>123</v>
      </c>
      <c r="B56" t="s">
        <v>898</v>
      </c>
      <c r="C56" t="s">
        <v>899</v>
      </c>
      <c r="D56">
        <v>560</v>
      </c>
      <c r="E56" t="s">
        <v>79</v>
      </c>
      <c r="G56" t="s">
        <v>367</v>
      </c>
      <c r="H56">
        <v>2</v>
      </c>
      <c r="I56" t="s">
        <v>900</v>
      </c>
      <c r="J56" t="s">
        <v>901</v>
      </c>
    </row>
    <row r="57" spans="1:382" x14ac:dyDescent="0.35">
      <c r="A57" t="s">
        <v>902</v>
      </c>
      <c r="B57" t="s">
        <v>903</v>
      </c>
      <c r="C57" t="s">
        <v>904</v>
      </c>
      <c r="D57">
        <v>570</v>
      </c>
      <c r="E57" t="s">
        <v>364</v>
      </c>
      <c r="G57" t="s">
        <v>367</v>
      </c>
      <c r="H57">
        <v>1</v>
      </c>
      <c r="I57" t="s">
        <v>362</v>
      </c>
    </row>
    <row r="58" spans="1:382" x14ac:dyDescent="0.35">
      <c r="A58" t="s">
        <v>905</v>
      </c>
      <c r="B58" t="s">
        <v>906</v>
      </c>
      <c r="C58" t="s">
        <v>907</v>
      </c>
      <c r="D58">
        <v>580</v>
      </c>
      <c r="E58" t="s">
        <v>364</v>
      </c>
      <c r="G58" t="s">
        <v>367</v>
      </c>
      <c r="H58">
        <v>1</v>
      </c>
      <c r="I58" t="s">
        <v>362</v>
      </c>
    </row>
    <row r="59" spans="1:382" x14ac:dyDescent="0.35">
      <c r="A59" t="s">
        <v>908</v>
      </c>
      <c r="B59" t="s">
        <v>909</v>
      </c>
      <c r="C59" t="s">
        <v>910</v>
      </c>
      <c r="D59">
        <v>590</v>
      </c>
      <c r="E59" t="s">
        <v>364</v>
      </c>
      <c r="G59" t="s">
        <v>367</v>
      </c>
      <c r="H59">
        <v>1</v>
      </c>
      <c r="I59" t="s">
        <v>362</v>
      </c>
    </row>
    <row r="60" spans="1:382" x14ac:dyDescent="0.35">
      <c r="A60" t="s">
        <v>911</v>
      </c>
      <c r="B60" t="s">
        <v>912</v>
      </c>
      <c r="C60" t="s">
        <v>913</v>
      </c>
      <c r="D60">
        <v>600</v>
      </c>
      <c r="E60" t="s">
        <v>364</v>
      </c>
      <c r="G60" t="s">
        <v>367</v>
      </c>
      <c r="H60">
        <v>1</v>
      </c>
      <c r="I60" t="s">
        <v>362</v>
      </c>
    </row>
    <row r="61" spans="1:382" x14ac:dyDescent="0.35">
      <c r="A61" t="s">
        <v>914</v>
      </c>
      <c r="B61" t="s">
        <v>915</v>
      </c>
      <c r="C61" t="s">
        <v>916</v>
      </c>
      <c r="D61">
        <v>610</v>
      </c>
      <c r="E61" t="s">
        <v>364</v>
      </c>
      <c r="G61" t="s">
        <v>367</v>
      </c>
      <c r="H61">
        <v>1</v>
      </c>
      <c r="I61" t="s">
        <v>362</v>
      </c>
    </row>
    <row r="62" spans="1:382" x14ac:dyDescent="0.35">
      <c r="A62" t="s">
        <v>917</v>
      </c>
      <c r="B62" t="s">
        <v>918</v>
      </c>
      <c r="C62" t="s">
        <v>919</v>
      </c>
      <c r="D62">
        <v>620</v>
      </c>
      <c r="E62" t="s">
        <v>364</v>
      </c>
      <c r="G62" t="s">
        <v>367</v>
      </c>
      <c r="H62">
        <v>1</v>
      </c>
      <c r="I62" t="s">
        <v>362</v>
      </c>
    </row>
    <row r="63" spans="1:382" x14ac:dyDescent="0.35">
      <c r="A63" t="s">
        <v>908</v>
      </c>
      <c r="B63" t="s">
        <v>920</v>
      </c>
      <c r="C63" t="s">
        <v>921</v>
      </c>
      <c r="D63">
        <v>630</v>
      </c>
      <c r="E63" t="s">
        <v>364</v>
      </c>
      <c r="G63" t="s">
        <v>367</v>
      </c>
      <c r="H63">
        <v>1</v>
      </c>
      <c r="I63" t="s">
        <v>362</v>
      </c>
    </row>
    <row r="64" spans="1:382" x14ac:dyDescent="0.35">
      <c r="A64" t="s">
        <v>922</v>
      </c>
      <c r="B64" t="s">
        <v>923</v>
      </c>
      <c r="C64" s="53" t="s">
        <v>924</v>
      </c>
      <c r="D64">
        <v>640</v>
      </c>
      <c r="E64" t="s">
        <v>79</v>
      </c>
      <c r="G64" t="s">
        <v>367</v>
      </c>
      <c r="H64">
        <v>6</v>
      </c>
      <c r="I64" t="s">
        <v>925</v>
      </c>
      <c r="J64" t="s">
        <v>926</v>
      </c>
      <c r="K64" t="s">
        <v>927</v>
      </c>
      <c r="L64" t="s">
        <v>928</v>
      </c>
      <c r="M64" t="s">
        <v>929</v>
      </c>
      <c r="N64" t="s">
        <v>930</v>
      </c>
    </row>
    <row r="65" spans="1:39" x14ac:dyDescent="0.35">
      <c r="A65" t="s">
        <v>931</v>
      </c>
      <c r="B65" t="s">
        <v>932</v>
      </c>
      <c r="C65" t="s">
        <v>933</v>
      </c>
      <c r="D65">
        <v>650</v>
      </c>
      <c r="E65" t="s">
        <v>79</v>
      </c>
      <c r="G65" t="s">
        <v>367</v>
      </c>
      <c r="H65">
        <v>1</v>
      </c>
      <c r="I65" t="s">
        <v>362</v>
      </c>
    </row>
    <row r="66" spans="1:39" x14ac:dyDescent="0.35">
      <c r="A66" t="s">
        <v>934</v>
      </c>
      <c r="B66" t="s">
        <v>935</v>
      </c>
      <c r="C66" t="s">
        <v>936</v>
      </c>
      <c r="D66">
        <v>660</v>
      </c>
      <c r="E66" t="s">
        <v>79</v>
      </c>
      <c r="G66" t="s">
        <v>367</v>
      </c>
      <c r="H66">
        <v>1</v>
      </c>
      <c r="I66" t="s">
        <v>362</v>
      </c>
    </row>
    <row r="67" spans="1:39" x14ac:dyDescent="0.35">
      <c r="A67" t="s">
        <v>937</v>
      </c>
      <c r="B67" t="s">
        <v>938</v>
      </c>
      <c r="C67" t="s">
        <v>939</v>
      </c>
      <c r="D67">
        <v>670</v>
      </c>
      <c r="E67" t="s">
        <v>79</v>
      </c>
      <c r="G67" t="s">
        <v>367</v>
      </c>
      <c r="H67">
        <v>1</v>
      </c>
      <c r="I67" t="s">
        <v>362</v>
      </c>
    </row>
    <row r="68" spans="1:39" x14ac:dyDescent="0.35">
      <c r="A68" t="s">
        <v>124</v>
      </c>
      <c r="B68" t="s">
        <v>940</v>
      </c>
      <c r="C68" t="s">
        <v>941</v>
      </c>
      <c r="D68">
        <v>680</v>
      </c>
      <c r="E68" t="s">
        <v>364</v>
      </c>
      <c r="G68" t="s">
        <v>367</v>
      </c>
      <c r="H68">
        <v>1</v>
      </c>
      <c r="I68" t="s">
        <v>362</v>
      </c>
    </row>
    <row r="69" spans="1:39" x14ac:dyDescent="0.35">
      <c r="A69" t="s">
        <v>124</v>
      </c>
      <c r="B69" t="s">
        <v>942</v>
      </c>
      <c r="C69" t="s">
        <v>943</v>
      </c>
      <c r="D69">
        <v>690</v>
      </c>
      <c r="E69" t="s">
        <v>818</v>
      </c>
      <c r="G69" t="s">
        <v>367</v>
      </c>
      <c r="H69">
        <v>1</v>
      </c>
      <c r="I69" t="s">
        <v>362</v>
      </c>
    </row>
    <row r="70" spans="1:39" x14ac:dyDescent="0.35">
      <c r="A70" t="s">
        <v>944</v>
      </c>
      <c r="B70" t="s">
        <v>945</v>
      </c>
      <c r="C70" t="s">
        <v>946</v>
      </c>
      <c r="D70">
        <v>700</v>
      </c>
      <c r="E70" t="s">
        <v>364</v>
      </c>
      <c r="G70" t="s">
        <v>367</v>
      </c>
      <c r="H70">
        <v>1</v>
      </c>
      <c r="I70" t="s">
        <v>362</v>
      </c>
    </row>
    <row r="71" spans="1:39" x14ac:dyDescent="0.35">
      <c r="A71" t="s">
        <v>947</v>
      </c>
      <c r="B71" t="s">
        <v>948</v>
      </c>
      <c r="C71" s="53" t="s">
        <v>949</v>
      </c>
      <c r="D71">
        <v>710</v>
      </c>
      <c r="E71" t="s">
        <v>79</v>
      </c>
      <c r="G71" t="s">
        <v>367</v>
      </c>
      <c r="H71">
        <v>2</v>
      </c>
      <c r="I71" t="s">
        <v>804</v>
      </c>
      <c r="J71" t="s">
        <v>805</v>
      </c>
    </row>
    <row r="72" spans="1:39" x14ac:dyDescent="0.35">
      <c r="A72" t="s">
        <v>950</v>
      </c>
      <c r="B72" t="s">
        <v>951</v>
      </c>
      <c r="C72" t="s">
        <v>952</v>
      </c>
      <c r="D72">
        <v>720</v>
      </c>
      <c r="E72" t="s">
        <v>364</v>
      </c>
      <c r="G72" t="s">
        <v>367</v>
      </c>
      <c r="H72">
        <v>1</v>
      </c>
      <c r="I72" t="s">
        <v>362</v>
      </c>
    </row>
    <row r="73" spans="1:39" x14ac:dyDescent="0.35">
      <c r="A73" t="s">
        <v>953</v>
      </c>
      <c r="B73" t="s">
        <v>954</v>
      </c>
      <c r="C73" t="s">
        <v>955</v>
      </c>
      <c r="D73">
        <v>730</v>
      </c>
      <c r="E73" t="s">
        <v>79</v>
      </c>
      <c r="G73" t="s">
        <v>367</v>
      </c>
      <c r="H73">
        <v>1</v>
      </c>
      <c r="I73" t="s">
        <v>362</v>
      </c>
    </row>
    <row r="74" spans="1:39" x14ac:dyDescent="0.35">
      <c r="A74" t="s">
        <v>111</v>
      </c>
      <c r="B74" t="s">
        <v>956</v>
      </c>
      <c r="C74" t="s">
        <v>957</v>
      </c>
      <c r="D74">
        <v>740</v>
      </c>
      <c r="E74" t="s">
        <v>364</v>
      </c>
      <c r="G74" t="s">
        <v>367</v>
      </c>
      <c r="H74">
        <v>1</v>
      </c>
      <c r="I74" t="s">
        <v>362</v>
      </c>
    </row>
    <row r="75" spans="1:39" x14ac:dyDescent="0.35">
      <c r="A75" t="s">
        <v>958</v>
      </c>
      <c r="B75" t="s">
        <v>959</v>
      </c>
      <c r="C75" t="s">
        <v>960</v>
      </c>
      <c r="D75">
        <v>750</v>
      </c>
      <c r="E75" t="s">
        <v>364</v>
      </c>
      <c r="G75" t="s">
        <v>367</v>
      </c>
      <c r="H75">
        <v>1</v>
      </c>
      <c r="I75" t="s">
        <v>362</v>
      </c>
    </row>
    <row r="76" spans="1:39" x14ac:dyDescent="0.35">
      <c r="A76" t="s">
        <v>961</v>
      </c>
      <c r="B76" t="s">
        <v>962</v>
      </c>
      <c r="C76" s="53" t="s">
        <v>963</v>
      </c>
      <c r="D76">
        <v>760</v>
      </c>
      <c r="E76" t="s">
        <v>79</v>
      </c>
      <c r="G76" t="s">
        <v>367</v>
      </c>
      <c r="H76">
        <v>31</v>
      </c>
      <c r="I76" t="s">
        <v>964</v>
      </c>
      <c r="J76" t="s">
        <v>965</v>
      </c>
      <c r="K76" t="s">
        <v>966</v>
      </c>
      <c r="L76" t="s">
        <v>967</v>
      </c>
      <c r="M76" t="s">
        <v>968</v>
      </c>
      <c r="N76" t="s">
        <v>969</v>
      </c>
      <c r="O76" t="s">
        <v>970</v>
      </c>
      <c r="P76" t="s">
        <v>971</v>
      </c>
      <c r="Q76" t="s">
        <v>972</v>
      </c>
      <c r="R76" t="s">
        <v>973</v>
      </c>
      <c r="S76" t="s">
        <v>974</v>
      </c>
      <c r="T76" t="s">
        <v>975</v>
      </c>
      <c r="U76" t="s">
        <v>976</v>
      </c>
      <c r="V76" t="s">
        <v>977</v>
      </c>
      <c r="W76" t="s">
        <v>978</v>
      </c>
      <c r="X76" t="s">
        <v>979</v>
      </c>
      <c r="Y76" t="s">
        <v>980</v>
      </c>
      <c r="Z76" t="s">
        <v>981</v>
      </c>
      <c r="AA76" t="s">
        <v>982</v>
      </c>
      <c r="AB76" t="s">
        <v>983</v>
      </c>
      <c r="AC76" t="s">
        <v>984</v>
      </c>
      <c r="AD76" t="s">
        <v>985</v>
      </c>
      <c r="AE76" t="s">
        <v>986</v>
      </c>
      <c r="AF76" t="s">
        <v>987</v>
      </c>
      <c r="AG76" t="s">
        <v>988</v>
      </c>
      <c r="AH76" t="s">
        <v>989</v>
      </c>
      <c r="AI76" t="s">
        <v>990</v>
      </c>
      <c r="AJ76" t="s">
        <v>991</v>
      </c>
      <c r="AK76" t="s">
        <v>992</v>
      </c>
      <c r="AL76" t="s">
        <v>993</v>
      </c>
      <c r="AM76" t="s">
        <v>775</v>
      </c>
    </row>
    <row r="77" spans="1:39" x14ac:dyDescent="0.35">
      <c r="A77" t="s">
        <v>308</v>
      </c>
      <c r="B77" t="s">
        <v>994</v>
      </c>
      <c r="C77" t="s">
        <v>995</v>
      </c>
      <c r="D77">
        <v>770</v>
      </c>
      <c r="E77" t="s">
        <v>79</v>
      </c>
      <c r="G77" t="s">
        <v>367</v>
      </c>
      <c r="H77">
        <v>6</v>
      </c>
      <c r="I77" t="s">
        <v>996</v>
      </c>
      <c r="J77" t="s">
        <v>997</v>
      </c>
      <c r="K77" t="s">
        <v>998</v>
      </c>
      <c r="L77" t="s">
        <v>999</v>
      </c>
      <c r="M77" t="s">
        <v>1000</v>
      </c>
      <c r="N77" t="s">
        <v>1001</v>
      </c>
    </row>
    <row r="78" spans="1:39" x14ac:dyDescent="0.35">
      <c r="A78" t="s">
        <v>108</v>
      </c>
      <c r="B78" t="s">
        <v>1002</v>
      </c>
      <c r="C78" t="s">
        <v>1003</v>
      </c>
      <c r="D78">
        <v>780</v>
      </c>
      <c r="E78" t="s">
        <v>364</v>
      </c>
      <c r="G78" t="s">
        <v>367</v>
      </c>
      <c r="H78">
        <v>1</v>
      </c>
      <c r="I78" t="s">
        <v>362</v>
      </c>
    </row>
    <row r="79" spans="1:39" x14ac:dyDescent="0.35">
      <c r="A79" t="s">
        <v>1004</v>
      </c>
      <c r="B79" t="s">
        <v>1005</v>
      </c>
      <c r="C79" t="s">
        <v>1006</v>
      </c>
      <c r="D79">
        <v>790</v>
      </c>
      <c r="E79" t="s">
        <v>364</v>
      </c>
      <c r="G79" t="s">
        <v>367</v>
      </c>
      <c r="H79">
        <v>1</v>
      </c>
      <c r="I79" t="s">
        <v>362</v>
      </c>
    </row>
    <row r="80" spans="1:39" x14ac:dyDescent="0.35">
      <c r="A80" t="s">
        <v>1007</v>
      </c>
      <c r="B80" t="s">
        <v>1008</v>
      </c>
      <c r="C80" t="s">
        <v>1009</v>
      </c>
      <c r="D80">
        <v>800</v>
      </c>
      <c r="E80" t="s">
        <v>818</v>
      </c>
      <c r="G80" t="s">
        <v>367</v>
      </c>
      <c r="H80">
        <v>1</v>
      </c>
      <c r="I80" t="s">
        <v>362</v>
      </c>
    </row>
    <row r="81" spans="1:15" x14ac:dyDescent="0.35">
      <c r="A81" t="s">
        <v>1010</v>
      </c>
      <c r="B81" t="s">
        <v>1011</v>
      </c>
      <c r="C81" s="53" t="s">
        <v>1012</v>
      </c>
      <c r="D81">
        <v>810</v>
      </c>
      <c r="E81" t="s">
        <v>79</v>
      </c>
      <c r="G81" t="s">
        <v>367</v>
      </c>
      <c r="H81">
        <v>7</v>
      </c>
      <c r="I81" t="s">
        <v>1013</v>
      </c>
      <c r="J81" t="s">
        <v>1014</v>
      </c>
      <c r="K81" t="s">
        <v>1015</v>
      </c>
      <c r="L81" t="s">
        <v>1016</v>
      </c>
      <c r="M81" t="s">
        <v>1017</v>
      </c>
      <c r="N81" t="s">
        <v>1018</v>
      </c>
      <c r="O81" t="s">
        <v>1019</v>
      </c>
    </row>
    <row r="82" spans="1:15" x14ac:dyDescent="0.35">
      <c r="A82" t="s">
        <v>1020</v>
      </c>
      <c r="B82" t="s">
        <v>365</v>
      </c>
      <c r="C82" t="s">
        <v>366</v>
      </c>
      <c r="D82">
        <v>820</v>
      </c>
      <c r="E82" t="s">
        <v>79</v>
      </c>
      <c r="G82" t="s">
        <v>367</v>
      </c>
      <c r="H82">
        <v>1</v>
      </c>
      <c r="I82" t="s">
        <v>362</v>
      </c>
    </row>
    <row r="83" spans="1:15" x14ac:dyDescent="0.35">
      <c r="A83" t="s">
        <v>1021</v>
      </c>
      <c r="B83" t="s">
        <v>1022</v>
      </c>
      <c r="C83" t="s">
        <v>1023</v>
      </c>
      <c r="D83">
        <v>830</v>
      </c>
      <c r="E83" t="s">
        <v>79</v>
      </c>
      <c r="G83" t="s">
        <v>367</v>
      </c>
      <c r="H83">
        <v>5</v>
      </c>
      <c r="I83" t="s">
        <v>1024</v>
      </c>
      <c r="J83" t="s">
        <v>1025</v>
      </c>
      <c r="K83" t="s">
        <v>1026</v>
      </c>
      <c r="L83" t="s">
        <v>1027</v>
      </c>
      <c r="M83" t="s">
        <v>1028</v>
      </c>
    </row>
    <row r="84" spans="1:15" x14ac:dyDescent="0.35">
      <c r="A84" t="s">
        <v>111</v>
      </c>
      <c r="B84" t="s">
        <v>1029</v>
      </c>
      <c r="C84" t="s">
        <v>1030</v>
      </c>
      <c r="D84">
        <v>840</v>
      </c>
      <c r="E84" t="s">
        <v>364</v>
      </c>
      <c r="G84" t="s">
        <v>367</v>
      </c>
      <c r="H84">
        <v>1</v>
      </c>
      <c r="I84" t="s">
        <v>362</v>
      </c>
    </row>
    <row r="85" spans="1:15" x14ac:dyDescent="0.35">
      <c r="A85" t="s">
        <v>1031</v>
      </c>
      <c r="B85" t="s">
        <v>1032</v>
      </c>
      <c r="C85" t="s">
        <v>1033</v>
      </c>
      <c r="D85">
        <v>850</v>
      </c>
      <c r="E85" t="s">
        <v>818</v>
      </c>
      <c r="G85" t="s">
        <v>367</v>
      </c>
      <c r="H85">
        <v>1</v>
      </c>
      <c r="I85" t="s">
        <v>362</v>
      </c>
    </row>
    <row r="86" spans="1:15" x14ac:dyDescent="0.35">
      <c r="A86" t="s">
        <v>309</v>
      </c>
      <c r="B86" t="s">
        <v>1034</v>
      </c>
      <c r="C86" t="s">
        <v>1035</v>
      </c>
      <c r="D86">
        <v>860</v>
      </c>
      <c r="E86" t="s">
        <v>364</v>
      </c>
      <c r="G86" t="s">
        <v>367</v>
      </c>
      <c r="H86">
        <v>1</v>
      </c>
      <c r="I86" t="s">
        <v>362</v>
      </c>
    </row>
    <row r="87" spans="1:15" x14ac:dyDescent="0.35">
      <c r="A87" t="s">
        <v>1036</v>
      </c>
      <c r="B87" t="s">
        <v>1037</v>
      </c>
      <c r="C87" t="s">
        <v>1038</v>
      </c>
      <c r="D87">
        <v>870</v>
      </c>
      <c r="E87" t="s">
        <v>364</v>
      </c>
      <c r="G87" t="s">
        <v>367</v>
      </c>
      <c r="H87">
        <v>1</v>
      </c>
      <c r="I87" t="s">
        <v>362</v>
      </c>
    </row>
    <row r="88" spans="1:15" x14ac:dyDescent="0.35">
      <c r="A88" t="s">
        <v>1039</v>
      </c>
      <c r="B88" t="s">
        <v>1040</v>
      </c>
      <c r="C88" t="s">
        <v>1041</v>
      </c>
      <c r="D88">
        <v>880</v>
      </c>
      <c r="E88" t="s">
        <v>364</v>
      </c>
      <c r="G88" t="s">
        <v>367</v>
      </c>
      <c r="H88">
        <v>1</v>
      </c>
      <c r="I88" t="s">
        <v>362</v>
      </c>
    </row>
    <row r="89" spans="1:15" x14ac:dyDescent="0.35">
      <c r="A89" t="s">
        <v>1042</v>
      </c>
      <c r="B89" t="s">
        <v>1043</v>
      </c>
      <c r="C89" t="s">
        <v>1044</v>
      </c>
      <c r="D89">
        <v>890</v>
      </c>
      <c r="E89" t="s">
        <v>364</v>
      </c>
      <c r="G89" t="s">
        <v>367</v>
      </c>
      <c r="H89">
        <v>1</v>
      </c>
      <c r="I89" t="s">
        <v>362</v>
      </c>
    </row>
    <row r="90" spans="1:15" x14ac:dyDescent="0.35">
      <c r="A90" t="s">
        <v>908</v>
      </c>
      <c r="B90" t="s">
        <v>1045</v>
      </c>
      <c r="C90" t="s">
        <v>1046</v>
      </c>
      <c r="D90">
        <v>900</v>
      </c>
      <c r="E90" t="s">
        <v>364</v>
      </c>
      <c r="G90" t="s">
        <v>367</v>
      </c>
      <c r="H90">
        <v>1</v>
      </c>
      <c r="I90" t="s">
        <v>362</v>
      </c>
    </row>
    <row r="91" spans="1:15" x14ac:dyDescent="0.35">
      <c r="A91" t="s">
        <v>1047</v>
      </c>
      <c r="B91" t="s">
        <v>1048</v>
      </c>
      <c r="C91" t="s">
        <v>1049</v>
      </c>
      <c r="D91">
        <v>910</v>
      </c>
      <c r="E91" t="s">
        <v>364</v>
      </c>
      <c r="G91" t="s">
        <v>367</v>
      </c>
      <c r="H91">
        <v>1</v>
      </c>
      <c r="I91" t="s">
        <v>362</v>
      </c>
    </row>
    <row r="92" spans="1:15" x14ac:dyDescent="0.35">
      <c r="A92" t="s">
        <v>1050</v>
      </c>
      <c r="B92" t="s">
        <v>1051</v>
      </c>
      <c r="C92" t="s">
        <v>1052</v>
      </c>
      <c r="D92">
        <v>920</v>
      </c>
      <c r="E92" t="s">
        <v>364</v>
      </c>
      <c r="G92" t="s">
        <v>367</v>
      </c>
      <c r="H92">
        <v>1</v>
      </c>
      <c r="I92" t="s">
        <v>362</v>
      </c>
    </row>
    <row r="93" spans="1:15" x14ac:dyDescent="0.35">
      <c r="A93" t="s">
        <v>1053</v>
      </c>
      <c r="B93" t="s">
        <v>1054</v>
      </c>
      <c r="C93" t="s">
        <v>1055</v>
      </c>
      <c r="D93">
        <v>930</v>
      </c>
      <c r="E93" t="s">
        <v>364</v>
      </c>
      <c r="G93" t="s">
        <v>367</v>
      </c>
      <c r="H93">
        <v>1</v>
      </c>
      <c r="I93" t="s">
        <v>362</v>
      </c>
    </row>
    <row r="94" spans="1:15" x14ac:dyDescent="0.35">
      <c r="A94" t="s">
        <v>1056</v>
      </c>
      <c r="B94" t="s">
        <v>1057</v>
      </c>
      <c r="C94" t="s">
        <v>1058</v>
      </c>
      <c r="D94">
        <v>940</v>
      </c>
      <c r="E94" t="s">
        <v>364</v>
      </c>
      <c r="G94" t="s">
        <v>367</v>
      </c>
      <c r="H94">
        <v>1</v>
      </c>
      <c r="I94" t="s">
        <v>362</v>
      </c>
    </row>
    <row r="95" spans="1:15" x14ac:dyDescent="0.35">
      <c r="A95" t="s">
        <v>1059</v>
      </c>
      <c r="B95" t="s">
        <v>1060</v>
      </c>
      <c r="C95" t="s">
        <v>751</v>
      </c>
      <c r="D95">
        <v>950</v>
      </c>
      <c r="E95" t="s">
        <v>364</v>
      </c>
      <c r="G95" t="s">
        <v>367</v>
      </c>
      <c r="H95">
        <v>1</v>
      </c>
      <c r="I95" t="s">
        <v>362</v>
      </c>
    </row>
    <row r="96" spans="1:15" x14ac:dyDescent="0.35">
      <c r="A96" t="s">
        <v>178</v>
      </c>
      <c r="B96" t="s">
        <v>1061</v>
      </c>
      <c r="C96" t="s">
        <v>1062</v>
      </c>
      <c r="D96">
        <v>960</v>
      </c>
      <c r="E96" t="s">
        <v>364</v>
      </c>
      <c r="G96" t="s">
        <v>367</v>
      </c>
      <c r="H96">
        <v>1</v>
      </c>
      <c r="I96" t="s">
        <v>362</v>
      </c>
    </row>
    <row r="97" spans="1:56" x14ac:dyDescent="0.35">
      <c r="A97" t="s">
        <v>1063</v>
      </c>
      <c r="B97" t="s">
        <v>1064</v>
      </c>
      <c r="C97" t="s">
        <v>1065</v>
      </c>
      <c r="D97">
        <v>970</v>
      </c>
      <c r="E97" t="s">
        <v>79</v>
      </c>
      <c r="G97" t="s">
        <v>367</v>
      </c>
      <c r="H97">
        <v>1</v>
      </c>
      <c r="I97" t="s">
        <v>362</v>
      </c>
    </row>
    <row r="98" spans="1:56" x14ac:dyDescent="0.35">
      <c r="A98" t="s">
        <v>1066</v>
      </c>
      <c r="B98" t="s">
        <v>1067</v>
      </c>
      <c r="C98" t="s">
        <v>1068</v>
      </c>
      <c r="D98">
        <v>980</v>
      </c>
      <c r="E98" t="s">
        <v>364</v>
      </c>
      <c r="G98" t="s">
        <v>367</v>
      </c>
      <c r="H98">
        <v>1</v>
      </c>
      <c r="I98" t="s">
        <v>362</v>
      </c>
    </row>
    <row r="99" spans="1:56" x14ac:dyDescent="0.35">
      <c r="A99" t="s">
        <v>1069</v>
      </c>
      <c r="B99" t="s">
        <v>1070</v>
      </c>
      <c r="C99" t="s">
        <v>1071</v>
      </c>
      <c r="D99">
        <v>990</v>
      </c>
      <c r="E99" t="s">
        <v>364</v>
      </c>
      <c r="G99" t="s">
        <v>367</v>
      </c>
      <c r="H99">
        <v>1</v>
      </c>
      <c r="I99" t="s">
        <v>362</v>
      </c>
    </row>
    <row r="100" spans="1:56" x14ac:dyDescent="0.35">
      <c r="A100" t="s">
        <v>124</v>
      </c>
      <c r="B100" t="s">
        <v>1072</v>
      </c>
      <c r="C100" t="s">
        <v>1073</v>
      </c>
      <c r="D100">
        <v>1000</v>
      </c>
      <c r="E100" t="s">
        <v>818</v>
      </c>
      <c r="G100" t="s">
        <v>367</v>
      </c>
      <c r="H100">
        <v>1</v>
      </c>
      <c r="I100" t="s">
        <v>362</v>
      </c>
    </row>
    <row r="101" spans="1:56" x14ac:dyDescent="0.35">
      <c r="A101" t="s">
        <v>1074</v>
      </c>
      <c r="B101" t="s">
        <v>1075</v>
      </c>
      <c r="C101" s="53" t="s">
        <v>1076</v>
      </c>
      <c r="D101">
        <v>1010</v>
      </c>
      <c r="E101" t="s">
        <v>79</v>
      </c>
      <c r="G101" t="s">
        <v>367</v>
      </c>
      <c r="H101">
        <v>48</v>
      </c>
      <c r="I101" t="s">
        <v>1077</v>
      </c>
      <c r="J101" t="s">
        <v>1078</v>
      </c>
      <c r="K101" t="s">
        <v>1079</v>
      </c>
      <c r="L101" t="s">
        <v>1080</v>
      </c>
      <c r="M101" t="s">
        <v>1081</v>
      </c>
      <c r="N101" t="s">
        <v>1082</v>
      </c>
      <c r="O101" t="s">
        <v>1083</v>
      </c>
      <c r="P101" t="s">
        <v>1084</v>
      </c>
      <c r="Q101" t="s">
        <v>1085</v>
      </c>
      <c r="R101" t="s">
        <v>1086</v>
      </c>
      <c r="S101" t="s">
        <v>1087</v>
      </c>
      <c r="T101" t="s">
        <v>1088</v>
      </c>
      <c r="U101" t="s">
        <v>1089</v>
      </c>
      <c r="V101" t="s">
        <v>1090</v>
      </c>
      <c r="W101" t="s">
        <v>1091</v>
      </c>
      <c r="X101" t="s">
        <v>1092</v>
      </c>
      <c r="Y101" t="s">
        <v>1093</v>
      </c>
      <c r="Z101" t="s">
        <v>1094</v>
      </c>
      <c r="AA101" t="s">
        <v>1095</v>
      </c>
      <c r="AB101" t="s">
        <v>1096</v>
      </c>
      <c r="AC101" t="s">
        <v>1097</v>
      </c>
      <c r="AD101" t="s">
        <v>1098</v>
      </c>
      <c r="AE101" t="s">
        <v>1099</v>
      </c>
      <c r="AF101" t="s">
        <v>1100</v>
      </c>
      <c r="AG101" t="s">
        <v>1101</v>
      </c>
      <c r="AH101" t="s">
        <v>1102</v>
      </c>
      <c r="AI101" t="s">
        <v>1103</v>
      </c>
      <c r="AJ101" t="s">
        <v>1104</v>
      </c>
      <c r="AK101" t="s">
        <v>1105</v>
      </c>
      <c r="AL101" t="s">
        <v>1106</v>
      </c>
      <c r="AM101" t="s">
        <v>1107</v>
      </c>
      <c r="AN101" t="s">
        <v>1108</v>
      </c>
      <c r="AO101" t="s">
        <v>1109</v>
      </c>
      <c r="AP101" t="s">
        <v>1110</v>
      </c>
      <c r="AQ101" t="s">
        <v>1111</v>
      </c>
      <c r="AR101" t="s">
        <v>879</v>
      </c>
      <c r="AS101" t="s">
        <v>1112</v>
      </c>
      <c r="AT101" t="s">
        <v>1113</v>
      </c>
      <c r="AU101" t="s">
        <v>1114</v>
      </c>
      <c r="AV101" t="s">
        <v>1115</v>
      </c>
      <c r="AW101" t="s">
        <v>1116</v>
      </c>
      <c r="AX101" t="s">
        <v>1117</v>
      </c>
      <c r="AY101" t="s">
        <v>1118</v>
      </c>
      <c r="AZ101" t="s">
        <v>1119</v>
      </c>
      <c r="BA101" t="s">
        <v>1120</v>
      </c>
      <c r="BB101" t="s">
        <v>1121</v>
      </c>
      <c r="BC101" t="s">
        <v>1122</v>
      </c>
      <c r="BD101" t="s">
        <v>1123</v>
      </c>
    </row>
    <row r="102" spans="1:56" x14ac:dyDescent="0.35">
      <c r="A102" t="s">
        <v>1124</v>
      </c>
      <c r="B102" t="s">
        <v>1125</v>
      </c>
      <c r="C102" t="s">
        <v>1126</v>
      </c>
      <c r="D102">
        <v>1020</v>
      </c>
      <c r="E102" t="s">
        <v>79</v>
      </c>
      <c r="G102" t="s">
        <v>367</v>
      </c>
      <c r="H102">
        <v>1</v>
      </c>
      <c r="I102" t="s">
        <v>362</v>
      </c>
    </row>
    <row r="103" spans="1:56" x14ac:dyDescent="0.35">
      <c r="A103" t="s">
        <v>1127</v>
      </c>
      <c r="B103" t="s">
        <v>1128</v>
      </c>
      <c r="C103" t="s">
        <v>1129</v>
      </c>
      <c r="D103">
        <v>1030</v>
      </c>
      <c r="E103" t="s">
        <v>364</v>
      </c>
      <c r="G103" t="s">
        <v>367</v>
      </c>
      <c r="H103">
        <v>1</v>
      </c>
      <c r="I103" t="s">
        <v>362</v>
      </c>
    </row>
    <row r="104" spans="1:56" x14ac:dyDescent="0.35">
      <c r="A104" t="s">
        <v>1127</v>
      </c>
      <c r="B104" t="s">
        <v>1130</v>
      </c>
      <c r="C104" t="s">
        <v>1131</v>
      </c>
      <c r="D104">
        <v>1040</v>
      </c>
      <c r="E104" t="s">
        <v>364</v>
      </c>
      <c r="G104" t="s">
        <v>367</v>
      </c>
      <c r="H104">
        <v>1</v>
      </c>
      <c r="I104" t="s">
        <v>362</v>
      </c>
    </row>
    <row r="105" spans="1:56" x14ac:dyDescent="0.35">
      <c r="A105" t="s">
        <v>1132</v>
      </c>
      <c r="B105" t="s">
        <v>1133</v>
      </c>
      <c r="C105" t="s">
        <v>1134</v>
      </c>
      <c r="D105">
        <v>1050</v>
      </c>
      <c r="E105" t="s">
        <v>79</v>
      </c>
      <c r="G105" t="s">
        <v>367</v>
      </c>
      <c r="H105">
        <v>1</v>
      </c>
      <c r="I105" t="s">
        <v>362</v>
      </c>
    </row>
    <row r="106" spans="1:56" x14ac:dyDescent="0.35">
      <c r="A106" t="s">
        <v>111</v>
      </c>
      <c r="B106" t="s">
        <v>1135</v>
      </c>
      <c r="C106" t="s">
        <v>1136</v>
      </c>
      <c r="D106">
        <v>1060</v>
      </c>
      <c r="E106" t="s">
        <v>364</v>
      </c>
      <c r="G106" t="s">
        <v>367</v>
      </c>
      <c r="H106">
        <v>1</v>
      </c>
      <c r="I106" t="s">
        <v>362</v>
      </c>
    </row>
    <row r="107" spans="1:56" x14ac:dyDescent="0.35">
      <c r="A107" t="s">
        <v>1021</v>
      </c>
      <c r="B107" t="s">
        <v>1137</v>
      </c>
      <c r="C107" s="53" t="s">
        <v>1138</v>
      </c>
      <c r="D107">
        <v>1070</v>
      </c>
      <c r="E107" t="s">
        <v>79</v>
      </c>
      <c r="G107" t="s">
        <v>367</v>
      </c>
      <c r="H107">
        <v>7</v>
      </c>
      <c r="I107" t="s">
        <v>1139</v>
      </c>
      <c r="J107" t="s">
        <v>1140</v>
      </c>
      <c r="K107" t="s">
        <v>1141</v>
      </c>
      <c r="L107" t="s">
        <v>1142</v>
      </c>
      <c r="M107" t="s">
        <v>1143</v>
      </c>
      <c r="N107" t="s">
        <v>1144</v>
      </c>
      <c r="O107" t="s">
        <v>775</v>
      </c>
    </row>
    <row r="108" spans="1:56" x14ac:dyDescent="0.35">
      <c r="A108" t="s">
        <v>1145</v>
      </c>
      <c r="B108" t="s">
        <v>1146</v>
      </c>
      <c r="C108" t="s">
        <v>1147</v>
      </c>
      <c r="D108">
        <v>1080</v>
      </c>
      <c r="E108" t="s">
        <v>79</v>
      </c>
      <c r="G108" t="s">
        <v>367</v>
      </c>
      <c r="H108">
        <v>1</v>
      </c>
      <c r="I108" t="s">
        <v>362</v>
      </c>
    </row>
    <row r="109" spans="1:56" x14ac:dyDescent="0.35">
      <c r="A109" t="s">
        <v>306</v>
      </c>
      <c r="B109" t="s">
        <v>1148</v>
      </c>
      <c r="C109" t="s">
        <v>1149</v>
      </c>
      <c r="D109">
        <v>1090</v>
      </c>
      <c r="E109" t="s">
        <v>79</v>
      </c>
      <c r="G109" t="s">
        <v>367</v>
      </c>
      <c r="H109">
        <v>2</v>
      </c>
      <c r="I109" s="38" t="s">
        <v>835</v>
      </c>
      <c r="J109" s="38" t="s">
        <v>836</v>
      </c>
    </row>
    <row r="110" spans="1:56" x14ac:dyDescent="0.35">
      <c r="A110" t="s">
        <v>1150</v>
      </c>
      <c r="B110" t="s">
        <v>1151</v>
      </c>
      <c r="C110" t="s">
        <v>1152</v>
      </c>
      <c r="D110">
        <v>1100</v>
      </c>
      <c r="E110" t="s">
        <v>79</v>
      </c>
      <c r="G110" t="s">
        <v>367</v>
      </c>
      <c r="H110">
        <v>1</v>
      </c>
      <c r="I110" t="s">
        <v>362</v>
      </c>
    </row>
    <row r="111" spans="1:56" x14ac:dyDescent="0.35">
      <c r="A111" t="s">
        <v>1153</v>
      </c>
      <c r="B111" t="s">
        <v>1154</v>
      </c>
      <c r="C111" t="s">
        <v>1155</v>
      </c>
      <c r="D111">
        <v>1110</v>
      </c>
      <c r="E111" t="s">
        <v>79</v>
      </c>
      <c r="G111" t="s">
        <v>367</v>
      </c>
      <c r="H111">
        <v>1</v>
      </c>
      <c r="I111" t="s">
        <v>362</v>
      </c>
    </row>
    <row r="112" spans="1:56" x14ac:dyDescent="0.35">
      <c r="A112" t="s">
        <v>1156</v>
      </c>
      <c r="B112" t="s">
        <v>1157</v>
      </c>
      <c r="C112" t="s">
        <v>1158</v>
      </c>
      <c r="D112">
        <v>1120</v>
      </c>
      <c r="E112" t="s">
        <v>79</v>
      </c>
      <c r="G112" t="s">
        <v>367</v>
      </c>
      <c r="H112">
        <v>1</v>
      </c>
      <c r="I112" t="s">
        <v>362</v>
      </c>
    </row>
    <row r="113" spans="1:14" x14ac:dyDescent="0.35">
      <c r="A113" t="s">
        <v>1159</v>
      </c>
      <c r="B113" t="s">
        <v>1160</v>
      </c>
      <c r="C113" t="s">
        <v>1161</v>
      </c>
      <c r="D113">
        <v>1130</v>
      </c>
      <c r="E113" t="s">
        <v>364</v>
      </c>
      <c r="G113" t="s">
        <v>367</v>
      </c>
      <c r="H113">
        <v>1</v>
      </c>
      <c r="I113" t="s">
        <v>362</v>
      </c>
    </row>
    <row r="114" spans="1:14" x14ac:dyDescent="0.35">
      <c r="A114" t="s">
        <v>1162</v>
      </c>
      <c r="B114" t="s">
        <v>1163</v>
      </c>
      <c r="C114" t="s">
        <v>1164</v>
      </c>
      <c r="D114">
        <v>1140</v>
      </c>
      <c r="E114" t="s">
        <v>364</v>
      </c>
      <c r="G114" t="s">
        <v>367</v>
      </c>
      <c r="H114">
        <v>1</v>
      </c>
      <c r="I114" t="s">
        <v>362</v>
      </c>
    </row>
    <row r="115" spans="1:14" x14ac:dyDescent="0.35">
      <c r="A115" t="s">
        <v>178</v>
      </c>
      <c r="B115" t="s">
        <v>1165</v>
      </c>
      <c r="C115" t="s">
        <v>1166</v>
      </c>
      <c r="D115">
        <v>1150</v>
      </c>
      <c r="E115" t="s">
        <v>818</v>
      </c>
      <c r="G115" t="s">
        <v>367</v>
      </c>
      <c r="H115">
        <v>1</v>
      </c>
      <c r="I115" t="s">
        <v>362</v>
      </c>
    </row>
    <row r="116" spans="1:14" x14ac:dyDescent="0.35">
      <c r="A116" t="s">
        <v>1167</v>
      </c>
      <c r="B116" t="s">
        <v>1168</v>
      </c>
      <c r="C116" t="s">
        <v>1169</v>
      </c>
      <c r="D116">
        <v>1160</v>
      </c>
      <c r="E116" t="s">
        <v>79</v>
      </c>
      <c r="G116" t="s">
        <v>367</v>
      </c>
      <c r="H116">
        <v>6</v>
      </c>
      <c r="I116" t="s">
        <v>1170</v>
      </c>
      <c r="J116" t="s">
        <v>1171</v>
      </c>
      <c r="K116" t="s">
        <v>1172</v>
      </c>
      <c r="L116" t="s">
        <v>1173</v>
      </c>
      <c r="M116" t="s">
        <v>1174</v>
      </c>
      <c r="N116" t="s">
        <v>1175</v>
      </c>
    </row>
    <row r="117" spans="1:14" x14ac:dyDescent="0.35">
      <c r="A117" t="s">
        <v>1176</v>
      </c>
      <c r="B117" t="s">
        <v>1177</v>
      </c>
      <c r="C117" t="s">
        <v>1178</v>
      </c>
      <c r="D117">
        <v>1170</v>
      </c>
      <c r="E117" t="s">
        <v>79</v>
      </c>
      <c r="G117" t="s">
        <v>367</v>
      </c>
      <c r="H117">
        <v>1</v>
      </c>
      <c r="I117" t="s">
        <v>362</v>
      </c>
    </row>
    <row r="118" spans="1:14" x14ac:dyDescent="0.35">
      <c r="A118" t="s">
        <v>101</v>
      </c>
      <c r="B118" t="s">
        <v>1179</v>
      </c>
      <c r="C118" t="s">
        <v>1180</v>
      </c>
      <c r="D118">
        <v>1180</v>
      </c>
      <c r="E118" t="s">
        <v>818</v>
      </c>
      <c r="G118" t="s">
        <v>367</v>
      </c>
      <c r="H118">
        <v>1</v>
      </c>
      <c r="I118" t="s">
        <v>362</v>
      </c>
    </row>
    <row r="119" spans="1:14" x14ac:dyDescent="0.35">
      <c r="A119" t="s">
        <v>1181</v>
      </c>
      <c r="B119" t="s">
        <v>1182</v>
      </c>
      <c r="C119" t="s">
        <v>1183</v>
      </c>
      <c r="D119">
        <v>1190</v>
      </c>
      <c r="E119" t="s">
        <v>79</v>
      </c>
      <c r="G119" t="s">
        <v>367</v>
      </c>
      <c r="H119">
        <v>1</v>
      </c>
      <c r="I119" t="s">
        <v>362</v>
      </c>
    </row>
    <row r="120" spans="1:14" x14ac:dyDescent="0.35">
      <c r="A120" t="s">
        <v>1184</v>
      </c>
      <c r="B120" t="s">
        <v>1185</v>
      </c>
      <c r="C120" s="53" t="s">
        <v>1186</v>
      </c>
      <c r="D120">
        <v>1200</v>
      </c>
      <c r="E120" t="s">
        <v>79</v>
      </c>
      <c r="G120" t="s">
        <v>367</v>
      </c>
      <c r="H120">
        <v>2</v>
      </c>
      <c r="I120" t="s">
        <v>1187</v>
      </c>
      <c r="J120" t="s">
        <v>1026</v>
      </c>
    </row>
    <row r="121" spans="1:14" x14ac:dyDescent="0.35">
      <c r="A121" t="s">
        <v>1188</v>
      </c>
      <c r="B121" t="s">
        <v>1189</v>
      </c>
      <c r="C121" t="s">
        <v>1190</v>
      </c>
      <c r="D121">
        <v>1210</v>
      </c>
      <c r="E121" t="s">
        <v>79</v>
      </c>
      <c r="G121" t="s">
        <v>367</v>
      </c>
      <c r="H121">
        <v>1</v>
      </c>
      <c r="I121" t="s">
        <v>362</v>
      </c>
    </row>
    <row r="122" spans="1:14" x14ac:dyDescent="0.35">
      <c r="A122" t="s">
        <v>1191</v>
      </c>
      <c r="B122" t="s">
        <v>1192</v>
      </c>
      <c r="C122" t="s">
        <v>1193</v>
      </c>
      <c r="D122">
        <v>1220</v>
      </c>
      <c r="E122" t="s">
        <v>364</v>
      </c>
      <c r="G122" t="s">
        <v>367</v>
      </c>
      <c r="H122">
        <v>1</v>
      </c>
      <c r="I122" t="s">
        <v>362</v>
      </c>
    </row>
    <row r="123" spans="1:14" x14ac:dyDescent="0.35">
      <c r="A123" t="s">
        <v>1194</v>
      </c>
      <c r="B123" t="s">
        <v>1195</v>
      </c>
      <c r="C123" t="s">
        <v>1196</v>
      </c>
      <c r="D123">
        <v>1230</v>
      </c>
      <c r="E123" t="s">
        <v>364</v>
      </c>
      <c r="G123" t="s">
        <v>367</v>
      </c>
      <c r="H123">
        <v>1</v>
      </c>
      <c r="I123" t="s">
        <v>362</v>
      </c>
    </row>
    <row r="124" spans="1:14" x14ac:dyDescent="0.35">
      <c r="A124" t="s">
        <v>116</v>
      </c>
      <c r="B124" t="s">
        <v>1197</v>
      </c>
      <c r="C124" t="s">
        <v>1198</v>
      </c>
      <c r="D124">
        <v>1240</v>
      </c>
      <c r="E124" t="s">
        <v>818</v>
      </c>
      <c r="G124" t="s">
        <v>367</v>
      </c>
      <c r="H124">
        <v>1</v>
      </c>
      <c r="I124" t="s">
        <v>362</v>
      </c>
    </row>
    <row r="125" spans="1:14" x14ac:dyDescent="0.35">
      <c r="A125" t="s">
        <v>1199</v>
      </c>
      <c r="B125" t="s">
        <v>1200</v>
      </c>
      <c r="C125" t="s">
        <v>1201</v>
      </c>
      <c r="D125">
        <v>1250</v>
      </c>
      <c r="E125" t="s">
        <v>79</v>
      </c>
      <c r="G125" t="s">
        <v>367</v>
      </c>
      <c r="H125">
        <v>1</v>
      </c>
      <c r="I125" t="s">
        <v>362</v>
      </c>
    </row>
    <row r="126" spans="1:14" x14ac:dyDescent="0.35">
      <c r="A126" t="s">
        <v>1202</v>
      </c>
      <c r="B126" t="s">
        <v>1203</v>
      </c>
      <c r="C126" t="s">
        <v>1204</v>
      </c>
      <c r="D126">
        <v>1260</v>
      </c>
      <c r="E126" t="s">
        <v>79</v>
      </c>
      <c r="G126" t="s">
        <v>367</v>
      </c>
      <c r="H126">
        <v>1</v>
      </c>
      <c r="I126" t="s">
        <v>362</v>
      </c>
    </row>
    <row r="127" spans="1:14" x14ac:dyDescent="0.35">
      <c r="A127" t="s">
        <v>1205</v>
      </c>
      <c r="B127" t="s">
        <v>1206</v>
      </c>
      <c r="C127" t="s">
        <v>1207</v>
      </c>
      <c r="D127">
        <v>1270</v>
      </c>
      <c r="E127" t="s">
        <v>818</v>
      </c>
      <c r="G127" t="s">
        <v>367</v>
      </c>
      <c r="H127">
        <v>1</v>
      </c>
      <c r="I127" t="s">
        <v>362</v>
      </c>
    </row>
    <row r="128" spans="1:14" x14ac:dyDescent="0.35">
      <c r="A128" t="s">
        <v>101</v>
      </c>
      <c r="B128" t="s">
        <v>1208</v>
      </c>
      <c r="C128" t="s">
        <v>1209</v>
      </c>
      <c r="D128">
        <v>1280</v>
      </c>
      <c r="E128" t="s">
        <v>818</v>
      </c>
      <c r="G128" t="s">
        <v>367</v>
      </c>
      <c r="H128">
        <v>1</v>
      </c>
      <c r="I128" t="s">
        <v>362</v>
      </c>
    </row>
    <row r="129" spans="1:17" x14ac:dyDescent="0.35">
      <c r="A129" t="s">
        <v>1210</v>
      </c>
      <c r="B129" t="s">
        <v>1211</v>
      </c>
      <c r="C129" t="s">
        <v>1212</v>
      </c>
      <c r="D129">
        <v>1290</v>
      </c>
      <c r="E129" t="s">
        <v>364</v>
      </c>
      <c r="G129" t="s">
        <v>367</v>
      </c>
      <c r="H129">
        <v>1</v>
      </c>
      <c r="I129" t="s">
        <v>362</v>
      </c>
    </row>
    <row r="130" spans="1:17" x14ac:dyDescent="0.35">
      <c r="A130" t="s">
        <v>1213</v>
      </c>
      <c r="B130" t="s">
        <v>1214</v>
      </c>
      <c r="C130" t="s">
        <v>1215</v>
      </c>
      <c r="D130">
        <v>1300</v>
      </c>
      <c r="E130" t="s">
        <v>364</v>
      </c>
      <c r="G130" t="s">
        <v>367</v>
      </c>
      <c r="H130">
        <v>1</v>
      </c>
      <c r="I130" t="s">
        <v>362</v>
      </c>
    </row>
    <row r="131" spans="1:17" x14ac:dyDescent="0.35">
      <c r="A131" t="s">
        <v>278</v>
      </c>
      <c r="B131" t="s">
        <v>1216</v>
      </c>
      <c r="C131" t="s">
        <v>1217</v>
      </c>
      <c r="D131">
        <v>1310</v>
      </c>
      <c r="E131" t="s">
        <v>818</v>
      </c>
      <c r="G131" t="s">
        <v>367</v>
      </c>
      <c r="H131">
        <v>1</v>
      </c>
      <c r="I131" t="s">
        <v>362</v>
      </c>
    </row>
    <row r="132" spans="1:17" x14ac:dyDescent="0.35">
      <c r="A132" t="s">
        <v>1218</v>
      </c>
      <c r="B132" t="s">
        <v>1219</v>
      </c>
      <c r="C132" t="s">
        <v>1220</v>
      </c>
      <c r="D132">
        <v>1320</v>
      </c>
      <c r="E132" t="s">
        <v>364</v>
      </c>
      <c r="G132" t="s">
        <v>367</v>
      </c>
      <c r="H132">
        <v>1</v>
      </c>
      <c r="I132" t="s">
        <v>362</v>
      </c>
    </row>
    <row r="133" spans="1:17" x14ac:dyDescent="0.35">
      <c r="A133" t="s">
        <v>1221</v>
      </c>
      <c r="B133" t="s">
        <v>1222</v>
      </c>
      <c r="C133" t="s">
        <v>1223</v>
      </c>
      <c r="D133">
        <v>1330</v>
      </c>
      <c r="E133" t="s">
        <v>364</v>
      </c>
      <c r="G133" t="s">
        <v>367</v>
      </c>
      <c r="H133">
        <v>1</v>
      </c>
      <c r="I133" t="s">
        <v>362</v>
      </c>
    </row>
    <row r="134" spans="1:17" x14ac:dyDescent="0.35">
      <c r="A134" t="s">
        <v>278</v>
      </c>
      <c r="B134" t="s">
        <v>1224</v>
      </c>
      <c r="C134" t="s">
        <v>1225</v>
      </c>
      <c r="D134">
        <v>1340</v>
      </c>
      <c r="E134" t="s">
        <v>79</v>
      </c>
      <c r="G134" t="s">
        <v>1226</v>
      </c>
      <c r="H134">
        <v>2</v>
      </c>
      <c r="I134" t="s">
        <v>1227</v>
      </c>
      <c r="J134" t="s">
        <v>1228</v>
      </c>
    </row>
    <row r="135" spans="1:17" x14ac:dyDescent="0.35">
      <c r="A135" t="s">
        <v>1229</v>
      </c>
      <c r="B135" t="s">
        <v>1230</v>
      </c>
      <c r="C135" t="s">
        <v>1231</v>
      </c>
      <c r="D135">
        <v>1350</v>
      </c>
      <c r="E135" t="s">
        <v>364</v>
      </c>
      <c r="G135" t="s">
        <v>1226</v>
      </c>
      <c r="H135">
        <v>1</v>
      </c>
      <c r="I135" t="s">
        <v>362</v>
      </c>
    </row>
    <row r="136" spans="1:17" x14ac:dyDescent="0.35">
      <c r="A136" t="s">
        <v>1232</v>
      </c>
      <c r="B136" t="s">
        <v>1233</v>
      </c>
      <c r="C136" t="s">
        <v>1234</v>
      </c>
      <c r="D136">
        <v>1360</v>
      </c>
      <c r="E136" t="s">
        <v>364</v>
      </c>
      <c r="G136" t="s">
        <v>1226</v>
      </c>
      <c r="H136">
        <v>1</v>
      </c>
      <c r="I136" t="s">
        <v>362</v>
      </c>
    </row>
    <row r="137" spans="1:17" x14ac:dyDescent="0.35">
      <c r="A137" t="s">
        <v>1235</v>
      </c>
      <c r="B137" t="s">
        <v>1236</v>
      </c>
      <c r="C137" t="s">
        <v>1237</v>
      </c>
      <c r="D137">
        <v>1370</v>
      </c>
      <c r="E137" t="s">
        <v>79</v>
      </c>
      <c r="G137" t="s">
        <v>1226</v>
      </c>
      <c r="H137">
        <v>1</v>
      </c>
      <c r="I137" t="s">
        <v>362</v>
      </c>
    </row>
    <row r="138" spans="1:17" x14ac:dyDescent="0.35">
      <c r="A138" t="s">
        <v>246</v>
      </c>
      <c r="B138" t="s">
        <v>1238</v>
      </c>
      <c r="C138" t="s">
        <v>1239</v>
      </c>
      <c r="D138">
        <v>1380</v>
      </c>
      <c r="E138" t="s">
        <v>79</v>
      </c>
      <c r="G138" t="s">
        <v>1226</v>
      </c>
      <c r="H138">
        <v>2</v>
      </c>
      <c r="I138" t="s">
        <v>1240</v>
      </c>
      <c r="J138" t="s">
        <v>1241</v>
      </c>
    </row>
    <row r="139" spans="1:17" x14ac:dyDescent="0.35">
      <c r="A139" t="s">
        <v>278</v>
      </c>
      <c r="B139" t="s">
        <v>1242</v>
      </c>
      <c r="C139" t="s">
        <v>1243</v>
      </c>
      <c r="D139">
        <v>1390</v>
      </c>
      <c r="E139" t="s">
        <v>79</v>
      </c>
      <c r="G139" t="s">
        <v>1226</v>
      </c>
      <c r="H139">
        <v>2</v>
      </c>
      <c r="I139" t="s">
        <v>1244</v>
      </c>
      <c r="J139" t="s">
        <v>1245</v>
      </c>
    </row>
    <row r="140" spans="1:17" x14ac:dyDescent="0.35">
      <c r="A140" t="s">
        <v>278</v>
      </c>
      <c r="B140" t="s">
        <v>1246</v>
      </c>
      <c r="C140" t="s">
        <v>1247</v>
      </c>
      <c r="D140">
        <v>1400</v>
      </c>
      <c r="E140" t="s">
        <v>79</v>
      </c>
      <c r="G140" t="s">
        <v>1226</v>
      </c>
      <c r="H140">
        <v>1</v>
      </c>
      <c r="I140" t="s">
        <v>362</v>
      </c>
    </row>
    <row r="141" spans="1:17" x14ac:dyDescent="0.35">
      <c r="A141" t="s">
        <v>278</v>
      </c>
      <c r="B141" t="s">
        <v>1248</v>
      </c>
      <c r="C141" t="s">
        <v>1249</v>
      </c>
      <c r="D141">
        <v>1410</v>
      </c>
      <c r="E141" t="s">
        <v>364</v>
      </c>
      <c r="G141" t="s">
        <v>1226</v>
      </c>
      <c r="H141">
        <v>1</v>
      </c>
      <c r="I141" t="s">
        <v>362</v>
      </c>
    </row>
    <row r="142" spans="1:17" x14ac:dyDescent="0.35">
      <c r="A142" t="s">
        <v>121</v>
      </c>
      <c r="B142" t="s">
        <v>1250</v>
      </c>
      <c r="C142" t="s">
        <v>1251</v>
      </c>
      <c r="D142">
        <v>1420</v>
      </c>
      <c r="E142" t="s">
        <v>79</v>
      </c>
      <c r="G142" t="s">
        <v>1252</v>
      </c>
      <c r="H142">
        <v>2</v>
      </c>
      <c r="I142" t="s">
        <v>1253</v>
      </c>
      <c r="J142" t="s">
        <v>1254</v>
      </c>
    </row>
    <row r="143" spans="1:17" x14ac:dyDescent="0.35">
      <c r="A143" t="s">
        <v>1255</v>
      </c>
      <c r="B143" t="s">
        <v>1256</v>
      </c>
      <c r="C143" t="s">
        <v>1257</v>
      </c>
      <c r="D143">
        <v>1430</v>
      </c>
      <c r="E143" t="s">
        <v>79</v>
      </c>
      <c r="G143" t="s">
        <v>1258</v>
      </c>
      <c r="H143">
        <v>9</v>
      </c>
      <c r="I143" t="s">
        <v>1259</v>
      </c>
      <c r="J143" t="s">
        <v>1260</v>
      </c>
      <c r="K143" t="s">
        <v>1261</v>
      </c>
      <c r="L143" t="s">
        <v>1262</v>
      </c>
      <c r="M143" t="s">
        <v>1263</v>
      </c>
      <c r="N143" t="s">
        <v>1264</v>
      </c>
      <c r="O143" t="s">
        <v>1265</v>
      </c>
      <c r="P143" t="s">
        <v>1266</v>
      </c>
      <c r="Q143" t="s">
        <v>1267</v>
      </c>
    </row>
    <row r="144" spans="1:17" x14ac:dyDescent="0.35">
      <c r="A144" t="s">
        <v>121</v>
      </c>
      <c r="B144" t="s">
        <v>1268</v>
      </c>
      <c r="C144" t="s">
        <v>1269</v>
      </c>
      <c r="D144">
        <v>1440</v>
      </c>
      <c r="E144" t="s">
        <v>79</v>
      </c>
      <c r="G144" t="s">
        <v>1270</v>
      </c>
      <c r="H144">
        <v>1</v>
      </c>
      <c r="I144" t="s">
        <v>362</v>
      </c>
    </row>
    <row r="145" spans="1:10" x14ac:dyDescent="0.35">
      <c r="A145" t="s">
        <v>341</v>
      </c>
      <c r="B145" t="s">
        <v>1271</v>
      </c>
      <c r="C145" t="s">
        <v>1272</v>
      </c>
      <c r="D145">
        <v>1450</v>
      </c>
      <c r="E145" t="s">
        <v>79</v>
      </c>
      <c r="G145" t="s">
        <v>1270</v>
      </c>
      <c r="H145">
        <v>2</v>
      </c>
      <c r="I145" t="s">
        <v>1273</v>
      </c>
      <c r="J145" t="s">
        <v>1274</v>
      </c>
    </row>
    <row r="146" spans="1:10" x14ac:dyDescent="0.35">
      <c r="A146" t="s">
        <v>134</v>
      </c>
      <c r="B146" t="s">
        <v>1275</v>
      </c>
      <c r="C146" t="s">
        <v>1276</v>
      </c>
      <c r="D146">
        <v>1460</v>
      </c>
      <c r="E146" t="s">
        <v>818</v>
      </c>
      <c r="G146" t="s">
        <v>1270</v>
      </c>
      <c r="H146">
        <v>1</v>
      </c>
      <c r="I146" t="s">
        <v>362</v>
      </c>
    </row>
    <row r="147" spans="1:10" x14ac:dyDescent="0.35">
      <c r="A147" t="s">
        <v>121</v>
      </c>
      <c r="B147" t="s">
        <v>1277</v>
      </c>
      <c r="C147" t="s">
        <v>1278</v>
      </c>
      <c r="D147">
        <v>1470</v>
      </c>
      <c r="E147" t="s">
        <v>79</v>
      </c>
      <c r="G147" t="s">
        <v>1270</v>
      </c>
      <c r="H147">
        <v>1</v>
      </c>
      <c r="I147" t="s">
        <v>362</v>
      </c>
    </row>
    <row r="148" spans="1:10" x14ac:dyDescent="0.35">
      <c r="A148" t="s">
        <v>121</v>
      </c>
      <c r="B148" t="s">
        <v>1279</v>
      </c>
      <c r="C148" t="s">
        <v>1280</v>
      </c>
      <c r="D148">
        <v>1480</v>
      </c>
      <c r="E148" t="s">
        <v>1281</v>
      </c>
      <c r="G148" t="s">
        <v>1270</v>
      </c>
      <c r="H148">
        <v>1</v>
      </c>
      <c r="I148" t="s">
        <v>362</v>
      </c>
    </row>
    <row r="149" spans="1:10" x14ac:dyDescent="0.35">
      <c r="A149" t="s">
        <v>121</v>
      </c>
      <c r="B149" t="s">
        <v>1282</v>
      </c>
      <c r="C149" t="s">
        <v>1282</v>
      </c>
      <c r="D149">
        <v>1490</v>
      </c>
      <c r="E149" t="s">
        <v>79</v>
      </c>
      <c r="G149" t="s">
        <v>1270</v>
      </c>
      <c r="H149">
        <v>1</v>
      </c>
      <c r="I149" t="s">
        <v>362</v>
      </c>
    </row>
    <row r="150" spans="1:10" x14ac:dyDescent="0.35">
      <c r="A150" s="51" t="s">
        <v>73</v>
      </c>
      <c r="B150" t="s">
        <v>1283</v>
      </c>
      <c r="C150" s="52" t="s">
        <v>1283</v>
      </c>
      <c r="D150">
        <v>9000</v>
      </c>
      <c r="E150" s="54" t="s">
        <v>79</v>
      </c>
      <c r="G150" s="54" t="s">
        <v>367</v>
      </c>
      <c r="H150" s="54">
        <v>1</v>
      </c>
    </row>
    <row r="151" spans="1:10" x14ac:dyDescent="0.35">
      <c r="A151" s="51" t="s">
        <v>73</v>
      </c>
      <c r="B151" t="s">
        <v>1284</v>
      </c>
      <c r="C151" s="52" t="s">
        <v>1284</v>
      </c>
      <c r="D151">
        <v>9010</v>
      </c>
      <c r="E151" s="54" t="s">
        <v>79</v>
      </c>
      <c r="G151" s="54" t="s">
        <v>367</v>
      </c>
      <c r="H151" s="54">
        <v>1</v>
      </c>
    </row>
    <row r="152" spans="1:10" x14ac:dyDescent="0.35">
      <c r="A152" s="51" t="s">
        <v>73</v>
      </c>
      <c r="B152" t="s">
        <v>1285</v>
      </c>
      <c r="C152" s="52" t="s">
        <v>1285</v>
      </c>
      <c r="D152">
        <v>9020</v>
      </c>
      <c r="E152" s="54" t="s">
        <v>79</v>
      </c>
      <c r="G152" s="54" t="s">
        <v>367</v>
      </c>
      <c r="H152" s="54">
        <v>1</v>
      </c>
    </row>
  </sheetData>
  <autoFilter ref="A1:IW153" xr:uid="{B5FA4585-3A12-47C9-946D-0731203632B3}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0C7C7-AE54-48D7-9EE8-09A5BB52F829}">
  <sheetPr codeName="Sheet3">
    <tabColor rgb="FFFFFF00"/>
  </sheetPr>
  <dimension ref="A1:C278"/>
  <sheetViews>
    <sheetView topLeftCell="A103" zoomScale="90" zoomScaleNormal="90" workbookViewId="0">
      <selection activeCell="B176" sqref="B176"/>
    </sheetView>
  </sheetViews>
  <sheetFormatPr defaultRowHeight="14.5" x14ac:dyDescent="0.35"/>
  <cols>
    <col min="1" max="1" width="26.1796875" bestFit="1" customWidth="1"/>
    <col min="2" max="2" width="105" bestFit="1" customWidth="1"/>
    <col min="3" max="3" width="56.1796875" bestFit="1" customWidth="1"/>
  </cols>
  <sheetData>
    <row r="1" spans="1:3" x14ac:dyDescent="0.35">
      <c r="A1" t="s">
        <v>1286</v>
      </c>
      <c r="B1" s="35" t="s">
        <v>1287</v>
      </c>
      <c r="C1" t="s">
        <v>1288</v>
      </c>
    </row>
    <row r="2" spans="1:3" x14ac:dyDescent="0.35">
      <c r="A2" t="s">
        <v>1289</v>
      </c>
      <c r="B2" t="s">
        <v>61</v>
      </c>
    </row>
    <row r="3" spans="1:3" x14ac:dyDescent="0.35">
      <c r="A3" t="s">
        <v>85</v>
      </c>
      <c r="B3" t="s">
        <v>1290</v>
      </c>
    </row>
    <row r="4" spans="1:3" x14ac:dyDescent="0.35">
      <c r="A4" t="s">
        <v>86</v>
      </c>
      <c r="B4" t="s">
        <v>1291</v>
      </c>
    </row>
    <row r="5" spans="1:3" x14ac:dyDescent="0.35">
      <c r="A5" t="s">
        <v>87</v>
      </c>
      <c r="B5" t="s">
        <v>1292</v>
      </c>
    </row>
    <row r="6" spans="1:3" x14ac:dyDescent="0.35">
      <c r="A6" t="s">
        <v>88</v>
      </c>
      <c r="B6" t="s">
        <v>1293</v>
      </c>
    </row>
    <row r="7" spans="1:3" x14ac:dyDescent="0.35">
      <c r="A7" t="s">
        <v>89</v>
      </c>
      <c r="B7" t="s">
        <v>1294</v>
      </c>
    </row>
    <row r="8" spans="1:3" x14ac:dyDescent="0.35">
      <c r="A8" t="s">
        <v>90</v>
      </c>
      <c r="B8" t="s">
        <v>1295</v>
      </c>
    </row>
    <row r="9" spans="1:3" x14ac:dyDescent="0.35">
      <c r="A9" t="s">
        <v>91</v>
      </c>
      <c r="B9" t="s">
        <v>1296</v>
      </c>
    </row>
    <row r="10" spans="1:3" x14ac:dyDescent="0.35">
      <c r="A10" t="s">
        <v>92</v>
      </c>
      <c r="B10" t="s">
        <v>1297</v>
      </c>
    </row>
    <row r="11" spans="1:3" x14ac:dyDescent="0.35">
      <c r="A11" t="s">
        <v>93</v>
      </c>
      <c r="B11" t="s">
        <v>1298</v>
      </c>
    </row>
    <row r="12" spans="1:3" x14ac:dyDescent="0.35">
      <c r="A12" t="s">
        <v>94</v>
      </c>
      <c r="B12" t="s">
        <v>1299</v>
      </c>
    </row>
    <row r="13" spans="1:3" x14ac:dyDescent="0.35">
      <c r="A13" t="s">
        <v>95</v>
      </c>
      <c r="B13" t="s">
        <v>1300</v>
      </c>
    </row>
    <row r="14" spans="1:3" x14ac:dyDescent="0.35">
      <c r="A14" t="s">
        <v>96</v>
      </c>
      <c r="B14" t="s">
        <v>1301</v>
      </c>
    </row>
    <row r="15" spans="1:3" x14ac:dyDescent="0.35">
      <c r="A15" t="s">
        <v>97</v>
      </c>
      <c r="B15" t="s">
        <v>1302</v>
      </c>
    </row>
    <row r="16" spans="1:3" x14ac:dyDescent="0.35">
      <c r="A16" t="s">
        <v>98</v>
      </c>
      <c r="B16" t="s">
        <v>1303</v>
      </c>
    </row>
    <row r="17" spans="1:2" x14ac:dyDescent="0.35">
      <c r="A17" t="s">
        <v>99</v>
      </c>
      <c r="B17" t="s">
        <v>1304</v>
      </c>
    </row>
    <row r="18" spans="1:2" x14ac:dyDescent="0.35">
      <c r="A18" t="s">
        <v>100</v>
      </c>
      <c r="B18" t="s">
        <v>1305</v>
      </c>
    </row>
    <row r="19" spans="1:2" x14ac:dyDescent="0.35">
      <c r="A19" t="s">
        <v>101</v>
      </c>
      <c r="B19" t="s">
        <v>1306</v>
      </c>
    </row>
    <row r="20" spans="1:2" x14ac:dyDescent="0.35">
      <c r="A20" t="s">
        <v>102</v>
      </c>
      <c r="B20" t="s">
        <v>1307</v>
      </c>
    </row>
    <row r="21" spans="1:2" x14ac:dyDescent="0.35">
      <c r="A21" t="s">
        <v>103</v>
      </c>
      <c r="B21" t="s">
        <v>1308</v>
      </c>
    </row>
    <row r="22" spans="1:2" x14ac:dyDescent="0.35">
      <c r="A22" t="s">
        <v>104</v>
      </c>
      <c r="B22" t="s">
        <v>1309</v>
      </c>
    </row>
    <row r="23" spans="1:2" x14ac:dyDescent="0.35">
      <c r="A23" t="s">
        <v>105</v>
      </c>
      <c r="B23" t="s">
        <v>1310</v>
      </c>
    </row>
    <row r="24" spans="1:2" x14ac:dyDescent="0.35">
      <c r="A24" t="s">
        <v>106</v>
      </c>
      <c r="B24" t="s">
        <v>1311</v>
      </c>
    </row>
    <row r="25" spans="1:2" x14ac:dyDescent="0.35">
      <c r="A25" t="s">
        <v>107</v>
      </c>
      <c r="B25" t="s">
        <v>1312</v>
      </c>
    </row>
    <row r="26" spans="1:2" x14ac:dyDescent="0.35">
      <c r="A26" t="s">
        <v>108</v>
      </c>
      <c r="B26" t="s">
        <v>1313</v>
      </c>
    </row>
    <row r="27" spans="1:2" x14ac:dyDescent="0.35">
      <c r="A27" t="s">
        <v>109</v>
      </c>
      <c r="B27" t="s">
        <v>1314</v>
      </c>
    </row>
    <row r="28" spans="1:2" x14ac:dyDescent="0.35">
      <c r="A28" t="s">
        <v>110</v>
      </c>
      <c r="B28" t="s">
        <v>1315</v>
      </c>
    </row>
    <row r="29" spans="1:2" x14ac:dyDescent="0.35">
      <c r="A29" t="s">
        <v>111</v>
      </c>
      <c r="B29" t="s">
        <v>1316</v>
      </c>
    </row>
    <row r="30" spans="1:2" x14ac:dyDescent="0.35">
      <c r="A30" t="s">
        <v>112</v>
      </c>
      <c r="B30" t="s">
        <v>1317</v>
      </c>
    </row>
    <row r="31" spans="1:2" x14ac:dyDescent="0.35">
      <c r="A31" t="s">
        <v>113</v>
      </c>
      <c r="B31" t="s">
        <v>1318</v>
      </c>
    </row>
    <row r="32" spans="1:2" x14ac:dyDescent="0.35">
      <c r="A32" t="s">
        <v>114</v>
      </c>
      <c r="B32" t="s">
        <v>1319</v>
      </c>
    </row>
    <row r="33" spans="1:2" x14ac:dyDescent="0.35">
      <c r="A33" t="s">
        <v>115</v>
      </c>
      <c r="B33" t="s">
        <v>1320</v>
      </c>
    </row>
    <row r="34" spans="1:2" x14ac:dyDescent="0.35">
      <c r="A34" t="s">
        <v>116</v>
      </c>
      <c r="B34" t="s">
        <v>1321</v>
      </c>
    </row>
    <row r="35" spans="1:2" x14ac:dyDescent="0.35">
      <c r="A35" t="s">
        <v>117</v>
      </c>
      <c r="B35" t="s">
        <v>1322</v>
      </c>
    </row>
    <row r="36" spans="1:2" x14ac:dyDescent="0.35">
      <c r="A36" t="s">
        <v>118</v>
      </c>
      <c r="B36" t="s">
        <v>1323</v>
      </c>
    </row>
    <row r="37" spans="1:2" x14ac:dyDescent="0.35">
      <c r="A37" t="s">
        <v>119</v>
      </c>
      <c r="B37" t="s">
        <v>1324</v>
      </c>
    </row>
    <row r="38" spans="1:2" x14ac:dyDescent="0.35">
      <c r="A38" t="s">
        <v>120</v>
      </c>
      <c r="B38" t="s">
        <v>1325</v>
      </c>
    </row>
    <row r="39" spans="1:2" x14ac:dyDescent="0.35">
      <c r="A39" t="s">
        <v>121</v>
      </c>
      <c r="B39" t="s">
        <v>1326</v>
      </c>
    </row>
    <row r="40" spans="1:2" x14ac:dyDescent="0.35">
      <c r="A40" t="s">
        <v>122</v>
      </c>
      <c r="B40" t="s">
        <v>1327</v>
      </c>
    </row>
    <row r="41" spans="1:2" x14ac:dyDescent="0.35">
      <c r="A41" t="s">
        <v>123</v>
      </c>
      <c r="B41" t="s">
        <v>1328</v>
      </c>
    </row>
    <row r="42" spans="1:2" x14ac:dyDescent="0.35">
      <c r="A42" t="s">
        <v>124</v>
      </c>
      <c r="B42" t="s">
        <v>1329</v>
      </c>
    </row>
    <row r="43" spans="1:2" x14ac:dyDescent="0.35">
      <c r="A43" t="s">
        <v>125</v>
      </c>
      <c r="B43" t="s">
        <v>1330</v>
      </c>
    </row>
    <row r="44" spans="1:2" x14ac:dyDescent="0.35">
      <c r="A44" t="s">
        <v>126</v>
      </c>
      <c r="B44" t="s">
        <v>1331</v>
      </c>
    </row>
    <row r="45" spans="1:2" x14ac:dyDescent="0.35">
      <c r="A45" t="s">
        <v>127</v>
      </c>
      <c r="B45" t="s">
        <v>1332</v>
      </c>
    </row>
    <row r="46" spans="1:2" x14ac:dyDescent="0.35">
      <c r="A46" t="s">
        <v>128</v>
      </c>
      <c r="B46" t="s">
        <v>1333</v>
      </c>
    </row>
    <row r="47" spans="1:2" x14ac:dyDescent="0.35">
      <c r="A47" t="s">
        <v>129</v>
      </c>
      <c r="B47" t="s">
        <v>1334</v>
      </c>
    </row>
    <row r="48" spans="1:2" x14ac:dyDescent="0.35">
      <c r="A48" t="s">
        <v>130</v>
      </c>
      <c r="B48" t="s">
        <v>1335</v>
      </c>
    </row>
    <row r="49" spans="1:2" x14ac:dyDescent="0.35">
      <c r="A49" t="s">
        <v>131</v>
      </c>
      <c r="B49" t="s">
        <v>1336</v>
      </c>
    </row>
    <row r="50" spans="1:2" x14ac:dyDescent="0.35">
      <c r="A50" t="s">
        <v>132</v>
      </c>
      <c r="B50" t="s">
        <v>1337</v>
      </c>
    </row>
    <row r="51" spans="1:2" x14ac:dyDescent="0.35">
      <c r="A51" t="s">
        <v>133</v>
      </c>
      <c r="B51" t="s">
        <v>1338</v>
      </c>
    </row>
    <row r="52" spans="1:2" x14ac:dyDescent="0.35">
      <c r="A52" t="s">
        <v>134</v>
      </c>
      <c r="B52" t="s">
        <v>1339</v>
      </c>
    </row>
    <row r="53" spans="1:2" x14ac:dyDescent="0.35">
      <c r="A53" t="s">
        <v>135</v>
      </c>
      <c r="B53" t="s">
        <v>1340</v>
      </c>
    </row>
    <row r="54" spans="1:2" x14ac:dyDescent="0.35">
      <c r="A54" t="s">
        <v>136</v>
      </c>
      <c r="B54" t="s">
        <v>1341</v>
      </c>
    </row>
    <row r="55" spans="1:2" x14ac:dyDescent="0.35">
      <c r="A55" t="s">
        <v>137</v>
      </c>
      <c r="B55" t="s">
        <v>1342</v>
      </c>
    </row>
    <row r="56" spans="1:2" x14ac:dyDescent="0.35">
      <c r="A56" t="s">
        <v>138</v>
      </c>
      <c r="B56" t="s">
        <v>1343</v>
      </c>
    </row>
    <row r="57" spans="1:2" x14ac:dyDescent="0.35">
      <c r="A57" t="s">
        <v>139</v>
      </c>
      <c r="B57" t="s">
        <v>1344</v>
      </c>
    </row>
    <row r="58" spans="1:2" x14ac:dyDescent="0.35">
      <c r="A58" t="s">
        <v>140</v>
      </c>
      <c r="B58" t="s">
        <v>1345</v>
      </c>
    </row>
    <row r="59" spans="1:2" x14ac:dyDescent="0.35">
      <c r="A59" t="s">
        <v>141</v>
      </c>
      <c r="B59" t="s">
        <v>1346</v>
      </c>
    </row>
    <row r="60" spans="1:2" x14ac:dyDescent="0.35">
      <c r="A60" t="s">
        <v>142</v>
      </c>
      <c r="B60" t="s">
        <v>1347</v>
      </c>
    </row>
    <row r="61" spans="1:2" x14ac:dyDescent="0.35">
      <c r="A61" t="s">
        <v>143</v>
      </c>
      <c r="B61" t="s">
        <v>1348</v>
      </c>
    </row>
    <row r="62" spans="1:2" x14ac:dyDescent="0.35">
      <c r="A62" t="s">
        <v>144</v>
      </c>
      <c r="B62" t="s">
        <v>1349</v>
      </c>
    </row>
    <row r="63" spans="1:2" x14ac:dyDescent="0.35">
      <c r="A63" t="s">
        <v>145</v>
      </c>
      <c r="B63" t="s">
        <v>1350</v>
      </c>
    </row>
    <row r="64" spans="1:2" x14ac:dyDescent="0.35">
      <c r="A64" t="s">
        <v>146</v>
      </c>
      <c r="B64" t="s">
        <v>1351</v>
      </c>
    </row>
    <row r="65" spans="1:2" x14ac:dyDescent="0.35">
      <c r="A65" t="s">
        <v>147</v>
      </c>
      <c r="B65" t="s">
        <v>1352</v>
      </c>
    </row>
    <row r="66" spans="1:2" x14ac:dyDescent="0.35">
      <c r="A66" t="s">
        <v>148</v>
      </c>
      <c r="B66" t="s">
        <v>1353</v>
      </c>
    </row>
    <row r="67" spans="1:2" x14ac:dyDescent="0.35">
      <c r="A67" t="s">
        <v>149</v>
      </c>
      <c r="B67" t="s">
        <v>1354</v>
      </c>
    </row>
    <row r="68" spans="1:2" x14ac:dyDescent="0.35">
      <c r="A68" t="s">
        <v>150</v>
      </c>
      <c r="B68" t="s">
        <v>1355</v>
      </c>
    </row>
    <row r="69" spans="1:2" x14ac:dyDescent="0.35">
      <c r="A69" t="s">
        <v>151</v>
      </c>
      <c r="B69" t="s">
        <v>1356</v>
      </c>
    </row>
    <row r="70" spans="1:2" x14ac:dyDescent="0.35">
      <c r="A70" t="s">
        <v>152</v>
      </c>
      <c r="B70" t="s">
        <v>1357</v>
      </c>
    </row>
    <row r="71" spans="1:2" x14ac:dyDescent="0.35">
      <c r="A71" t="s">
        <v>153</v>
      </c>
      <c r="B71" t="s">
        <v>1358</v>
      </c>
    </row>
    <row r="72" spans="1:2" x14ac:dyDescent="0.35">
      <c r="A72" t="s">
        <v>154</v>
      </c>
      <c r="B72" t="s">
        <v>1359</v>
      </c>
    </row>
    <row r="73" spans="1:2" x14ac:dyDescent="0.35">
      <c r="A73" t="s">
        <v>155</v>
      </c>
      <c r="B73" t="s">
        <v>1360</v>
      </c>
    </row>
    <row r="74" spans="1:2" x14ac:dyDescent="0.35">
      <c r="A74" t="s">
        <v>156</v>
      </c>
      <c r="B74" t="s">
        <v>1361</v>
      </c>
    </row>
    <row r="75" spans="1:2" x14ac:dyDescent="0.35">
      <c r="A75" t="s">
        <v>157</v>
      </c>
      <c r="B75" t="s">
        <v>1362</v>
      </c>
    </row>
    <row r="76" spans="1:2" x14ac:dyDescent="0.35">
      <c r="A76" t="s">
        <v>158</v>
      </c>
      <c r="B76" t="s">
        <v>1363</v>
      </c>
    </row>
    <row r="77" spans="1:2" x14ac:dyDescent="0.35">
      <c r="A77" t="s">
        <v>159</v>
      </c>
      <c r="B77" t="s">
        <v>1364</v>
      </c>
    </row>
    <row r="78" spans="1:2" x14ac:dyDescent="0.35">
      <c r="A78" t="s">
        <v>160</v>
      </c>
      <c r="B78" t="s">
        <v>1365</v>
      </c>
    </row>
    <row r="79" spans="1:2" x14ac:dyDescent="0.35">
      <c r="A79" t="s">
        <v>161</v>
      </c>
      <c r="B79" t="s">
        <v>1366</v>
      </c>
    </row>
    <row r="80" spans="1:2" x14ac:dyDescent="0.35">
      <c r="A80" t="s">
        <v>162</v>
      </c>
      <c r="B80" t="s">
        <v>1367</v>
      </c>
    </row>
    <row r="81" spans="1:2" x14ac:dyDescent="0.35">
      <c r="A81" t="s">
        <v>163</v>
      </c>
      <c r="B81" t="s">
        <v>1368</v>
      </c>
    </row>
    <row r="82" spans="1:2" x14ac:dyDescent="0.35">
      <c r="A82" t="s">
        <v>164</v>
      </c>
      <c r="B82" t="s">
        <v>1369</v>
      </c>
    </row>
    <row r="83" spans="1:2" x14ac:dyDescent="0.35">
      <c r="A83" t="s">
        <v>165</v>
      </c>
      <c r="B83" t="s">
        <v>1370</v>
      </c>
    </row>
    <row r="84" spans="1:2" x14ac:dyDescent="0.35">
      <c r="A84" t="s">
        <v>166</v>
      </c>
      <c r="B84" t="s">
        <v>1371</v>
      </c>
    </row>
    <row r="85" spans="1:2" x14ac:dyDescent="0.35">
      <c r="A85" t="s">
        <v>167</v>
      </c>
      <c r="B85" t="s">
        <v>1372</v>
      </c>
    </row>
    <row r="86" spans="1:2" x14ac:dyDescent="0.35">
      <c r="A86" t="s">
        <v>168</v>
      </c>
      <c r="B86" t="s">
        <v>1373</v>
      </c>
    </row>
    <row r="87" spans="1:2" x14ac:dyDescent="0.35">
      <c r="A87" t="s">
        <v>169</v>
      </c>
      <c r="B87" t="s">
        <v>1374</v>
      </c>
    </row>
    <row r="88" spans="1:2" x14ac:dyDescent="0.35">
      <c r="A88" t="s">
        <v>170</v>
      </c>
      <c r="B88" t="s">
        <v>1375</v>
      </c>
    </row>
    <row r="89" spans="1:2" x14ac:dyDescent="0.35">
      <c r="A89" t="s">
        <v>171</v>
      </c>
      <c r="B89" t="s">
        <v>1376</v>
      </c>
    </row>
    <row r="90" spans="1:2" x14ac:dyDescent="0.35">
      <c r="A90" t="s">
        <v>172</v>
      </c>
      <c r="B90" t="s">
        <v>1377</v>
      </c>
    </row>
    <row r="91" spans="1:2" x14ac:dyDescent="0.35">
      <c r="A91" t="s">
        <v>173</v>
      </c>
      <c r="B91" t="s">
        <v>1378</v>
      </c>
    </row>
    <row r="92" spans="1:2" x14ac:dyDescent="0.35">
      <c r="A92" t="s">
        <v>174</v>
      </c>
      <c r="B92" t="s">
        <v>1379</v>
      </c>
    </row>
    <row r="93" spans="1:2" x14ac:dyDescent="0.35">
      <c r="A93" t="s">
        <v>175</v>
      </c>
      <c r="B93" t="s">
        <v>1380</v>
      </c>
    </row>
    <row r="94" spans="1:2" x14ac:dyDescent="0.35">
      <c r="A94" t="s">
        <v>176</v>
      </c>
      <c r="B94" t="s">
        <v>1381</v>
      </c>
    </row>
    <row r="95" spans="1:2" x14ac:dyDescent="0.35">
      <c r="A95" t="s">
        <v>177</v>
      </c>
      <c r="B95" t="s">
        <v>1382</v>
      </c>
    </row>
    <row r="96" spans="1:2" x14ac:dyDescent="0.35">
      <c r="A96" t="s">
        <v>178</v>
      </c>
      <c r="B96" t="s">
        <v>1383</v>
      </c>
    </row>
    <row r="97" spans="1:2" x14ac:dyDescent="0.35">
      <c r="A97" t="s">
        <v>179</v>
      </c>
      <c r="B97" t="s">
        <v>1384</v>
      </c>
    </row>
    <row r="98" spans="1:2" x14ac:dyDescent="0.35">
      <c r="A98" t="s">
        <v>180</v>
      </c>
      <c r="B98" t="s">
        <v>1385</v>
      </c>
    </row>
    <row r="99" spans="1:2" x14ac:dyDescent="0.35">
      <c r="A99" t="s">
        <v>181</v>
      </c>
      <c r="B99" t="s">
        <v>1386</v>
      </c>
    </row>
    <row r="100" spans="1:2" x14ac:dyDescent="0.35">
      <c r="A100" t="s">
        <v>182</v>
      </c>
      <c r="B100" t="s">
        <v>1387</v>
      </c>
    </row>
    <row r="101" spans="1:2" x14ac:dyDescent="0.35">
      <c r="A101" t="s">
        <v>183</v>
      </c>
      <c r="B101" t="s">
        <v>1388</v>
      </c>
    </row>
    <row r="102" spans="1:2" x14ac:dyDescent="0.35">
      <c r="A102" t="s">
        <v>184</v>
      </c>
      <c r="B102" t="s">
        <v>1389</v>
      </c>
    </row>
    <row r="103" spans="1:2" x14ac:dyDescent="0.35">
      <c r="A103" t="s">
        <v>185</v>
      </c>
      <c r="B103" t="s">
        <v>1390</v>
      </c>
    </row>
    <row r="104" spans="1:2" x14ac:dyDescent="0.35">
      <c r="A104" t="s">
        <v>186</v>
      </c>
      <c r="B104" t="s">
        <v>1391</v>
      </c>
    </row>
    <row r="105" spans="1:2" x14ac:dyDescent="0.35">
      <c r="A105" t="s">
        <v>187</v>
      </c>
      <c r="B105" t="s">
        <v>1392</v>
      </c>
    </row>
    <row r="106" spans="1:2" x14ac:dyDescent="0.35">
      <c r="A106" t="s">
        <v>188</v>
      </c>
      <c r="B106" t="s">
        <v>1393</v>
      </c>
    </row>
    <row r="107" spans="1:2" x14ac:dyDescent="0.35">
      <c r="A107" t="s">
        <v>189</v>
      </c>
      <c r="B107" t="s">
        <v>1394</v>
      </c>
    </row>
    <row r="108" spans="1:2" x14ac:dyDescent="0.35">
      <c r="A108" t="s">
        <v>190</v>
      </c>
      <c r="B108" t="s">
        <v>1395</v>
      </c>
    </row>
    <row r="109" spans="1:2" x14ac:dyDescent="0.35">
      <c r="A109" t="s">
        <v>191</v>
      </c>
      <c r="B109" t="s">
        <v>1396</v>
      </c>
    </row>
    <row r="110" spans="1:2" x14ac:dyDescent="0.35">
      <c r="A110" t="s">
        <v>192</v>
      </c>
      <c r="B110" t="s">
        <v>1397</v>
      </c>
    </row>
    <row r="111" spans="1:2" x14ac:dyDescent="0.35">
      <c r="A111" t="s">
        <v>193</v>
      </c>
      <c r="B111" t="s">
        <v>1398</v>
      </c>
    </row>
    <row r="112" spans="1:2" x14ac:dyDescent="0.35">
      <c r="A112" t="s">
        <v>194</v>
      </c>
      <c r="B112" t="s">
        <v>1399</v>
      </c>
    </row>
    <row r="113" spans="1:2" x14ac:dyDescent="0.35">
      <c r="A113" t="s">
        <v>195</v>
      </c>
      <c r="B113" t="s">
        <v>1400</v>
      </c>
    </row>
    <row r="114" spans="1:2" x14ac:dyDescent="0.35">
      <c r="A114" t="s">
        <v>196</v>
      </c>
      <c r="B114" t="s">
        <v>1401</v>
      </c>
    </row>
    <row r="115" spans="1:2" x14ac:dyDescent="0.35">
      <c r="A115" t="s">
        <v>197</v>
      </c>
      <c r="B115" t="s">
        <v>1402</v>
      </c>
    </row>
    <row r="116" spans="1:2" x14ac:dyDescent="0.35">
      <c r="A116" t="s">
        <v>198</v>
      </c>
      <c r="B116" t="s">
        <v>1403</v>
      </c>
    </row>
    <row r="117" spans="1:2" x14ac:dyDescent="0.35">
      <c r="A117" t="s">
        <v>199</v>
      </c>
      <c r="B117" t="s">
        <v>1404</v>
      </c>
    </row>
    <row r="118" spans="1:2" x14ac:dyDescent="0.35">
      <c r="A118" t="s">
        <v>200</v>
      </c>
      <c r="B118" t="s">
        <v>1405</v>
      </c>
    </row>
    <row r="119" spans="1:2" x14ac:dyDescent="0.35">
      <c r="A119" t="s">
        <v>201</v>
      </c>
      <c r="B119" t="s">
        <v>1406</v>
      </c>
    </row>
    <row r="120" spans="1:2" x14ac:dyDescent="0.35">
      <c r="A120" t="s">
        <v>202</v>
      </c>
      <c r="B120" t="s">
        <v>1407</v>
      </c>
    </row>
    <row r="121" spans="1:2" x14ac:dyDescent="0.35">
      <c r="A121" t="s">
        <v>203</v>
      </c>
      <c r="B121" t="s">
        <v>1408</v>
      </c>
    </row>
    <row r="122" spans="1:2" x14ac:dyDescent="0.35">
      <c r="A122" t="s">
        <v>204</v>
      </c>
      <c r="B122" t="s">
        <v>1409</v>
      </c>
    </row>
    <row r="123" spans="1:2" x14ac:dyDescent="0.35">
      <c r="A123" t="s">
        <v>205</v>
      </c>
      <c r="B123" t="s">
        <v>1410</v>
      </c>
    </row>
    <row r="124" spans="1:2" x14ac:dyDescent="0.35">
      <c r="A124" t="s">
        <v>206</v>
      </c>
      <c r="B124" t="s">
        <v>1411</v>
      </c>
    </row>
    <row r="125" spans="1:2" x14ac:dyDescent="0.35">
      <c r="A125" t="s">
        <v>207</v>
      </c>
      <c r="B125" t="s">
        <v>1412</v>
      </c>
    </row>
    <row r="126" spans="1:2" x14ac:dyDescent="0.35">
      <c r="A126" t="s">
        <v>208</v>
      </c>
      <c r="B126" t="s">
        <v>1413</v>
      </c>
    </row>
    <row r="127" spans="1:2" x14ac:dyDescent="0.35">
      <c r="A127" t="s">
        <v>209</v>
      </c>
      <c r="B127" t="s">
        <v>1414</v>
      </c>
    </row>
    <row r="128" spans="1:2" x14ac:dyDescent="0.35">
      <c r="A128" t="s">
        <v>210</v>
      </c>
      <c r="B128" t="s">
        <v>1415</v>
      </c>
    </row>
    <row r="129" spans="1:2" x14ac:dyDescent="0.35">
      <c r="A129" t="s">
        <v>211</v>
      </c>
      <c r="B129" t="s">
        <v>1416</v>
      </c>
    </row>
    <row r="130" spans="1:2" x14ac:dyDescent="0.35">
      <c r="A130" t="s">
        <v>212</v>
      </c>
      <c r="B130" t="s">
        <v>1417</v>
      </c>
    </row>
    <row r="131" spans="1:2" x14ac:dyDescent="0.35">
      <c r="A131" t="s">
        <v>213</v>
      </c>
      <c r="B131" t="s">
        <v>1418</v>
      </c>
    </row>
    <row r="132" spans="1:2" x14ac:dyDescent="0.35">
      <c r="A132" t="s">
        <v>214</v>
      </c>
      <c r="B132" t="s">
        <v>1419</v>
      </c>
    </row>
    <row r="133" spans="1:2" x14ac:dyDescent="0.35">
      <c r="A133" t="s">
        <v>215</v>
      </c>
      <c r="B133" t="s">
        <v>1420</v>
      </c>
    </row>
    <row r="134" spans="1:2" x14ac:dyDescent="0.35">
      <c r="A134" t="s">
        <v>216</v>
      </c>
      <c r="B134" t="s">
        <v>1421</v>
      </c>
    </row>
    <row r="135" spans="1:2" x14ac:dyDescent="0.35">
      <c r="A135" t="s">
        <v>217</v>
      </c>
      <c r="B135" t="s">
        <v>1422</v>
      </c>
    </row>
    <row r="136" spans="1:2" x14ac:dyDescent="0.35">
      <c r="A136" t="s">
        <v>218</v>
      </c>
      <c r="B136" t="s">
        <v>1423</v>
      </c>
    </row>
    <row r="137" spans="1:2" x14ac:dyDescent="0.35">
      <c r="A137" t="s">
        <v>219</v>
      </c>
      <c r="B137" t="s">
        <v>1424</v>
      </c>
    </row>
    <row r="138" spans="1:2" x14ac:dyDescent="0.35">
      <c r="A138" t="s">
        <v>220</v>
      </c>
      <c r="B138" t="s">
        <v>1425</v>
      </c>
    </row>
    <row r="139" spans="1:2" x14ac:dyDescent="0.35">
      <c r="A139" t="s">
        <v>221</v>
      </c>
      <c r="B139" t="s">
        <v>1426</v>
      </c>
    </row>
    <row r="140" spans="1:2" x14ac:dyDescent="0.35">
      <c r="A140" t="s">
        <v>222</v>
      </c>
      <c r="B140" t="s">
        <v>1427</v>
      </c>
    </row>
    <row r="141" spans="1:2" x14ac:dyDescent="0.35">
      <c r="A141" t="s">
        <v>223</v>
      </c>
      <c r="B141" t="s">
        <v>1428</v>
      </c>
    </row>
    <row r="142" spans="1:2" x14ac:dyDescent="0.35">
      <c r="A142" t="s">
        <v>224</v>
      </c>
      <c r="B142" t="s">
        <v>1429</v>
      </c>
    </row>
    <row r="143" spans="1:2" x14ac:dyDescent="0.35">
      <c r="A143" t="s">
        <v>225</v>
      </c>
      <c r="B143" t="s">
        <v>1430</v>
      </c>
    </row>
    <row r="144" spans="1:2" x14ac:dyDescent="0.35">
      <c r="A144" t="s">
        <v>226</v>
      </c>
      <c r="B144" t="s">
        <v>1431</v>
      </c>
    </row>
    <row r="145" spans="1:2" x14ac:dyDescent="0.35">
      <c r="A145" t="s">
        <v>227</v>
      </c>
      <c r="B145" t="s">
        <v>1432</v>
      </c>
    </row>
    <row r="146" spans="1:2" x14ac:dyDescent="0.35">
      <c r="A146" t="s">
        <v>228</v>
      </c>
      <c r="B146" t="s">
        <v>1433</v>
      </c>
    </row>
    <row r="147" spans="1:2" x14ac:dyDescent="0.35">
      <c r="A147" t="s">
        <v>229</v>
      </c>
      <c r="B147" t="s">
        <v>1434</v>
      </c>
    </row>
    <row r="148" spans="1:2" x14ac:dyDescent="0.35">
      <c r="A148" t="s">
        <v>230</v>
      </c>
      <c r="B148" t="s">
        <v>1435</v>
      </c>
    </row>
    <row r="149" spans="1:2" x14ac:dyDescent="0.35">
      <c r="A149" t="s">
        <v>231</v>
      </c>
      <c r="B149" t="s">
        <v>1436</v>
      </c>
    </row>
    <row r="150" spans="1:2" x14ac:dyDescent="0.35">
      <c r="A150" t="s">
        <v>232</v>
      </c>
      <c r="B150" t="s">
        <v>1437</v>
      </c>
    </row>
    <row r="151" spans="1:2" x14ac:dyDescent="0.35">
      <c r="A151" t="s">
        <v>233</v>
      </c>
      <c r="B151" t="s">
        <v>1438</v>
      </c>
    </row>
    <row r="152" spans="1:2" x14ac:dyDescent="0.35">
      <c r="A152" t="s">
        <v>234</v>
      </c>
      <c r="B152" t="s">
        <v>1439</v>
      </c>
    </row>
    <row r="153" spans="1:2" x14ac:dyDescent="0.35">
      <c r="A153" t="s">
        <v>235</v>
      </c>
      <c r="B153" t="s">
        <v>1440</v>
      </c>
    </row>
    <row r="154" spans="1:2" x14ac:dyDescent="0.35">
      <c r="A154" t="s">
        <v>236</v>
      </c>
      <c r="B154" t="s">
        <v>1441</v>
      </c>
    </row>
    <row r="155" spans="1:2" x14ac:dyDescent="0.35">
      <c r="A155" t="s">
        <v>237</v>
      </c>
      <c r="B155" t="s">
        <v>1442</v>
      </c>
    </row>
    <row r="156" spans="1:2" x14ac:dyDescent="0.35">
      <c r="A156" t="s">
        <v>238</v>
      </c>
      <c r="B156" t="s">
        <v>1443</v>
      </c>
    </row>
    <row r="157" spans="1:2" x14ac:dyDescent="0.35">
      <c r="A157" t="s">
        <v>239</v>
      </c>
      <c r="B157" t="s">
        <v>1444</v>
      </c>
    </row>
    <row r="158" spans="1:2" x14ac:dyDescent="0.35">
      <c r="A158" t="s">
        <v>240</v>
      </c>
      <c r="B158" t="s">
        <v>1445</v>
      </c>
    </row>
    <row r="159" spans="1:2" x14ac:dyDescent="0.35">
      <c r="A159" t="s">
        <v>241</v>
      </c>
      <c r="B159" t="s">
        <v>1446</v>
      </c>
    </row>
    <row r="160" spans="1:2" x14ac:dyDescent="0.35">
      <c r="A160" t="s">
        <v>242</v>
      </c>
      <c r="B160" t="s">
        <v>1447</v>
      </c>
    </row>
    <row r="161" spans="1:2" x14ac:dyDescent="0.35">
      <c r="A161" t="s">
        <v>243</v>
      </c>
      <c r="B161" t="s">
        <v>1448</v>
      </c>
    </row>
    <row r="162" spans="1:2" x14ac:dyDescent="0.35">
      <c r="A162" t="s">
        <v>244</v>
      </c>
      <c r="B162" t="s">
        <v>1449</v>
      </c>
    </row>
    <row r="163" spans="1:2" x14ac:dyDescent="0.35">
      <c r="A163" t="s">
        <v>245</v>
      </c>
      <c r="B163" t="s">
        <v>1450</v>
      </c>
    </row>
    <row r="164" spans="1:2" x14ac:dyDescent="0.35">
      <c r="A164" t="s">
        <v>246</v>
      </c>
      <c r="B164" t="s">
        <v>1451</v>
      </c>
    </row>
    <row r="165" spans="1:2" x14ac:dyDescent="0.35">
      <c r="A165" t="s">
        <v>247</v>
      </c>
      <c r="B165" t="s">
        <v>1452</v>
      </c>
    </row>
    <row r="166" spans="1:2" x14ac:dyDescent="0.35">
      <c r="A166" t="s">
        <v>248</v>
      </c>
      <c r="B166" t="s">
        <v>1453</v>
      </c>
    </row>
    <row r="167" spans="1:2" x14ac:dyDescent="0.35">
      <c r="A167" t="s">
        <v>249</v>
      </c>
      <c r="B167" t="s">
        <v>1454</v>
      </c>
    </row>
    <row r="168" spans="1:2" x14ac:dyDescent="0.35">
      <c r="A168" t="s">
        <v>250</v>
      </c>
      <c r="B168" t="s">
        <v>1455</v>
      </c>
    </row>
    <row r="169" spans="1:2" x14ac:dyDescent="0.35">
      <c r="A169" t="s">
        <v>251</v>
      </c>
      <c r="B169" t="s">
        <v>1456</v>
      </c>
    </row>
    <row r="170" spans="1:2" x14ac:dyDescent="0.35">
      <c r="A170" t="s">
        <v>252</v>
      </c>
      <c r="B170" t="s">
        <v>1457</v>
      </c>
    </row>
    <row r="171" spans="1:2" x14ac:dyDescent="0.35">
      <c r="A171" t="s">
        <v>253</v>
      </c>
      <c r="B171" t="s">
        <v>1458</v>
      </c>
    </row>
    <row r="172" spans="1:2" x14ac:dyDescent="0.35">
      <c r="A172" t="s">
        <v>254</v>
      </c>
      <c r="B172" t="s">
        <v>1459</v>
      </c>
    </row>
    <row r="173" spans="1:2" x14ac:dyDescent="0.35">
      <c r="A173" t="s">
        <v>255</v>
      </c>
      <c r="B173" t="s">
        <v>1460</v>
      </c>
    </row>
    <row r="174" spans="1:2" x14ac:dyDescent="0.35">
      <c r="A174" t="s">
        <v>256</v>
      </c>
      <c r="B174" t="s">
        <v>1461</v>
      </c>
    </row>
    <row r="175" spans="1:2" x14ac:dyDescent="0.35">
      <c r="A175" t="s">
        <v>257</v>
      </c>
      <c r="B175" t="s">
        <v>1462</v>
      </c>
    </row>
    <row r="176" spans="1:2" x14ac:dyDescent="0.35">
      <c r="A176" t="s">
        <v>258</v>
      </c>
      <c r="B176" t="s">
        <v>1463</v>
      </c>
    </row>
    <row r="177" spans="1:2" x14ac:dyDescent="0.35">
      <c r="A177" t="s">
        <v>259</v>
      </c>
      <c r="B177" t="s">
        <v>1464</v>
      </c>
    </row>
    <row r="178" spans="1:2" x14ac:dyDescent="0.35">
      <c r="A178" t="s">
        <v>260</v>
      </c>
      <c r="B178" t="s">
        <v>1465</v>
      </c>
    </row>
    <row r="179" spans="1:2" x14ac:dyDescent="0.35">
      <c r="A179" t="s">
        <v>261</v>
      </c>
      <c r="B179" t="s">
        <v>1466</v>
      </c>
    </row>
    <row r="180" spans="1:2" x14ac:dyDescent="0.35">
      <c r="A180" t="s">
        <v>262</v>
      </c>
      <c r="B180" t="s">
        <v>1467</v>
      </c>
    </row>
    <row r="181" spans="1:2" x14ac:dyDescent="0.35">
      <c r="A181" t="s">
        <v>263</v>
      </c>
      <c r="B181" t="s">
        <v>1468</v>
      </c>
    </row>
    <row r="182" spans="1:2" x14ac:dyDescent="0.35">
      <c r="A182" t="s">
        <v>264</v>
      </c>
      <c r="B182" t="s">
        <v>1469</v>
      </c>
    </row>
    <row r="183" spans="1:2" x14ac:dyDescent="0.35">
      <c r="A183" t="s">
        <v>265</v>
      </c>
      <c r="B183" t="s">
        <v>1470</v>
      </c>
    </row>
    <row r="184" spans="1:2" x14ac:dyDescent="0.35">
      <c r="A184" t="s">
        <v>266</v>
      </c>
      <c r="B184" t="s">
        <v>1471</v>
      </c>
    </row>
    <row r="185" spans="1:2" x14ac:dyDescent="0.35">
      <c r="A185" t="s">
        <v>267</v>
      </c>
      <c r="B185" t="s">
        <v>1472</v>
      </c>
    </row>
    <row r="186" spans="1:2" x14ac:dyDescent="0.35">
      <c r="A186" t="s">
        <v>268</v>
      </c>
      <c r="B186" t="s">
        <v>1473</v>
      </c>
    </row>
    <row r="187" spans="1:2" x14ac:dyDescent="0.35">
      <c r="A187" t="s">
        <v>269</v>
      </c>
      <c r="B187" t="s">
        <v>1474</v>
      </c>
    </row>
    <row r="188" spans="1:2" x14ac:dyDescent="0.35">
      <c r="A188" t="s">
        <v>270</v>
      </c>
      <c r="B188" t="s">
        <v>1475</v>
      </c>
    </row>
    <row r="189" spans="1:2" x14ac:dyDescent="0.35">
      <c r="A189" t="s">
        <v>271</v>
      </c>
      <c r="B189" t="s">
        <v>1476</v>
      </c>
    </row>
    <row r="190" spans="1:2" x14ac:dyDescent="0.35">
      <c r="A190" t="s">
        <v>272</v>
      </c>
      <c r="B190" t="s">
        <v>1477</v>
      </c>
    </row>
    <row r="191" spans="1:2" x14ac:dyDescent="0.35">
      <c r="A191" t="s">
        <v>273</v>
      </c>
      <c r="B191" t="s">
        <v>1478</v>
      </c>
    </row>
    <row r="192" spans="1:2" x14ac:dyDescent="0.35">
      <c r="A192" t="s">
        <v>274</v>
      </c>
      <c r="B192" t="s">
        <v>1479</v>
      </c>
    </row>
    <row r="193" spans="1:2" x14ac:dyDescent="0.35">
      <c r="A193" t="s">
        <v>275</v>
      </c>
      <c r="B193" t="s">
        <v>1480</v>
      </c>
    </row>
    <row r="194" spans="1:2" x14ac:dyDescent="0.35">
      <c r="A194" t="s">
        <v>276</v>
      </c>
      <c r="B194" t="s">
        <v>1481</v>
      </c>
    </row>
    <row r="195" spans="1:2" x14ac:dyDescent="0.35">
      <c r="A195" t="s">
        <v>277</v>
      </c>
      <c r="B195" t="s">
        <v>1482</v>
      </c>
    </row>
    <row r="196" spans="1:2" x14ac:dyDescent="0.35">
      <c r="A196" t="s">
        <v>278</v>
      </c>
      <c r="B196" t="s">
        <v>1483</v>
      </c>
    </row>
    <row r="197" spans="1:2" x14ac:dyDescent="0.35">
      <c r="A197" t="s">
        <v>279</v>
      </c>
      <c r="B197" t="s">
        <v>1484</v>
      </c>
    </row>
    <row r="198" spans="1:2" x14ac:dyDescent="0.35">
      <c r="A198" t="s">
        <v>280</v>
      </c>
      <c r="B198" t="s">
        <v>1485</v>
      </c>
    </row>
    <row r="199" spans="1:2" x14ac:dyDescent="0.35">
      <c r="A199" t="s">
        <v>281</v>
      </c>
      <c r="B199" t="s">
        <v>1486</v>
      </c>
    </row>
    <row r="200" spans="1:2" x14ac:dyDescent="0.35">
      <c r="A200" t="s">
        <v>282</v>
      </c>
      <c r="B200" t="s">
        <v>1487</v>
      </c>
    </row>
    <row r="201" spans="1:2" x14ac:dyDescent="0.35">
      <c r="A201" t="s">
        <v>283</v>
      </c>
      <c r="B201" t="s">
        <v>1488</v>
      </c>
    </row>
    <row r="202" spans="1:2" x14ac:dyDescent="0.35">
      <c r="A202" t="s">
        <v>284</v>
      </c>
      <c r="B202" t="s">
        <v>1489</v>
      </c>
    </row>
    <row r="203" spans="1:2" x14ac:dyDescent="0.35">
      <c r="A203" t="s">
        <v>285</v>
      </c>
      <c r="B203" t="s">
        <v>1490</v>
      </c>
    </row>
    <row r="204" spans="1:2" x14ac:dyDescent="0.35">
      <c r="A204" t="s">
        <v>286</v>
      </c>
      <c r="B204" t="s">
        <v>1491</v>
      </c>
    </row>
    <row r="205" spans="1:2" x14ac:dyDescent="0.35">
      <c r="A205" t="s">
        <v>287</v>
      </c>
      <c r="B205" t="s">
        <v>1492</v>
      </c>
    </row>
    <row r="206" spans="1:2" x14ac:dyDescent="0.35">
      <c r="A206" t="s">
        <v>288</v>
      </c>
      <c r="B206" t="s">
        <v>1493</v>
      </c>
    </row>
    <row r="207" spans="1:2" x14ac:dyDescent="0.35">
      <c r="A207" t="s">
        <v>289</v>
      </c>
      <c r="B207" t="s">
        <v>1494</v>
      </c>
    </row>
    <row r="208" spans="1:2" x14ac:dyDescent="0.35">
      <c r="A208" t="s">
        <v>290</v>
      </c>
      <c r="B208" t="s">
        <v>1495</v>
      </c>
    </row>
    <row r="209" spans="1:2" x14ac:dyDescent="0.35">
      <c r="A209" t="s">
        <v>291</v>
      </c>
      <c r="B209" t="s">
        <v>1496</v>
      </c>
    </row>
    <row r="210" spans="1:2" x14ac:dyDescent="0.35">
      <c r="A210" t="s">
        <v>292</v>
      </c>
      <c r="B210" t="s">
        <v>1497</v>
      </c>
    </row>
    <row r="211" spans="1:2" x14ac:dyDescent="0.35">
      <c r="A211" t="s">
        <v>293</v>
      </c>
      <c r="B211" t="s">
        <v>1498</v>
      </c>
    </row>
    <row r="212" spans="1:2" x14ac:dyDescent="0.35">
      <c r="A212" t="s">
        <v>294</v>
      </c>
      <c r="B212" t="s">
        <v>1499</v>
      </c>
    </row>
    <row r="213" spans="1:2" x14ac:dyDescent="0.35">
      <c r="A213" t="s">
        <v>295</v>
      </c>
      <c r="B213" t="s">
        <v>1500</v>
      </c>
    </row>
    <row r="214" spans="1:2" x14ac:dyDescent="0.35">
      <c r="A214" t="s">
        <v>296</v>
      </c>
      <c r="B214" t="s">
        <v>1501</v>
      </c>
    </row>
    <row r="215" spans="1:2" x14ac:dyDescent="0.35">
      <c r="A215" t="s">
        <v>297</v>
      </c>
      <c r="B215" t="s">
        <v>1502</v>
      </c>
    </row>
    <row r="216" spans="1:2" x14ac:dyDescent="0.35">
      <c r="A216" t="s">
        <v>298</v>
      </c>
      <c r="B216" t="s">
        <v>1503</v>
      </c>
    </row>
    <row r="217" spans="1:2" x14ac:dyDescent="0.35">
      <c r="A217" t="s">
        <v>299</v>
      </c>
      <c r="B217" t="s">
        <v>1504</v>
      </c>
    </row>
    <row r="218" spans="1:2" x14ac:dyDescent="0.35">
      <c r="A218" t="s">
        <v>300</v>
      </c>
      <c r="B218" t="s">
        <v>1505</v>
      </c>
    </row>
    <row r="219" spans="1:2" x14ac:dyDescent="0.35">
      <c r="A219" t="s">
        <v>301</v>
      </c>
      <c r="B219" t="s">
        <v>1506</v>
      </c>
    </row>
    <row r="220" spans="1:2" x14ac:dyDescent="0.35">
      <c r="A220" t="s">
        <v>302</v>
      </c>
      <c r="B220" t="s">
        <v>1507</v>
      </c>
    </row>
    <row r="221" spans="1:2" x14ac:dyDescent="0.35">
      <c r="A221" t="s">
        <v>303</v>
      </c>
      <c r="B221" t="s">
        <v>1508</v>
      </c>
    </row>
    <row r="222" spans="1:2" x14ac:dyDescent="0.35">
      <c r="A222" t="s">
        <v>304</v>
      </c>
      <c r="B222" t="s">
        <v>1509</v>
      </c>
    </row>
    <row r="223" spans="1:2" x14ac:dyDescent="0.35">
      <c r="A223" t="s">
        <v>305</v>
      </c>
      <c r="B223" t="s">
        <v>1510</v>
      </c>
    </row>
    <row r="224" spans="1:2" x14ac:dyDescent="0.35">
      <c r="A224" t="s">
        <v>306</v>
      </c>
      <c r="B224" t="s">
        <v>1511</v>
      </c>
    </row>
    <row r="225" spans="1:2" x14ac:dyDescent="0.35">
      <c r="A225" t="s">
        <v>307</v>
      </c>
      <c r="B225" t="s">
        <v>1512</v>
      </c>
    </row>
    <row r="226" spans="1:2" x14ac:dyDescent="0.35">
      <c r="A226" t="s">
        <v>308</v>
      </c>
      <c r="B226" t="s">
        <v>1513</v>
      </c>
    </row>
    <row r="227" spans="1:2" x14ac:dyDescent="0.35">
      <c r="A227" t="s">
        <v>309</v>
      </c>
      <c r="B227" t="s">
        <v>1514</v>
      </c>
    </row>
    <row r="228" spans="1:2" x14ac:dyDescent="0.35">
      <c r="A228" t="s">
        <v>310</v>
      </c>
      <c r="B228" t="s">
        <v>1515</v>
      </c>
    </row>
    <row r="229" spans="1:2" x14ac:dyDescent="0.35">
      <c r="A229" t="s">
        <v>311</v>
      </c>
      <c r="B229" t="s">
        <v>1516</v>
      </c>
    </row>
    <row r="230" spans="1:2" x14ac:dyDescent="0.35">
      <c r="A230" t="s">
        <v>312</v>
      </c>
      <c r="B230" t="s">
        <v>1517</v>
      </c>
    </row>
    <row r="231" spans="1:2" x14ac:dyDescent="0.35">
      <c r="A231" t="s">
        <v>313</v>
      </c>
      <c r="B231" t="s">
        <v>1518</v>
      </c>
    </row>
    <row r="232" spans="1:2" x14ac:dyDescent="0.35">
      <c r="A232" t="s">
        <v>314</v>
      </c>
      <c r="B232" t="s">
        <v>1519</v>
      </c>
    </row>
    <row r="233" spans="1:2" x14ac:dyDescent="0.35">
      <c r="A233" t="s">
        <v>315</v>
      </c>
      <c r="B233" t="s">
        <v>1520</v>
      </c>
    </row>
    <row r="234" spans="1:2" x14ac:dyDescent="0.35">
      <c r="A234" t="s">
        <v>316</v>
      </c>
      <c r="B234" t="s">
        <v>1521</v>
      </c>
    </row>
    <row r="235" spans="1:2" x14ac:dyDescent="0.35">
      <c r="A235" t="s">
        <v>317</v>
      </c>
      <c r="B235" t="s">
        <v>1522</v>
      </c>
    </row>
    <row r="236" spans="1:2" x14ac:dyDescent="0.35">
      <c r="A236" t="s">
        <v>318</v>
      </c>
      <c r="B236" t="s">
        <v>1523</v>
      </c>
    </row>
    <row r="237" spans="1:2" x14ac:dyDescent="0.35">
      <c r="A237" t="s">
        <v>319</v>
      </c>
      <c r="B237" t="s">
        <v>1524</v>
      </c>
    </row>
    <row r="238" spans="1:2" x14ac:dyDescent="0.35">
      <c r="A238" t="s">
        <v>320</v>
      </c>
      <c r="B238" t="s">
        <v>1525</v>
      </c>
    </row>
    <row r="239" spans="1:2" x14ac:dyDescent="0.35">
      <c r="A239" t="s">
        <v>321</v>
      </c>
      <c r="B239" t="s">
        <v>1526</v>
      </c>
    </row>
    <row r="240" spans="1:2" x14ac:dyDescent="0.35">
      <c r="A240" t="s">
        <v>322</v>
      </c>
      <c r="B240" t="s">
        <v>1527</v>
      </c>
    </row>
    <row r="241" spans="1:2" x14ac:dyDescent="0.35">
      <c r="A241" t="s">
        <v>323</v>
      </c>
      <c r="B241" t="s">
        <v>1528</v>
      </c>
    </row>
    <row r="242" spans="1:2" x14ac:dyDescent="0.35">
      <c r="A242" t="s">
        <v>324</v>
      </c>
      <c r="B242" t="s">
        <v>1529</v>
      </c>
    </row>
    <row r="243" spans="1:2" x14ac:dyDescent="0.35">
      <c r="A243" t="s">
        <v>325</v>
      </c>
      <c r="B243" t="s">
        <v>1530</v>
      </c>
    </row>
    <row r="244" spans="1:2" x14ac:dyDescent="0.35">
      <c r="A244" t="s">
        <v>326</v>
      </c>
      <c r="B244" t="s">
        <v>1531</v>
      </c>
    </row>
    <row r="245" spans="1:2" x14ac:dyDescent="0.35">
      <c r="A245" t="s">
        <v>327</v>
      </c>
      <c r="B245" t="s">
        <v>1532</v>
      </c>
    </row>
    <row r="246" spans="1:2" x14ac:dyDescent="0.35">
      <c r="A246" t="s">
        <v>328</v>
      </c>
      <c r="B246" t="s">
        <v>741</v>
      </c>
    </row>
    <row r="247" spans="1:2" x14ac:dyDescent="0.35">
      <c r="A247" t="s">
        <v>329</v>
      </c>
      <c r="B247" t="s">
        <v>1533</v>
      </c>
    </row>
    <row r="248" spans="1:2" x14ac:dyDescent="0.35">
      <c r="A248" t="s">
        <v>330</v>
      </c>
      <c r="B248" t="s">
        <v>1534</v>
      </c>
    </row>
    <row r="249" spans="1:2" x14ac:dyDescent="0.35">
      <c r="A249" t="s">
        <v>331</v>
      </c>
      <c r="B249" t="s">
        <v>1535</v>
      </c>
    </row>
    <row r="250" spans="1:2" x14ac:dyDescent="0.35">
      <c r="A250" t="s">
        <v>332</v>
      </c>
      <c r="B250" t="s">
        <v>1536</v>
      </c>
    </row>
    <row r="251" spans="1:2" x14ac:dyDescent="0.35">
      <c r="A251" t="s">
        <v>333</v>
      </c>
      <c r="B251" t="s">
        <v>1537</v>
      </c>
    </row>
    <row r="252" spans="1:2" x14ac:dyDescent="0.35">
      <c r="A252" t="s">
        <v>334</v>
      </c>
      <c r="B252" t="s">
        <v>1538</v>
      </c>
    </row>
    <row r="253" spans="1:2" x14ac:dyDescent="0.35">
      <c r="A253" t="s">
        <v>335</v>
      </c>
      <c r="B253" t="s">
        <v>1539</v>
      </c>
    </row>
    <row r="254" spans="1:2" x14ac:dyDescent="0.35">
      <c r="A254" t="s">
        <v>336</v>
      </c>
      <c r="B254" t="s">
        <v>1540</v>
      </c>
    </row>
    <row r="255" spans="1:2" x14ac:dyDescent="0.35">
      <c r="A255" t="s">
        <v>337</v>
      </c>
      <c r="B255" t="s">
        <v>1541</v>
      </c>
    </row>
    <row r="256" spans="1:2" x14ac:dyDescent="0.35">
      <c r="A256" t="s">
        <v>67</v>
      </c>
      <c r="B256" t="s">
        <v>1542</v>
      </c>
    </row>
    <row r="257" spans="1:2" x14ac:dyDescent="0.35">
      <c r="A257" t="s">
        <v>338</v>
      </c>
      <c r="B257" t="s">
        <v>1543</v>
      </c>
    </row>
    <row r="258" spans="1:2" x14ac:dyDescent="0.35">
      <c r="A258" t="s">
        <v>339</v>
      </c>
      <c r="B258" t="s">
        <v>1544</v>
      </c>
    </row>
    <row r="259" spans="1:2" x14ac:dyDescent="0.35">
      <c r="A259" t="s">
        <v>340</v>
      </c>
      <c r="B259" t="s">
        <v>1545</v>
      </c>
    </row>
    <row r="260" spans="1:2" x14ac:dyDescent="0.35">
      <c r="A260" t="s">
        <v>341</v>
      </c>
      <c r="B260" t="s">
        <v>1546</v>
      </c>
    </row>
    <row r="261" spans="1:2" x14ac:dyDescent="0.35">
      <c r="A261" t="s">
        <v>342</v>
      </c>
      <c r="B261" t="s">
        <v>1547</v>
      </c>
    </row>
    <row r="262" spans="1:2" x14ac:dyDescent="0.35">
      <c r="A262" t="s">
        <v>343</v>
      </c>
      <c r="B262" t="s">
        <v>1548</v>
      </c>
    </row>
    <row r="263" spans="1:2" x14ac:dyDescent="0.35">
      <c r="A263" t="s">
        <v>344</v>
      </c>
      <c r="B263" t="s">
        <v>1549</v>
      </c>
    </row>
    <row r="264" spans="1:2" x14ac:dyDescent="0.35">
      <c r="A264" t="s">
        <v>345</v>
      </c>
      <c r="B264" t="s">
        <v>1550</v>
      </c>
    </row>
    <row r="265" spans="1:2" x14ac:dyDescent="0.35">
      <c r="A265" t="s">
        <v>346</v>
      </c>
      <c r="B265" t="s">
        <v>1551</v>
      </c>
    </row>
    <row r="266" spans="1:2" x14ac:dyDescent="0.35">
      <c r="A266" t="s">
        <v>347</v>
      </c>
      <c r="B266" t="s">
        <v>1552</v>
      </c>
    </row>
    <row r="267" spans="1:2" x14ac:dyDescent="0.35">
      <c r="A267" t="s">
        <v>348</v>
      </c>
      <c r="B267" t="s">
        <v>1553</v>
      </c>
    </row>
    <row r="268" spans="1:2" x14ac:dyDescent="0.35">
      <c r="A268" t="s">
        <v>349</v>
      </c>
      <c r="B268" t="s">
        <v>1554</v>
      </c>
    </row>
    <row r="269" spans="1:2" x14ac:dyDescent="0.35">
      <c r="A269" t="s">
        <v>350</v>
      </c>
      <c r="B269" t="s">
        <v>1555</v>
      </c>
    </row>
    <row r="270" spans="1:2" x14ac:dyDescent="0.35">
      <c r="A270" t="s">
        <v>351</v>
      </c>
      <c r="B270" t="s">
        <v>1556</v>
      </c>
    </row>
    <row r="271" spans="1:2" x14ac:dyDescent="0.35">
      <c r="A271" t="s">
        <v>352</v>
      </c>
      <c r="B271" t="s">
        <v>1557</v>
      </c>
    </row>
    <row r="272" spans="1:2" x14ac:dyDescent="0.35">
      <c r="A272" t="s">
        <v>353</v>
      </c>
      <c r="B272" t="s">
        <v>1558</v>
      </c>
    </row>
    <row r="273" spans="1:2" x14ac:dyDescent="0.35">
      <c r="A273" t="s">
        <v>354</v>
      </c>
      <c r="B273" t="s">
        <v>1559</v>
      </c>
    </row>
    <row r="274" spans="1:2" x14ac:dyDescent="0.35">
      <c r="A274" t="s">
        <v>355</v>
      </c>
      <c r="B274" t="s">
        <v>1560</v>
      </c>
    </row>
    <row r="275" spans="1:2" x14ac:dyDescent="0.35">
      <c r="A275" t="s">
        <v>356</v>
      </c>
      <c r="B275" t="s">
        <v>1561</v>
      </c>
    </row>
    <row r="276" spans="1:2" x14ac:dyDescent="0.35">
      <c r="A276" t="s">
        <v>357</v>
      </c>
      <c r="B276" t="s">
        <v>1562</v>
      </c>
    </row>
    <row r="277" spans="1:2" x14ac:dyDescent="0.35">
      <c r="A277" t="s">
        <v>358</v>
      </c>
      <c r="B277" t="s">
        <v>1563</v>
      </c>
    </row>
    <row r="278" spans="1:2" x14ac:dyDescent="0.35">
      <c r="A278" t="s">
        <v>72</v>
      </c>
      <c r="B278" t="s">
        <v>1564</v>
      </c>
    </row>
  </sheetData>
  <autoFilter ref="A1:C251" xr:uid="{9D00C7C7-AE54-48D7-9EE8-09A5BB52F82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51A31-D445-4DD1-B770-811AACB5D85C}">
  <sheetPr codeName="Sheet5"/>
  <dimension ref="A1:A217"/>
  <sheetViews>
    <sheetView workbookViewId="0">
      <selection activeCell="A18" sqref="A18"/>
    </sheetView>
  </sheetViews>
  <sheetFormatPr defaultRowHeight="14.5" x14ac:dyDescent="0.35"/>
  <cols>
    <col min="1" max="1" width="82.81640625" bestFit="1" customWidth="1"/>
  </cols>
  <sheetData>
    <row r="1" spans="1:1" x14ac:dyDescent="0.35">
      <c r="A1" t="s">
        <v>370</v>
      </c>
    </row>
    <row r="2" spans="1:1" x14ac:dyDescent="0.35">
      <c r="A2" t="s">
        <v>383</v>
      </c>
    </row>
    <row r="3" spans="1:1" x14ac:dyDescent="0.35">
      <c r="A3" t="s">
        <v>384</v>
      </c>
    </row>
    <row r="4" spans="1:1" x14ac:dyDescent="0.35">
      <c r="A4" t="s">
        <v>441</v>
      </c>
    </row>
    <row r="5" spans="1:1" x14ac:dyDescent="0.35">
      <c r="A5" t="s">
        <v>521</v>
      </c>
    </row>
    <row r="6" spans="1:1" x14ac:dyDescent="0.35">
      <c r="A6" t="s">
        <v>522</v>
      </c>
    </row>
    <row r="7" spans="1:1" x14ac:dyDescent="0.35">
      <c r="A7" t="s">
        <v>526</v>
      </c>
    </row>
    <row r="8" spans="1:1" x14ac:dyDescent="0.35">
      <c r="A8" t="s">
        <v>527</v>
      </c>
    </row>
    <row r="9" spans="1:1" x14ac:dyDescent="0.35">
      <c r="A9" t="s">
        <v>528</v>
      </c>
    </row>
    <row r="10" spans="1:1" x14ac:dyDescent="0.35">
      <c r="A10" t="s">
        <v>529</v>
      </c>
    </row>
    <row r="11" spans="1:1" x14ac:dyDescent="0.35">
      <c r="A11" t="s">
        <v>530</v>
      </c>
    </row>
    <row r="12" spans="1:1" x14ac:dyDescent="0.35">
      <c r="A12" t="s">
        <v>531</v>
      </c>
    </row>
    <row r="13" spans="1:1" x14ac:dyDescent="0.35">
      <c r="A13" t="s">
        <v>532</v>
      </c>
    </row>
    <row r="14" spans="1:1" x14ac:dyDescent="0.35">
      <c r="A14" s="36" t="s">
        <v>533</v>
      </c>
    </row>
    <row r="15" spans="1:1" x14ac:dyDescent="0.35">
      <c r="A15" t="s">
        <v>534</v>
      </c>
    </row>
    <row r="16" spans="1:1" x14ac:dyDescent="0.35">
      <c r="A16" s="36" t="s">
        <v>535</v>
      </c>
    </row>
    <row r="17" spans="1:1" x14ac:dyDescent="0.35">
      <c r="A17" t="s">
        <v>536</v>
      </c>
    </row>
    <row r="18" spans="1:1" x14ac:dyDescent="0.35">
      <c r="A18" t="s">
        <v>537</v>
      </c>
    </row>
    <row r="19" spans="1:1" x14ac:dyDescent="0.35">
      <c r="A19" t="s">
        <v>538</v>
      </c>
    </row>
    <row r="20" spans="1:1" x14ac:dyDescent="0.35">
      <c r="A20" t="s">
        <v>540</v>
      </c>
    </row>
    <row r="21" spans="1:1" x14ac:dyDescent="0.35">
      <c r="A21" t="s">
        <v>541</v>
      </c>
    </row>
    <row r="22" spans="1:1" x14ac:dyDescent="0.35">
      <c r="A22" t="s">
        <v>542</v>
      </c>
    </row>
    <row r="23" spans="1:1" x14ac:dyDescent="0.35">
      <c r="A23" t="s">
        <v>543</v>
      </c>
    </row>
    <row r="24" spans="1:1" x14ac:dyDescent="0.35">
      <c r="A24" t="s">
        <v>544</v>
      </c>
    </row>
    <row r="25" spans="1:1" x14ac:dyDescent="0.35">
      <c r="A25" t="s">
        <v>545</v>
      </c>
    </row>
    <row r="26" spans="1:1" x14ac:dyDescent="0.35">
      <c r="A26" t="s">
        <v>546</v>
      </c>
    </row>
    <row r="27" spans="1:1" x14ac:dyDescent="0.35">
      <c r="A27" t="s">
        <v>547</v>
      </c>
    </row>
    <row r="28" spans="1:1" x14ac:dyDescent="0.35">
      <c r="A28" t="s">
        <v>548</v>
      </c>
    </row>
    <row r="29" spans="1:1" x14ac:dyDescent="0.35">
      <c r="A29" t="s">
        <v>549</v>
      </c>
    </row>
    <row r="30" spans="1:1" x14ac:dyDescent="0.35">
      <c r="A30" t="s">
        <v>550</v>
      </c>
    </row>
    <row r="31" spans="1:1" x14ac:dyDescent="0.35">
      <c r="A31" t="s">
        <v>551</v>
      </c>
    </row>
    <row r="32" spans="1:1" x14ac:dyDescent="0.35">
      <c r="A32" t="s">
        <v>552</v>
      </c>
    </row>
    <row r="33" spans="1:1" x14ac:dyDescent="0.35">
      <c r="A33" s="37" t="s">
        <v>553</v>
      </c>
    </row>
    <row r="34" spans="1:1" x14ac:dyDescent="0.35">
      <c r="A34" s="36" t="s">
        <v>554</v>
      </c>
    </row>
    <row r="35" spans="1:1" x14ac:dyDescent="0.35">
      <c r="A35" t="s">
        <v>555</v>
      </c>
    </row>
    <row r="36" spans="1:1" x14ac:dyDescent="0.35">
      <c r="A36" t="s">
        <v>556</v>
      </c>
    </row>
    <row r="37" spans="1:1" x14ac:dyDescent="0.35">
      <c r="A37" t="s">
        <v>557</v>
      </c>
    </row>
    <row r="38" spans="1:1" x14ac:dyDescent="0.35">
      <c r="A38" t="s">
        <v>558</v>
      </c>
    </row>
    <row r="39" spans="1:1" x14ac:dyDescent="0.35">
      <c r="A39" t="s">
        <v>559</v>
      </c>
    </row>
    <row r="40" spans="1:1" x14ac:dyDescent="0.35">
      <c r="A40" t="s">
        <v>560</v>
      </c>
    </row>
    <row r="41" spans="1:1" x14ac:dyDescent="0.35">
      <c r="A41" t="s">
        <v>561</v>
      </c>
    </row>
    <row r="42" spans="1:1" x14ac:dyDescent="0.35">
      <c r="A42" t="s">
        <v>562</v>
      </c>
    </row>
    <row r="43" spans="1:1" x14ac:dyDescent="0.35">
      <c r="A43" t="s">
        <v>563</v>
      </c>
    </row>
    <row r="44" spans="1:1" x14ac:dyDescent="0.35">
      <c r="A44" t="s">
        <v>564</v>
      </c>
    </row>
    <row r="45" spans="1:1" x14ac:dyDescent="0.35">
      <c r="A45" t="s">
        <v>565</v>
      </c>
    </row>
    <row r="46" spans="1:1" x14ac:dyDescent="0.35">
      <c r="A46" t="s">
        <v>566</v>
      </c>
    </row>
    <row r="47" spans="1:1" x14ac:dyDescent="0.35">
      <c r="A47" t="s">
        <v>567</v>
      </c>
    </row>
    <row r="48" spans="1:1" x14ac:dyDescent="0.35">
      <c r="A48" t="s">
        <v>568</v>
      </c>
    </row>
    <row r="49" spans="1:1" x14ac:dyDescent="0.35">
      <c r="A49" t="s">
        <v>569</v>
      </c>
    </row>
    <row r="50" spans="1:1" x14ac:dyDescent="0.35">
      <c r="A50" t="s">
        <v>571</v>
      </c>
    </row>
    <row r="51" spans="1:1" x14ac:dyDescent="0.35">
      <c r="A51" t="s">
        <v>570</v>
      </c>
    </row>
    <row r="52" spans="1:1" x14ac:dyDescent="0.35">
      <c r="A52" t="s">
        <v>572</v>
      </c>
    </row>
    <row r="53" spans="1:1" x14ac:dyDescent="0.35">
      <c r="A53" t="s">
        <v>573</v>
      </c>
    </row>
    <row r="54" spans="1:1" x14ac:dyDescent="0.35">
      <c r="A54" t="s">
        <v>574</v>
      </c>
    </row>
    <row r="55" spans="1:1" x14ac:dyDescent="0.35">
      <c r="A55" t="s">
        <v>575</v>
      </c>
    </row>
    <row r="56" spans="1:1" x14ac:dyDescent="0.35">
      <c r="A56" t="s">
        <v>576</v>
      </c>
    </row>
    <row r="57" spans="1:1" x14ac:dyDescent="0.35">
      <c r="A57" t="s">
        <v>577</v>
      </c>
    </row>
    <row r="58" spans="1:1" x14ac:dyDescent="0.35">
      <c r="A58" t="s">
        <v>578</v>
      </c>
    </row>
    <row r="59" spans="1:1" x14ac:dyDescent="0.35">
      <c r="A59" t="s">
        <v>579</v>
      </c>
    </row>
    <row r="60" spans="1:1" x14ac:dyDescent="0.35">
      <c r="A60" t="s">
        <v>580</v>
      </c>
    </row>
    <row r="61" spans="1:1" x14ac:dyDescent="0.35">
      <c r="A61" t="s">
        <v>581</v>
      </c>
    </row>
    <row r="62" spans="1:1" x14ac:dyDescent="0.35">
      <c r="A62" t="s">
        <v>582</v>
      </c>
    </row>
    <row r="63" spans="1:1" x14ac:dyDescent="0.35">
      <c r="A63" t="s">
        <v>583</v>
      </c>
    </row>
    <row r="64" spans="1:1" x14ac:dyDescent="0.35">
      <c r="A64" t="s">
        <v>584</v>
      </c>
    </row>
    <row r="65" spans="1:1" x14ac:dyDescent="0.35">
      <c r="A65" t="s">
        <v>585</v>
      </c>
    </row>
    <row r="66" spans="1:1" x14ac:dyDescent="0.35">
      <c r="A66" t="s">
        <v>586</v>
      </c>
    </row>
    <row r="67" spans="1:1" x14ac:dyDescent="0.35">
      <c r="A67" t="s">
        <v>587</v>
      </c>
    </row>
    <row r="68" spans="1:1" x14ac:dyDescent="0.35">
      <c r="A68" t="s">
        <v>588</v>
      </c>
    </row>
    <row r="69" spans="1:1" x14ac:dyDescent="0.35">
      <c r="A69" t="s">
        <v>589</v>
      </c>
    </row>
    <row r="70" spans="1:1" x14ac:dyDescent="0.35">
      <c r="A70" t="s">
        <v>590</v>
      </c>
    </row>
    <row r="71" spans="1:1" x14ac:dyDescent="0.35">
      <c r="A71" t="s">
        <v>591</v>
      </c>
    </row>
    <row r="72" spans="1:1" x14ac:dyDescent="0.35">
      <c r="A72" t="s">
        <v>592</v>
      </c>
    </row>
    <row r="73" spans="1:1" x14ac:dyDescent="0.35">
      <c r="A73" t="s">
        <v>593</v>
      </c>
    </row>
    <row r="74" spans="1:1" x14ac:dyDescent="0.35">
      <c r="A74" t="s">
        <v>594</v>
      </c>
    </row>
    <row r="75" spans="1:1" x14ac:dyDescent="0.35">
      <c r="A75" t="s">
        <v>595</v>
      </c>
    </row>
    <row r="76" spans="1:1" x14ac:dyDescent="0.35">
      <c r="A76" t="s">
        <v>596</v>
      </c>
    </row>
    <row r="77" spans="1:1" x14ac:dyDescent="0.35">
      <c r="A77" t="s">
        <v>597</v>
      </c>
    </row>
    <row r="78" spans="1:1" x14ac:dyDescent="0.35">
      <c r="A78" t="s">
        <v>598</v>
      </c>
    </row>
    <row r="79" spans="1:1" x14ac:dyDescent="0.35">
      <c r="A79" t="s">
        <v>600</v>
      </c>
    </row>
    <row r="80" spans="1:1" x14ac:dyDescent="0.35">
      <c r="A80" t="s">
        <v>601</v>
      </c>
    </row>
    <row r="81" spans="1:1" x14ac:dyDescent="0.35">
      <c r="A81" t="s">
        <v>602</v>
      </c>
    </row>
    <row r="82" spans="1:1" x14ac:dyDescent="0.35">
      <c r="A82" t="s">
        <v>603</v>
      </c>
    </row>
    <row r="83" spans="1:1" x14ac:dyDescent="0.35">
      <c r="A83" t="s">
        <v>604</v>
      </c>
    </row>
    <row r="84" spans="1:1" x14ac:dyDescent="0.35">
      <c r="A84" t="s">
        <v>605</v>
      </c>
    </row>
    <row r="85" spans="1:1" x14ac:dyDescent="0.35">
      <c r="A85" t="s">
        <v>606</v>
      </c>
    </row>
    <row r="86" spans="1:1" x14ac:dyDescent="0.35">
      <c r="A86" t="s">
        <v>607</v>
      </c>
    </row>
    <row r="87" spans="1:1" x14ac:dyDescent="0.35">
      <c r="A87" t="s">
        <v>608</v>
      </c>
    </row>
    <row r="88" spans="1:1" x14ac:dyDescent="0.35">
      <c r="A88" t="s">
        <v>609</v>
      </c>
    </row>
    <row r="89" spans="1:1" x14ac:dyDescent="0.35">
      <c r="A89" t="s">
        <v>610</v>
      </c>
    </row>
    <row r="90" spans="1:1" x14ac:dyDescent="0.35">
      <c r="A90" t="s">
        <v>611</v>
      </c>
    </row>
    <row r="91" spans="1:1" x14ac:dyDescent="0.35">
      <c r="A91" t="s">
        <v>612</v>
      </c>
    </row>
    <row r="92" spans="1:1" x14ac:dyDescent="0.35">
      <c r="A92" t="s">
        <v>613</v>
      </c>
    </row>
    <row r="93" spans="1:1" x14ac:dyDescent="0.35">
      <c r="A93" t="s">
        <v>614</v>
      </c>
    </row>
    <row r="94" spans="1:1" x14ac:dyDescent="0.35">
      <c r="A94" t="s">
        <v>615</v>
      </c>
    </row>
    <row r="95" spans="1:1" x14ac:dyDescent="0.35">
      <c r="A95" t="s">
        <v>616</v>
      </c>
    </row>
    <row r="96" spans="1:1" x14ac:dyDescent="0.35">
      <c r="A96" t="s">
        <v>617</v>
      </c>
    </row>
    <row r="97" spans="1:1" x14ac:dyDescent="0.35">
      <c r="A97" t="s">
        <v>618</v>
      </c>
    </row>
    <row r="98" spans="1:1" x14ac:dyDescent="0.35">
      <c r="A98" t="s">
        <v>619</v>
      </c>
    </row>
    <row r="99" spans="1:1" x14ac:dyDescent="0.35">
      <c r="A99" t="s">
        <v>620</v>
      </c>
    </row>
    <row r="100" spans="1:1" x14ac:dyDescent="0.35">
      <c r="A100" t="s">
        <v>621</v>
      </c>
    </row>
    <row r="101" spans="1:1" x14ac:dyDescent="0.35">
      <c r="A101" t="s">
        <v>622</v>
      </c>
    </row>
    <row r="102" spans="1:1" x14ac:dyDescent="0.35">
      <c r="A102" t="s">
        <v>623</v>
      </c>
    </row>
    <row r="103" spans="1:1" x14ac:dyDescent="0.35">
      <c r="A103" t="s">
        <v>624</v>
      </c>
    </row>
    <row r="104" spans="1:1" x14ac:dyDescent="0.35">
      <c r="A104" t="s">
        <v>625</v>
      </c>
    </row>
    <row r="105" spans="1:1" x14ac:dyDescent="0.35">
      <c r="A105" t="s">
        <v>626</v>
      </c>
    </row>
    <row r="106" spans="1:1" x14ac:dyDescent="0.35">
      <c r="A106" t="s">
        <v>627</v>
      </c>
    </row>
    <row r="107" spans="1:1" x14ac:dyDescent="0.35">
      <c r="A107" t="s">
        <v>628</v>
      </c>
    </row>
    <row r="108" spans="1:1" x14ac:dyDescent="0.35">
      <c r="A108" t="s">
        <v>629</v>
      </c>
    </row>
    <row r="109" spans="1:1" x14ac:dyDescent="0.35">
      <c r="A109" t="s">
        <v>630</v>
      </c>
    </row>
    <row r="110" spans="1:1" x14ac:dyDescent="0.35">
      <c r="A110" t="s">
        <v>631</v>
      </c>
    </row>
    <row r="111" spans="1:1" x14ac:dyDescent="0.35">
      <c r="A111" t="s">
        <v>633</v>
      </c>
    </row>
    <row r="112" spans="1:1" x14ac:dyDescent="0.35">
      <c r="A112" t="s">
        <v>634</v>
      </c>
    </row>
    <row r="113" spans="1:1" x14ac:dyDescent="0.35">
      <c r="A113" t="s">
        <v>635</v>
      </c>
    </row>
    <row r="114" spans="1:1" x14ac:dyDescent="0.35">
      <c r="A114" s="38" t="s">
        <v>636</v>
      </c>
    </row>
    <row r="115" spans="1:1" x14ac:dyDescent="0.35">
      <c r="A115" t="s">
        <v>637</v>
      </c>
    </row>
    <row r="116" spans="1:1" x14ac:dyDescent="0.35">
      <c r="A116" t="s">
        <v>638</v>
      </c>
    </row>
    <row r="117" spans="1:1" x14ac:dyDescent="0.35">
      <c r="A117" s="39" t="s">
        <v>639</v>
      </c>
    </row>
    <row r="118" spans="1:1" x14ac:dyDescent="0.35">
      <c r="A118" t="s">
        <v>640</v>
      </c>
    </row>
    <row r="119" spans="1:1" x14ac:dyDescent="0.35">
      <c r="A119" t="s">
        <v>641</v>
      </c>
    </row>
    <row r="120" spans="1:1" x14ac:dyDescent="0.35">
      <c r="A120" t="s">
        <v>642</v>
      </c>
    </row>
    <row r="121" spans="1:1" x14ac:dyDescent="0.35">
      <c r="A121" t="s">
        <v>643</v>
      </c>
    </row>
    <row r="122" spans="1:1" x14ac:dyDescent="0.35">
      <c r="A122" t="s">
        <v>644</v>
      </c>
    </row>
    <row r="123" spans="1:1" x14ac:dyDescent="0.35">
      <c r="A123" t="s">
        <v>645</v>
      </c>
    </row>
    <row r="124" spans="1:1" x14ac:dyDescent="0.35">
      <c r="A124" t="s">
        <v>646</v>
      </c>
    </row>
    <row r="125" spans="1:1" x14ac:dyDescent="0.35">
      <c r="A125" t="s">
        <v>647</v>
      </c>
    </row>
    <row r="126" spans="1:1" x14ac:dyDescent="0.35">
      <c r="A126" t="s">
        <v>648</v>
      </c>
    </row>
    <row r="127" spans="1:1" x14ac:dyDescent="0.35">
      <c r="A127" t="s">
        <v>649</v>
      </c>
    </row>
    <row r="128" spans="1:1" x14ac:dyDescent="0.35">
      <c r="A128" t="s">
        <v>650</v>
      </c>
    </row>
    <row r="129" spans="1:1" x14ac:dyDescent="0.35">
      <c r="A129" t="s">
        <v>651</v>
      </c>
    </row>
    <row r="130" spans="1:1" x14ac:dyDescent="0.35">
      <c r="A130" t="s">
        <v>652</v>
      </c>
    </row>
    <row r="131" spans="1:1" x14ac:dyDescent="0.35">
      <c r="A131" t="s">
        <v>653</v>
      </c>
    </row>
    <row r="132" spans="1:1" x14ac:dyDescent="0.35">
      <c r="A132" t="s">
        <v>654</v>
      </c>
    </row>
    <row r="133" spans="1:1" x14ac:dyDescent="0.35">
      <c r="A133" t="s">
        <v>655</v>
      </c>
    </row>
    <row r="134" spans="1:1" x14ac:dyDescent="0.35">
      <c r="A134" t="s">
        <v>656</v>
      </c>
    </row>
    <row r="135" spans="1:1" x14ac:dyDescent="0.35">
      <c r="A135" t="s">
        <v>657</v>
      </c>
    </row>
    <row r="136" spans="1:1" x14ac:dyDescent="0.35">
      <c r="A136" t="s">
        <v>658</v>
      </c>
    </row>
    <row r="137" spans="1:1" x14ac:dyDescent="0.35">
      <c r="A137" s="40" t="s">
        <v>659</v>
      </c>
    </row>
    <row r="138" spans="1:1" x14ac:dyDescent="0.35">
      <c r="A138" s="41" t="s">
        <v>660</v>
      </c>
    </row>
    <row r="139" spans="1:1" x14ac:dyDescent="0.35">
      <c r="A139" s="41" t="s">
        <v>661</v>
      </c>
    </row>
    <row r="140" spans="1:1" x14ac:dyDescent="0.35">
      <c r="A140" s="41" t="s">
        <v>662</v>
      </c>
    </row>
    <row r="141" spans="1:1" x14ac:dyDescent="0.35">
      <c r="A141" t="s">
        <v>663</v>
      </c>
    </row>
    <row r="142" spans="1:1" x14ac:dyDescent="0.35">
      <c r="A142" t="s">
        <v>664</v>
      </c>
    </row>
    <row r="143" spans="1:1" x14ac:dyDescent="0.35">
      <c r="A143" t="s">
        <v>665</v>
      </c>
    </row>
    <row r="144" spans="1:1" x14ac:dyDescent="0.35">
      <c r="A144" t="s">
        <v>666</v>
      </c>
    </row>
    <row r="145" spans="1:1" x14ac:dyDescent="0.35">
      <c r="A145" t="s">
        <v>667</v>
      </c>
    </row>
    <row r="146" spans="1:1" x14ac:dyDescent="0.35">
      <c r="A146" t="s">
        <v>668</v>
      </c>
    </row>
    <row r="147" spans="1:1" x14ac:dyDescent="0.35">
      <c r="A147" s="38" t="s">
        <v>669</v>
      </c>
    </row>
    <row r="148" spans="1:1" x14ac:dyDescent="0.35">
      <c r="A148" t="s">
        <v>670</v>
      </c>
    </row>
    <row r="149" spans="1:1" x14ac:dyDescent="0.35">
      <c r="A149" t="s">
        <v>671</v>
      </c>
    </row>
    <row r="150" spans="1:1" x14ac:dyDescent="0.35">
      <c r="A150" t="s">
        <v>672</v>
      </c>
    </row>
    <row r="151" spans="1:1" x14ac:dyDescent="0.35">
      <c r="A151" t="s">
        <v>673</v>
      </c>
    </row>
    <row r="152" spans="1:1" x14ac:dyDescent="0.35">
      <c r="A152" t="s">
        <v>674</v>
      </c>
    </row>
    <row r="153" spans="1:1" x14ac:dyDescent="0.35">
      <c r="A153" t="s">
        <v>675</v>
      </c>
    </row>
    <row r="154" spans="1:1" x14ac:dyDescent="0.35">
      <c r="A154" t="s">
        <v>676</v>
      </c>
    </row>
    <row r="155" spans="1:1" x14ac:dyDescent="0.35">
      <c r="A155" t="s">
        <v>677</v>
      </c>
    </row>
    <row r="156" spans="1:1" x14ac:dyDescent="0.35">
      <c r="A156" t="s">
        <v>678</v>
      </c>
    </row>
    <row r="157" spans="1:1" x14ac:dyDescent="0.35">
      <c r="A157" s="38" t="s">
        <v>679</v>
      </c>
    </row>
    <row r="158" spans="1:1" x14ac:dyDescent="0.35">
      <c r="A158" t="s">
        <v>680</v>
      </c>
    </row>
    <row r="159" spans="1:1" x14ac:dyDescent="0.35">
      <c r="A159" t="s">
        <v>681</v>
      </c>
    </row>
    <row r="160" spans="1:1" x14ac:dyDescent="0.35">
      <c r="A160" t="s">
        <v>682</v>
      </c>
    </row>
    <row r="161" spans="1:1" x14ac:dyDescent="0.35">
      <c r="A161" t="s">
        <v>683</v>
      </c>
    </row>
    <row r="162" spans="1:1" x14ac:dyDescent="0.35">
      <c r="A162" t="s">
        <v>684</v>
      </c>
    </row>
    <row r="163" spans="1:1" x14ac:dyDescent="0.35">
      <c r="A163" t="s">
        <v>685</v>
      </c>
    </row>
    <row r="164" spans="1:1" x14ac:dyDescent="0.35">
      <c r="A164" t="s">
        <v>686</v>
      </c>
    </row>
    <row r="165" spans="1:1" x14ac:dyDescent="0.35">
      <c r="A165" t="s">
        <v>687</v>
      </c>
    </row>
    <row r="166" spans="1:1" x14ac:dyDescent="0.35">
      <c r="A166" t="s">
        <v>688</v>
      </c>
    </row>
    <row r="167" spans="1:1" x14ac:dyDescent="0.35">
      <c r="A167" t="s">
        <v>689</v>
      </c>
    </row>
    <row r="168" spans="1:1" x14ac:dyDescent="0.35">
      <c r="A168" t="s">
        <v>690</v>
      </c>
    </row>
    <row r="169" spans="1:1" x14ac:dyDescent="0.35">
      <c r="A169" t="s">
        <v>691</v>
      </c>
    </row>
    <row r="170" spans="1:1" x14ac:dyDescent="0.35">
      <c r="A170" s="38" t="s">
        <v>692</v>
      </c>
    </row>
    <row r="171" spans="1:1" x14ac:dyDescent="0.35">
      <c r="A171" s="36" t="s">
        <v>693</v>
      </c>
    </row>
    <row r="172" spans="1:1" x14ac:dyDescent="0.35">
      <c r="A172" t="s">
        <v>694</v>
      </c>
    </row>
    <row r="173" spans="1:1" x14ac:dyDescent="0.35">
      <c r="A173" t="s">
        <v>695</v>
      </c>
    </row>
    <row r="174" spans="1:1" x14ac:dyDescent="0.35">
      <c r="A174" t="s">
        <v>696</v>
      </c>
    </row>
    <row r="175" spans="1:1" x14ac:dyDescent="0.35">
      <c r="A175" t="s">
        <v>697</v>
      </c>
    </row>
    <row r="176" spans="1:1" x14ac:dyDescent="0.35">
      <c r="A176" t="s">
        <v>698</v>
      </c>
    </row>
    <row r="177" spans="1:1" x14ac:dyDescent="0.35">
      <c r="A177" t="s">
        <v>699</v>
      </c>
    </row>
    <row r="178" spans="1:1" x14ac:dyDescent="0.35">
      <c r="A178" t="s">
        <v>700</v>
      </c>
    </row>
    <row r="179" spans="1:1" x14ac:dyDescent="0.35">
      <c r="A179" t="s">
        <v>701</v>
      </c>
    </row>
    <row r="180" spans="1:1" x14ac:dyDescent="0.35">
      <c r="A180" s="36" t="s">
        <v>702</v>
      </c>
    </row>
    <row r="181" spans="1:1" x14ac:dyDescent="0.35">
      <c r="A181" t="s">
        <v>703</v>
      </c>
    </row>
    <row r="182" spans="1:1" x14ac:dyDescent="0.35">
      <c r="A182" t="s">
        <v>704</v>
      </c>
    </row>
    <row r="183" spans="1:1" x14ac:dyDescent="0.35">
      <c r="A183" t="s">
        <v>705</v>
      </c>
    </row>
    <row r="184" spans="1:1" x14ac:dyDescent="0.35">
      <c r="A184" t="s">
        <v>1565</v>
      </c>
    </row>
    <row r="185" spans="1:1" x14ac:dyDescent="0.35">
      <c r="A185" s="36" t="s">
        <v>1566</v>
      </c>
    </row>
    <row r="186" spans="1:1" x14ac:dyDescent="0.35">
      <c r="A186" t="s">
        <v>708</v>
      </c>
    </row>
    <row r="187" spans="1:1" x14ac:dyDescent="0.35">
      <c r="A187" t="s">
        <v>709</v>
      </c>
    </row>
    <row r="188" spans="1:1" x14ac:dyDescent="0.35">
      <c r="A188" s="36" t="s">
        <v>711</v>
      </c>
    </row>
    <row r="189" spans="1:1" x14ac:dyDescent="0.35">
      <c r="A189" t="s">
        <v>712</v>
      </c>
    </row>
    <row r="190" spans="1:1" x14ac:dyDescent="0.35">
      <c r="A190" t="s">
        <v>710</v>
      </c>
    </row>
    <row r="191" spans="1:1" x14ac:dyDescent="0.35">
      <c r="A191" s="36" t="s">
        <v>713</v>
      </c>
    </row>
    <row r="192" spans="1:1" x14ac:dyDescent="0.35">
      <c r="A192" s="36" t="s">
        <v>714</v>
      </c>
    </row>
    <row r="193" spans="1:1" x14ac:dyDescent="0.35">
      <c r="A193" s="36" t="s">
        <v>715</v>
      </c>
    </row>
    <row r="194" spans="1:1" x14ac:dyDescent="0.35">
      <c r="A194" s="38" t="s">
        <v>717</v>
      </c>
    </row>
    <row r="195" spans="1:1" x14ac:dyDescent="0.35">
      <c r="A195" t="s">
        <v>716</v>
      </c>
    </row>
    <row r="196" spans="1:1" x14ac:dyDescent="0.35">
      <c r="A196" s="37" t="s">
        <v>718</v>
      </c>
    </row>
    <row r="197" spans="1:1" x14ac:dyDescent="0.35">
      <c r="A197" t="s">
        <v>719</v>
      </c>
    </row>
    <row r="198" spans="1:1" x14ac:dyDescent="0.35">
      <c r="A198" t="s">
        <v>720</v>
      </c>
    </row>
    <row r="199" spans="1:1" x14ac:dyDescent="0.35">
      <c r="A199" t="s">
        <v>721</v>
      </c>
    </row>
    <row r="200" spans="1:1" x14ac:dyDescent="0.35">
      <c r="A200" t="s">
        <v>722</v>
      </c>
    </row>
    <row r="201" spans="1:1" x14ac:dyDescent="0.35">
      <c r="A201" s="36" t="s">
        <v>723</v>
      </c>
    </row>
    <row r="202" spans="1:1" x14ac:dyDescent="0.35">
      <c r="A202" t="s">
        <v>724</v>
      </c>
    </row>
    <row r="203" spans="1:1" x14ac:dyDescent="0.35">
      <c r="A203" s="36" t="s">
        <v>725</v>
      </c>
    </row>
    <row r="204" spans="1:1" x14ac:dyDescent="0.35">
      <c r="A204" s="42" t="s">
        <v>726</v>
      </c>
    </row>
    <row r="205" spans="1:1" x14ac:dyDescent="0.35">
      <c r="A205" t="s">
        <v>727</v>
      </c>
    </row>
    <row r="206" spans="1:1" x14ac:dyDescent="0.35">
      <c r="A206" t="s">
        <v>729</v>
      </c>
    </row>
    <row r="207" spans="1:1" x14ac:dyDescent="0.35">
      <c r="A207" t="s">
        <v>730</v>
      </c>
    </row>
    <row r="208" spans="1:1" x14ac:dyDescent="0.35">
      <c r="A208" t="s">
        <v>731</v>
      </c>
    </row>
    <row r="209" spans="1:1" x14ac:dyDescent="0.35">
      <c r="A209" t="s">
        <v>732</v>
      </c>
    </row>
    <row r="210" spans="1:1" x14ac:dyDescent="0.35">
      <c r="A210" s="43" t="s">
        <v>733</v>
      </c>
    </row>
    <row r="211" spans="1:1" x14ac:dyDescent="0.35">
      <c r="A211" t="s">
        <v>734</v>
      </c>
    </row>
    <row r="212" spans="1:1" x14ac:dyDescent="0.35">
      <c r="A212" t="s">
        <v>735</v>
      </c>
    </row>
    <row r="213" spans="1:1" x14ac:dyDescent="0.35">
      <c r="A213" t="s">
        <v>736</v>
      </c>
    </row>
    <row r="214" spans="1:1" x14ac:dyDescent="0.35">
      <c r="A214" t="s">
        <v>737</v>
      </c>
    </row>
    <row r="215" spans="1:1" x14ac:dyDescent="0.35">
      <c r="A215" t="s">
        <v>739</v>
      </c>
    </row>
    <row r="216" spans="1:1" x14ac:dyDescent="0.35">
      <c r="A216" t="s">
        <v>740</v>
      </c>
    </row>
    <row r="217" spans="1:1" x14ac:dyDescent="0.35">
      <c r="A217" t="s">
        <v>741</v>
      </c>
    </row>
  </sheetData>
  <conditionalFormatting sqref="A201 A152:A179 A24:A29 A31:A50 A52:A55 A57:A74 A76:A92 A94:A112 A114:A143 A145:A150 A181:A184 A188:A193 A195:A198 A1:A8 A10:A11 A13:A22 A203:A209 A186">
    <cfRule type="duplicateValues" dxfId="4" priority="5" stopIfTrue="1"/>
  </conditionalFormatting>
  <conditionalFormatting sqref="A75">
    <cfRule type="duplicateValues" dxfId="3" priority="4" stopIfTrue="1"/>
  </conditionalFormatting>
  <conditionalFormatting sqref="A201 A24:A29 A31:A50 A52:A55 A57:A92 A94:A112 A114:A143 A145:A179 A181:A184 A188:A193 A195:A198 A1:A8 A10:A11 A13:A22 A203:A209 A186">
    <cfRule type="duplicateValues" dxfId="2" priority="3" stopIfTrue="1"/>
  </conditionalFormatting>
  <conditionalFormatting sqref="A199">
    <cfRule type="duplicateValues" dxfId="1" priority="2" stopIfTrue="1"/>
  </conditionalFormatting>
  <conditionalFormatting sqref="A199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A817BFECE8340A3126A1608EE727F" ma:contentTypeVersion="13" ma:contentTypeDescription="Create a new document." ma:contentTypeScope="" ma:versionID="395150637ef8d0685c22b004940cc696">
  <xsd:schema xmlns:xsd="http://www.w3.org/2001/XMLSchema" xmlns:xs="http://www.w3.org/2001/XMLSchema" xmlns:p="http://schemas.microsoft.com/office/2006/metadata/properties" xmlns:ns3="8de765f7-c1cb-4ec5-b6f1-2578d5a13cf6" xmlns:ns4="f3c98a9e-30d9-49dc-9c49-3e64318695a9" targetNamespace="http://schemas.microsoft.com/office/2006/metadata/properties" ma:root="true" ma:fieldsID="408aa2f9fb16de0c50b4f232c6ccdba4" ns3:_="" ns4:_="">
    <xsd:import namespace="8de765f7-c1cb-4ec5-b6f1-2578d5a13cf6"/>
    <xsd:import namespace="f3c98a9e-30d9-49dc-9c49-3e64318695a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e765f7-c1cb-4ec5-b6f1-2578d5a13cf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c98a9e-30d9-49dc-9c49-3e64318695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6E4734-1324-4667-94EF-8F63A966630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C82F595-5EFC-4CF2-9DB6-D7DE31CB82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e765f7-c1cb-4ec5-b6f1-2578d5a13cf6"/>
    <ds:schemaRef ds:uri="f3c98a9e-30d9-49dc-9c49-3e64318695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66FB191-2094-44E5-810A-B719300211D7}">
  <ds:schemaRefs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schemas.microsoft.com/office/infopath/2007/PartnerControls"/>
    <ds:schemaRef ds:uri="f3c98a9e-30d9-49dc-9c49-3e64318695a9"/>
    <ds:schemaRef ds:uri="8de765f7-c1cb-4ec5-b6f1-2578d5a13cf6"/>
  </ds:schemaRefs>
</ds:datastoreItem>
</file>

<file path=customXml/itemProps4.xml><?xml version="1.0" encoding="utf-8"?>
<ds:datastoreItem xmlns:ds="http://schemas.openxmlformats.org/officeDocument/2006/customXml" ds:itemID="{D5370020-571C-4A19-998D-ACE1B3E3C6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 Sheet</vt:lpstr>
      <vt:lpstr>MPDT Element of Asset</vt:lpstr>
      <vt:lpstr>att_matrix</vt:lpstr>
      <vt:lpstr>assets</vt:lpstr>
      <vt:lpstr>V19</vt:lpstr>
    </vt:vector>
  </TitlesOfParts>
  <Manager/>
  <Company>EIFFAGE KIER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West Street Overbridge Pier</dc:title>
  <dc:subject/>
  <dc:creator>Trevor.Rhodes@arcadis.com</dc:creator>
  <cp:keywords/>
  <dc:description/>
  <cp:lastModifiedBy>Seethappan, Nirmala</cp:lastModifiedBy>
  <cp:revision/>
  <dcterms:created xsi:type="dcterms:W3CDTF">2020-04-27T06:58:39Z</dcterms:created>
  <dcterms:modified xsi:type="dcterms:W3CDTF">2026-05-30T16:46:28Z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0x0101009F6A817BFECE8340A3126A1608EE727F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> </vt:lpwstr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PWRevision">
    <vt:lpwstr>V19</vt:lpwstr>
  </property>
  <property fmtid="{D5CDD505-2E9C-101B-9397-08002B2CF9AE}" pid="38" name="PWTitle">
    <vt:lpwstr> </vt:lpwstr>
  </property>
  <property fmtid="{D5CDD505-2E9C-101B-9397-08002B2CF9AE}" pid="39" name="PWTitleL2">
    <vt:lpwstr> </vt:lpwstr>
  </property>
  <property fmtid="{D5CDD505-2E9C-101B-9397-08002B2CF9AE}" pid="40" name="PWTitleL3">
    <vt:lpwstr/>
  </property>
  <property fmtid="{D5CDD505-2E9C-101B-9397-08002B2CF9AE}" pid="41" name="PWTitleL4">
    <vt:lpwstr/>
  </property>
  <property fmtid="{D5CDD505-2E9C-101B-9397-08002B2CF9AE}" pid="42" name="Drawn 01">
    <vt:lpwstr/>
  </property>
  <property fmtid="{D5CDD505-2E9C-101B-9397-08002B2CF9AE}" pid="43" name="Drawn 02">
    <vt:lpwstr/>
  </property>
  <property fmtid="{D5CDD505-2E9C-101B-9397-08002B2CF9AE}" pid="44" name="Drawn 03">
    <vt:lpwstr/>
  </property>
  <property fmtid="{D5CDD505-2E9C-101B-9397-08002B2CF9AE}" pid="45" name="Drawn 04">
    <vt:lpwstr/>
  </property>
  <property fmtid="{D5CDD505-2E9C-101B-9397-08002B2CF9AE}" pid="46" name="Drawn 05">
    <vt:lpwstr/>
  </property>
  <property fmtid="{D5CDD505-2E9C-101B-9397-08002B2CF9AE}" pid="47" name="Drawn 06">
    <vt:lpwstr/>
  </property>
  <property fmtid="{D5CDD505-2E9C-101B-9397-08002B2CF9AE}" pid="48" name="Checked 01">
    <vt:lpwstr/>
  </property>
  <property fmtid="{D5CDD505-2E9C-101B-9397-08002B2CF9AE}" pid="49" name="Checked 02">
    <vt:lpwstr/>
  </property>
  <property fmtid="{D5CDD505-2E9C-101B-9397-08002B2CF9AE}" pid="50" name="Checked 03">
    <vt:lpwstr/>
  </property>
  <property fmtid="{D5CDD505-2E9C-101B-9397-08002B2CF9AE}" pid="51" name="Checked 04">
    <vt:lpwstr/>
  </property>
  <property fmtid="{D5CDD505-2E9C-101B-9397-08002B2CF9AE}" pid="52" name="Checked 05">
    <vt:lpwstr/>
  </property>
  <property fmtid="{D5CDD505-2E9C-101B-9397-08002B2CF9AE}" pid="53" name="Checked 06">
    <vt:lpwstr/>
  </property>
  <property fmtid="{D5CDD505-2E9C-101B-9397-08002B2CF9AE}" pid="54" name="Approved 01">
    <vt:lpwstr/>
  </property>
  <property fmtid="{D5CDD505-2E9C-101B-9397-08002B2CF9AE}" pid="55" name="Approved 02">
    <vt:lpwstr/>
  </property>
  <property fmtid="{D5CDD505-2E9C-101B-9397-08002B2CF9AE}" pid="56" name="Approved 03">
    <vt:lpwstr/>
  </property>
  <property fmtid="{D5CDD505-2E9C-101B-9397-08002B2CF9AE}" pid="57" name="Approved 04">
    <vt:lpwstr/>
  </property>
  <property fmtid="{D5CDD505-2E9C-101B-9397-08002B2CF9AE}" pid="58" name="Approved 05">
    <vt:lpwstr/>
  </property>
  <property fmtid="{D5CDD505-2E9C-101B-9397-08002B2CF9AE}" pid="59" name="Approved 06">
    <vt:lpwstr/>
  </property>
  <property fmtid="{D5CDD505-2E9C-101B-9397-08002B2CF9AE}" pid="60" name="Date 01">
    <vt:lpwstr/>
  </property>
  <property fmtid="{D5CDD505-2E9C-101B-9397-08002B2CF9AE}" pid="61" name="Date 02">
    <vt:lpwstr/>
  </property>
  <property fmtid="{D5CDD505-2E9C-101B-9397-08002B2CF9AE}" pid="62" name="Date 03">
    <vt:lpwstr/>
  </property>
  <property fmtid="{D5CDD505-2E9C-101B-9397-08002B2CF9AE}" pid="63" name="Date 04">
    <vt:lpwstr/>
  </property>
  <property fmtid="{D5CDD505-2E9C-101B-9397-08002B2CF9AE}" pid="64" name="Date 05">
    <vt:lpwstr/>
  </property>
  <property fmtid="{D5CDD505-2E9C-101B-9397-08002B2CF9AE}" pid="65" name="Date 06">
    <vt:lpwstr/>
  </property>
  <property fmtid="{D5CDD505-2E9C-101B-9397-08002B2CF9AE}" pid="66" name="Note 01">
    <vt:lpwstr> </vt:lpwstr>
  </property>
  <property fmtid="{D5CDD505-2E9C-101B-9397-08002B2CF9AE}" pid="67" name="Note 02">
    <vt:lpwstr/>
  </property>
  <property fmtid="{D5CDD505-2E9C-101B-9397-08002B2CF9AE}" pid="68" name="Note 03">
    <vt:lpwstr/>
  </property>
  <property fmtid="{D5CDD505-2E9C-101B-9397-08002B2CF9AE}" pid="69" name="Note 04">
    <vt:lpwstr/>
  </property>
  <property fmtid="{D5CDD505-2E9C-101B-9397-08002B2CF9AE}" pid="70" name="Note 05">
    <vt:lpwstr/>
  </property>
  <property fmtid="{D5CDD505-2E9C-101B-9397-08002B2CF9AE}" pid="71" name="Note 06">
    <vt:lpwstr/>
  </property>
  <property fmtid="{D5CDD505-2E9C-101B-9397-08002B2CF9AE}" pid="72" name="Rev 01">
    <vt:lpwstr> </vt:lpwstr>
  </property>
  <property fmtid="{D5CDD505-2E9C-101B-9397-08002B2CF9AE}" pid="73" name="Rev 02">
    <vt:lpwstr/>
  </property>
  <property fmtid="{D5CDD505-2E9C-101B-9397-08002B2CF9AE}" pid="74" name="Rev 03">
    <vt:lpwstr/>
  </property>
  <property fmtid="{D5CDD505-2E9C-101B-9397-08002B2CF9AE}" pid="75" name="Rev 04">
    <vt:lpwstr/>
  </property>
  <property fmtid="{D5CDD505-2E9C-101B-9397-08002B2CF9AE}" pid="76" name="Rev 05">
    <vt:lpwstr/>
  </property>
  <property fmtid="{D5CDD505-2E9C-101B-9397-08002B2CF9AE}" pid="77" name="Rev 06">
    <vt:lpwstr/>
  </property>
  <property fmtid="{D5CDD505-2E9C-101B-9397-08002B2CF9AE}" pid="78" name="TemplateVersion">
    <vt:lpwstr>19</vt:lpwstr>
  </property>
</Properties>
</file>