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arcadiso365-my.sharepoint.com/personal/nirmala_seethappan_arcadis_com/Documents/Documents/DataScience/HS2_L3Database/MPDT_Creation/"/>
    </mc:Choice>
  </mc:AlternateContent>
  <xr:revisionPtr revIDLastSave="18" documentId="13_ncr:1_{72C0F08B-F44C-4ED1-B443-207EB4ADA4C5}" xr6:coauthVersionLast="47" xr6:coauthVersionMax="47" xr10:uidLastSave="{572F61EF-1696-46F9-8980-75289B03F88D}"/>
  <bookViews>
    <workbookView xWindow="-110" yWindow="-110" windowWidth="19420" windowHeight="11500" activeTab="1" xr2:uid="{E8F6110E-2A89-4CD2-8749-56278772BA6F}"/>
  </bookViews>
  <sheets>
    <sheet name="Cover Sheet" sheetId="1" r:id="rId1"/>
    <sheet name="MPDT Element of Asset" sheetId="8" r:id="rId2"/>
    <sheet name="att_matrix" sheetId="9" r:id="rId3"/>
    <sheet name="assets" sheetId="10" r:id="rId4"/>
    <sheet name="New Codes" sheetId="11" r:id="rId5"/>
  </sheets>
  <functionGroups builtInGroupCount="19"/>
  <definedNames>
    <definedName name="_xlnm._FilterDatabase" localSheetId="3" hidden="1">assets!$A$2:$B$1832</definedName>
    <definedName name="_xlnm._FilterDatabase" localSheetId="2" hidden="1">att_matrix!$A$1:$TG$142</definedName>
    <definedName name="_xlnm._FilterDatabase" localSheetId="1" hidden="1">'MPDT Element of Asset'!$A$2:$DY$202</definedName>
    <definedName name="_Hlk505252484" localSheetId="0">'Cover Sheet'!#REF!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16" i="1" l="1"/>
  <c r="C33" i="1"/>
  <c r="F30" i="1"/>
  <c r="A13" i="1"/>
  <c r="C32" i="1"/>
  <c r="C28" i="1"/>
  <c r="B31" i="1"/>
  <c r="E32" i="1"/>
  <c r="B30" i="1"/>
  <c r="F33" i="1"/>
  <c r="A14" i="1"/>
  <c r="A30" i="1"/>
  <c r="B32" i="1"/>
  <c r="F29" i="1"/>
  <c r="E33" i="1"/>
  <c r="C31" i="1"/>
  <c r="E30" i="1"/>
  <c r="B28" i="1"/>
  <c r="A33" i="1"/>
  <c r="C30" i="1"/>
  <c r="F31" i="1"/>
  <c r="F28" i="1"/>
  <c r="D31" i="1"/>
  <c r="D29" i="1"/>
  <c r="D32" i="1"/>
  <c r="E31" i="1"/>
  <c r="A31" i="1"/>
  <c r="A18" i="1"/>
  <c r="D28" i="1"/>
  <c r="A28" i="1"/>
  <c r="D33" i="1"/>
  <c r="E28" i="1"/>
  <c r="A29" i="1"/>
  <c r="C29" i="1"/>
  <c r="F32" i="1"/>
  <c r="A15" i="1"/>
  <c r="E29" i="1"/>
  <c r="B33" i="1"/>
  <c r="A32" i="1"/>
  <c r="B29" i="1"/>
  <c r="D3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Harrison, Stewart</author>
  </authors>
  <commentList>
    <comment ref="A1" authorId="0" shapeId="0" xr:uid="{9B2EFF44-1331-4715-A7CC-5F98DE84B05C}">
      <text>
        <r>
          <rPr>
            <b/>
            <sz val="9"/>
            <color indexed="81"/>
            <rFont val="Tahoma"/>
            <family val="2"/>
          </rPr>
          <t>Harrison, Stewart:</t>
        </r>
        <r>
          <rPr>
            <sz val="9"/>
            <color indexed="81"/>
            <rFont val="Tahoma"/>
            <family val="2"/>
          </rPr>
          <t xml:space="preserve">
Version P01</t>
        </r>
      </text>
    </comment>
    <comment ref="A2" authorId="0" shapeId="0" xr:uid="{A755B13D-AD6A-4001-B6CA-A92BF6A989ED}">
      <text>
        <r>
          <rPr>
            <b/>
            <sz val="9"/>
            <color indexed="81"/>
            <rFont val="Tahoma"/>
            <family val="2"/>
          </rPr>
          <t>Harrison, Stewart:</t>
        </r>
        <r>
          <rPr>
            <sz val="9"/>
            <color indexed="81"/>
            <rFont val="Tahoma"/>
            <family val="2"/>
          </rPr>
          <t xml:space="preserve">
Version P01</t>
        </r>
      </text>
    </comment>
    <comment ref="A3" authorId="0" shapeId="0" xr:uid="{465CF835-8598-439F-9910-8D8761EABCFA}">
      <text>
        <r>
          <rPr>
            <b/>
            <sz val="9"/>
            <color indexed="81"/>
            <rFont val="Tahoma"/>
            <family val="2"/>
          </rPr>
          <t>Harrison, Stewart:</t>
        </r>
        <r>
          <rPr>
            <sz val="9"/>
            <color indexed="81"/>
            <rFont val="Tahoma"/>
            <family val="2"/>
          </rPr>
          <t xml:space="preserve">
Version P01</t>
        </r>
      </text>
    </comment>
    <comment ref="A4" authorId="0" shapeId="0" xr:uid="{3C136262-60E6-4064-B7E6-7C079CD657F1}">
      <text>
        <r>
          <rPr>
            <b/>
            <sz val="9"/>
            <color indexed="81"/>
            <rFont val="Tahoma"/>
            <family val="2"/>
          </rPr>
          <t>Harrison, Stewart:</t>
        </r>
        <r>
          <rPr>
            <sz val="9"/>
            <color indexed="81"/>
            <rFont val="Tahoma"/>
            <family val="2"/>
          </rPr>
          <t xml:space="preserve">
Version P01</t>
        </r>
      </text>
    </comment>
    <comment ref="A5" authorId="0" shapeId="0" xr:uid="{248133C1-8149-4EDE-A40A-9B0EA1236D9F}">
      <text>
        <r>
          <rPr>
            <b/>
            <sz val="9"/>
            <color indexed="81"/>
            <rFont val="Tahoma"/>
            <family val="2"/>
          </rPr>
          <t>Harrison, Stewart:</t>
        </r>
        <r>
          <rPr>
            <sz val="9"/>
            <color indexed="81"/>
            <rFont val="Tahoma"/>
            <family val="2"/>
          </rPr>
          <t xml:space="preserve">
Version P01</t>
        </r>
      </text>
    </comment>
  </commentList>
</comments>
</file>

<file path=xl/sharedStrings.xml><?xml version="1.0" encoding="utf-8"?>
<sst xmlns="http://schemas.openxmlformats.org/spreadsheetml/2006/main" count="18397" uniqueCount="5785">
  <si>
    <t>Rev</t>
  </si>
  <si>
    <t xml:space="preserve">Date </t>
  </si>
  <si>
    <t xml:space="preserve">Author </t>
  </si>
  <si>
    <t xml:space="preserve">Checked by </t>
  </si>
  <si>
    <t xml:space="preserve">Approved by </t>
  </si>
  <si>
    <t>Revision Details</t>
  </si>
  <si>
    <t>Stakeholder review required (SRR)</t>
  </si>
  <si>
    <t>Purpose of SRR</t>
  </si>
  <si>
    <t>☐</t>
  </si>
  <si>
    <t>County / District / London Borough Council</t>
  </si>
  <si>
    <t>Acceptance</t>
  </si>
  <si>
    <t>LOV</t>
  </si>
  <si>
    <t>Approval</t>
  </si>
  <si>
    <t>LUL</t>
  </si>
  <si>
    <t>No Objection</t>
  </si>
  <si>
    <t>NRL</t>
  </si>
  <si>
    <t>Consent</t>
  </si>
  <si>
    <t>TFL</t>
  </si>
  <si>
    <t>Utilities Company</t>
  </si>
  <si>
    <t>Other (please specify)</t>
  </si>
  <si>
    <t>EKFB Reviewer</t>
  </si>
  <si>
    <t>Governance</t>
  </si>
  <si>
    <t>Scheme Design</t>
  </si>
  <si>
    <t>Detailed Design</t>
  </si>
  <si>
    <t>Construction</t>
  </si>
  <si>
    <t>IFC ID</t>
  </si>
  <si>
    <t>Classification codes</t>
  </si>
  <si>
    <t>Level</t>
  </si>
  <si>
    <t>Chainage (km)</t>
  </si>
  <si>
    <t>Status</t>
  </si>
  <si>
    <t>DJV</t>
  </si>
  <si>
    <t>Software Model Part ID no.</t>
  </si>
  <si>
    <t>UAID_2</t>
  </si>
  <si>
    <t>UAID_3</t>
  </si>
  <si>
    <t>Model Container ID
(Model's Deliverable Number)</t>
  </si>
  <si>
    <t>AssetName_3</t>
  </si>
  <si>
    <t>AssetHierarchyCategory</t>
  </si>
  <si>
    <t>AssetDescription_3</t>
  </si>
  <si>
    <t>COBie Type</t>
  </si>
  <si>
    <t>Controlling Asset Legacy ID</t>
  </si>
  <si>
    <t>Controlling Asset?</t>
  </si>
  <si>
    <t>Chainage Section</t>
  </si>
  <si>
    <t>Design Element Schedule No.</t>
  </si>
  <si>
    <t>Owner</t>
  </si>
  <si>
    <t>LOD</t>
  </si>
  <si>
    <t>LOI</t>
  </si>
  <si>
    <t>Uniclass 2015</t>
  </si>
  <si>
    <t>Start Chainage</t>
  </si>
  <si>
    <t>End Chainage</t>
  </si>
  <si>
    <t xml:space="preserve">OSGB Easting </t>
  </si>
  <si>
    <t>OSGB Northing</t>
  </si>
  <si>
    <t>Native ID</t>
  </si>
  <si>
    <t>PrimaryDiscipline</t>
  </si>
  <si>
    <t>FunctioningGrouping</t>
  </si>
  <si>
    <t>Primary Asset</t>
  </si>
  <si>
    <t>ElementCode</t>
  </si>
  <si>
    <t>Discipline</t>
  </si>
  <si>
    <t>Classification</t>
  </si>
  <si>
    <t>Presentation</t>
  </si>
  <si>
    <t>Description</t>
  </si>
  <si>
    <t>View</t>
  </si>
  <si>
    <t>Layer</t>
  </si>
  <si>
    <t>Start</t>
  </si>
  <si>
    <t>End</t>
  </si>
  <si>
    <t>Active/Withdrawn</t>
  </si>
  <si>
    <t>Subassembly Code</t>
  </si>
  <si>
    <t>Order</t>
  </si>
  <si>
    <t>PCE</t>
  </si>
  <si>
    <t>NA</t>
  </si>
  <si>
    <t>MWCC-EKJV</t>
  </si>
  <si>
    <t>Active</t>
  </si>
  <si>
    <t>APR</t>
  </si>
  <si>
    <t>BEM</t>
  </si>
  <si>
    <t>Assetclassificationhierarchy</t>
  </si>
  <si>
    <t>* list adjusted to elements with data requirements in the AIMS data dictionary</t>
  </si>
  <si>
    <t>Classificationcode</t>
  </si>
  <si>
    <t>ABT</t>
  </si>
  <si>
    <t>Abutment (End Support)</t>
  </si>
  <si>
    <t>ADI</t>
  </si>
  <si>
    <t>Adits</t>
  </si>
  <si>
    <t>AFI</t>
  </si>
  <si>
    <t>Auxiliary Fencing Items</t>
  </si>
  <si>
    <t>ANC</t>
  </si>
  <si>
    <t>Anchor</t>
  </si>
  <si>
    <t>Apron</t>
  </si>
  <si>
    <t>BAS</t>
  </si>
  <si>
    <t>Base</t>
  </si>
  <si>
    <t>Beam</t>
  </si>
  <si>
    <t>BER</t>
  </si>
  <si>
    <t>Bearings</t>
  </si>
  <si>
    <t>BLD</t>
  </si>
  <si>
    <t>Bollards</t>
  </si>
  <si>
    <t>BLR</t>
  </si>
  <si>
    <t>Bailer</t>
  </si>
  <si>
    <t>BNL</t>
  </si>
  <si>
    <t>Bin Lifter</t>
  </si>
  <si>
    <t>BRR</t>
  </si>
  <si>
    <t>Barrier</t>
  </si>
  <si>
    <t>CAB</t>
  </si>
  <si>
    <t>Cable</t>
  </si>
  <si>
    <t>CAV</t>
  </si>
  <si>
    <t>Caverns</t>
  </si>
  <si>
    <t>CHB</t>
  </si>
  <si>
    <t>Chamber</t>
  </si>
  <si>
    <t>CLM</t>
  </si>
  <si>
    <t>Column</t>
  </si>
  <si>
    <t>CLW</t>
  </si>
  <si>
    <t>Cycleway</t>
  </si>
  <si>
    <t>CPB</t>
  </si>
  <si>
    <t>Capping Beam</t>
  </si>
  <si>
    <t>CPS</t>
  </si>
  <si>
    <t>Cross Passages</t>
  </si>
  <si>
    <t>CPT</t>
  </si>
  <si>
    <t>Compactor</t>
  </si>
  <si>
    <t>CTR</t>
  </si>
  <si>
    <t>Cable Trough (Including Lid)</t>
  </si>
  <si>
    <t>CUT</t>
  </si>
  <si>
    <t>Cut</t>
  </si>
  <si>
    <t>CVS</t>
  </si>
  <si>
    <t>Conveyor System</t>
  </si>
  <si>
    <t>DCK</t>
  </si>
  <si>
    <t>Deck</t>
  </si>
  <si>
    <t>DEW</t>
  </si>
  <si>
    <t>Dewatering/Depressurisation</t>
  </si>
  <si>
    <t>DLV</t>
  </si>
  <si>
    <t>Dam/Levee</t>
  </si>
  <si>
    <t>DRF</t>
  </si>
  <si>
    <t>Drainage Feature</t>
  </si>
  <si>
    <t>DTC</t>
  </si>
  <si>
    <t>Ditch</t>
  </si>
  <si>
    <t>DWP</t>
  </si>
  <si>
    <t>Diaphram wall panel</t>
  </si>
  <si>
    <t>EXJ</t>
  </si>
  <si>
    <t>Expansion Joint</t>
  </si>
  <si>
    <t>FAU</t>
  </si>
  <si>
    <t>Fauna Elements</t>
  </si>
  <si>
    <t>FLR</t>
  </si>
  <si>
    <t>Floor</t>
  </si>
  <si>
    <t>FND</t>
  </si>
  <si>
    <t>Post Foundation</t>
  </si>
  <si>
    <t>GAT</t>
  </si>
  <si>
    <t>Gates (including posts)</t>
  </si>
  <si>
    <t>GFL</t>
  </si>
  <si>
    <t>General Fill</t>
  </si>
  <si>
    <t>GLY</t>
  </si>
  <si>
    <t>Gully</t>
  </si>
  <si>
    <t>GRS</t>
  </si>
  <si>
    <t>Grassed Elements</t>
  </si>
  <si>
    <t>GRT</t>
  </si>
  <si>
    <t>Ground Improvement/ Ground Treatment</t>
  </si>
  <si>
    <t>GSL</t>
  </si>
  <si>
    <t>Ground Slab</t>
  </si>
  <si>
    <t>HDW</t>
  </si>
  <si>
    <t>Headwall</t>
  </si>
  <si>
    <t>HND</t>
  </si>
  <si>
    <t>Handrail</t>
  </si>
  <si>
    <t>HPD</t>
  </si>
  <si>
    <t>Helipad</t>
  </si>
  <si>
    <t>INS</t>
  </si>
  <si>
    <t>Internal Structures</t>
  </si>
  <si>
    <t>KRB</t>
  </si>
  <si>
    <t>Kerbs</t>
  </si>
  <si>
    <t>LDA</t>
  </si>
  <si>
    <t>Laydown Area</t>
  </si>
  <si>
    <t>LEF</t>
  </si>
  <si>
    <t>Lower Embankment Fill</t>
  </si>
  <si>
    <t>LHA</t>
  </si>
  <si>
    <t>Lorry Holding Area</t>
  </si>
  <si>
    <t>LNG</t>
  </si>
  <si>
    <t>Primary Tunnel Lining</t>
  </si>
  <si>
    <t>LNM</t>
  </si>
  <si>
    <t>Line Marking</t>
  </si>
  <si>
    <t>LOS</t>
  </si>
  <si>
    <t>Lower Side Slopes</t>
  </si>
  <si>
    <t>LSH</t>
  </si>
  <si>
    <t>Landscaping (Hard)</t>
  </si>
  <si>
    <t>LSS</t>
  </si>
  <si>
    <t>Landscape (Soft)</t>
  </si>
  <si>
    <t>LUA</t>
  </si>
  <si>
    <t>Loading/Unloading Area</t>
  </si>
  <si>
    <t>MHE</t>
  </si>
  <si>
    <t>Materials Handling Equipment</t>
  </si>
  <si>
    <t>MNH</t>
  </si>
  <si>
    <t>Manhole</t>
  </si>
  <si>
    <t>NSW</t>
  </si>
  <si>
    <t>Non Structural Wall</t>
  </si>
  <si>
    <t>OCS</t>
  </si>
  <si>
    <t>Outflow/Control Structure</t>
  </si>
  <si>
    <t>OPC</t>
  </si>
  <si>
    <t>Open Channel</t>
  </si>
  <si>
    <t>PreCast Element</t>
  </si>
  <si>
    <t>PHP</t>
  </si>
  <si>
    <t>3-Phase Power</t>
  </si>
  <si>
    <t>PIL</t>
  </si>
  <si>
    <t>Pile</t>
  </si>
  <si>
    <t>PIR</t>
  </si>
  <si>
    <t>Pier (Intermediate Support)</t>
  </si>
  <si>
    <t>PLC</t>
  </si>
  <si>
    <t>PileCap</t>
  </si>
  <si>
    <t>PND</t>
  </si>
  <si>
    <t>Pond</t>
  </si>
  <si>
    <t>PNI</t>
  </si>
  <si>
    <t>Pond Inlet</t>
  </si>
  <si>
    <t>PNO</t>
  </si>
  <si>
    <t>Pond Outlet</t>
  </si>
  <si>
    <t>PPE</t>
  </si>
  <si>
    <t>Pipe</t>
  </si>
  <si>
    <t>PRL</t>
  </si>
  <si>
    <t>Protection Layer</t>
  </si>
  <si>
    <t>PRP</t>
  </si>
  <si>
    <t>Parapet</t>
  </si>
  <si>
    <t>PSG</t>
  </si>
  <si>
    <t>Prepared Subgrade</t>
  </si>
  <si>
    <t>PST</t>
  </si>
  <si>
    <t>Pumping Station</t>
  </si>
  <si>
    <t>PSU</t>
  </si>
  <si>
    <t>Pump Sump Adits</t>
  </si>
  <si>
    <t>PVM</t>
  </si>
  <si>
    <t>Pavement</t>
  </si>
  <si>
    <t>PWK</t>
  </si>
  <si>
    <t>Permanent Work Item</t>
  </si>
  <si>
    <t>RDC</t>
  </si>
  <si>
    <t>Road Cleaning</t>
  </si>
  <si>
    <t>RDE</t>
  </si>
  <si>
    <t>Rodding Eye</t>
  </si>
  <si>
    <t>REX</t>
  </si>
  <si>
    <t>Rail Expansion Joint</t>
  </si>
  <si>
    <t>RFL</t>
  </si>
  <si>
    <t>Road/Footway Lighting</t>
  </si>
  <si>
    <t>RMP</t>
  </si>
  <si>
    <t>Ramp</t>
  </si>
  <si>
    <t>ROO</t>
  </si>
  <si>
    <t>Roof</t>
  </si>
  <si>
    <t>RRS</t>
  </si>
  <si>
    <t>Road Restraint System (vehicular and pedestrian)</t>
  </si>
  <si>
    <t>RSL</t>
  </si>
  <si>
    <t>Raised Slab</t>
  </si>
  <si>
    <t>RTU</t>
  </si>
  <si>
    <t>Running Tunnel</t>
  </si>
  <si>
    <t>SCF</t>
  </si>
  <si>
    <t>Security Cabin/Facilities</t>
  </si>
  <si>
    <t>SCH</t>
  </si>
  <si>
    <t>Security Hardware</t>
  </si>
  <si>
    <t>SCW</t>
  </si>
  <si>
    <t>Sweeper / cleaner / wet vac</t>
  </si>
  <si>
    <t>SEL</t>
  </si>
  <si>
    <t>Secondary Tunnel Lining</t>
  </si>
  <si>
    <t>SMP</t>
  </si>
  <si>
    <t>Sump</t>
  </si>
  <si>
    <t>SPC</t>
  </si>
  <si>
    <t>Space</t>
  </si>
  <si>
    <t>SPE</t>
  </si>
  <si>
    <t>Sport's Equipment</t>
  </si>
  <si>
    <t>SPK</t>
  </si>
  <si>
    <t>Spill Kit</t>
  </si>
  <si>
    <t>SPL</t>
  </si>
  <si>
    <t>Sheet Piles</t>
  </si>
  <si>
    <t>STL</t>
  </si>
  <si>
    <t>Starter Layer</t>
  </si>
  <si>
    <t>STR</t>
  </si>
  <si>
    <t>Stair</t>
  </si>
  <si>
    <t>STW</t>
  </si>
  <si>
    <t>Structural wall</t>
  </si>
  <si>
    <t>TFS</t>
  </si>
  <si>
    <t>Traffic Signals</t>
  </si>
  <si>
    <t>TMW</t>
  </si>
  <si>
    <t>Temporary Work Item</t>
  </si>
  <si>
    <t>TNK</t>
  </si>
  <si>
    <t>Tank</t>
  </si>
  <si>
    <t>TRG</t>
  </si>
  <si>
    <t>Tunnel Ring</t>
  </si>
  <si>
    <t>TRS</t>
  </si>
  <si>
    <t>Tunnel Ring Segment</t>
  </si>
  <si>
    <t>UEF</t>
  </si>
  <si>
    <t>Upper Embankment Fill</t>
  </si>
  <si>
    <t>UPN</t>
  </si>
  <si>
    <t>Underpinning</t>
  </si>
  <si>
    <t>USS</t>
  </si>
  <si>
    <t>Upper Side Slopes</t>
  </si>
  <si>
    <t>UTD</t>
  </si>
  <si>
    <t>Utilities Ducts</t>
  </si>
  <si>
    <t>VET</t>
  </si>
  <si>
    <t>Ventilation</t>
  </si>
  <si>
    <t>VGS</t>
  </si>
  <si>
    <t>Vegetation (Screens)</t>
  </si>
  <si>
    <t>VLV</t>
  </si>
  <si>
    <t>Valve</t>
  </si>
  <si>
    <t>WHB</t>
  </si>
  <si>
    <t>Wheelie Bin</t>
  </si>
  <si>
    <t>WIS</t>
  </si>
  <si>
    <t>Water Inception System</t>
  </si>
  <si>
    <t>WLK</t>
  </si>
  <si>
    <t>Walkway</t>
  </si>
  <si>
    <t>WMT</t>
  </si>
  <si>
    <t>Winter Maintenance</t>
  </si>
  <si>
    <t>WPF</t>
  </si>
  <si>
    <t>Water Proofing System</t>
  </si>
  <si>
    <t>WTS</t>
  </si>
  <si>
    <t>Water Tightness System</t>
  </si>
  <si>
    <t>WVC</t>
  </si>
  <si>
    <t>Wheel Wash/ Vehicle Cleaning</t>
  </si>
  <si>
    <t>CV-BR</t>
  </si>
  <si>
    <t>Bridging Structures</t>
  </si>
  <si>
    <t>CV-CE</t>
  </si>
  <si>
    <t>Cuttings &amp; Embankments</t>
  </si>
  <si>
    <t>CV-DR</t>
  </si>
  <si>
    <t>Drainage</t>
  </si>
  <si>
    <t>CV-HW</t>
  </si>
  <si>
    <t>Highway Features</t>
  </si>
  <si>
    <t>CV-PL</t>
  </si>
  <si>
    <t>Platforms</t>
  </si>
  <si>
    <t>CV-US</t>
  </si>
  <si>
    <t>Underground Structures</t>
  </si>
  <si>
    <t>CV-WF</t>
  </si>
  <si>
    <t>Fences &amp; Walls</t>
  </si>
  <si>
    <t>DN-CO</t>
  </si>
  <si>
    <t>Distribution Network Connection</t>
  </si>
  <si>
    <t>GR-BL</t>
  </si>
  <si>
    <t>Building</t>
  </si>
  <si>
    <t>GR-CT</t>
  </si>
  <si>
    <t>Cuttings Scope Group</t>
  </si>
  <si>
    <t>GR-EA</t>
  </si>
  <si>
    <t>EWC Scope Group</t>
  </si>
  <si>
    <t>GR-EM</t>
  </si>
  <si>
    <t>Embankment Scope Group</t>
  </si>
  <si>
    <t>GR-ER</t>
  </si>
  <si>
    <t>Environmental Receptor Sites</t>
  </si>
  <si>
    <t>GR-EW</t>
  </si>
  <si>
    <t>Enabling Works</t>
  </si>
  <si>
    <t>GR-LP</t>
  </si>
  <si>
    <t>Land &amp; Property Scope</t>
  </si>
  <si>
    <t>GR-NC</t>
  </si>
  <si>
    <t>NICC Group</t>
  </si>
  <si>
    <t>GR-SP</t>
  </si>
  <si>
    <t>Site Preparation</t>
  </si>
  <si>
    <t>GR-TN</t>
  </si>
  <si>
    <t>Tunnels Scope Group</t>
  </si>
  <si>
    <t>GR-UT</t>
  </si>
  <si>
    <t>Utility Scope</t>
  </si>
  <si>
    <t>GR-VD</t>
  </si>
  <si>
    <t>Viaduct Scope Group</t>
  </si>
  <si>
    <t>IT-IB</t>
  </si>
  <si>
    <t>Hybrid Bill</t>
  </si>
  <si>
    <t>IT-ID</t>
  </si>
  <si>
    <t>Client Design</t>
  </si>
  <si>
    <t>IT-IE</t>
  </si>
  <si>
    <t>Efficiency Target</t>
  </si>
  <si>
    <t>IT-IF</t>
  </si>
  <si>
    <t>Railway Operations - Delivery</t>
  </si>
  <si>
    <t>IT-IG</t>
  </si>
  <si>
    <t>Ground Investigations</t>
  </si>
  <si>
    <t>IT-IH</t>
  </si>
  <si>
    <t>Railway Operations - Operations</t>
  </si>
  <si>
    <t>IT-II</t>
  </si>
  <si>
    <t>Indirects &amp; Contingency</t>
  </si>
  <si>
    <t>IT-IL</t>
  </si>
  <si>
    <t>Logistics</t>
  </si>
  <si>
    <t>IT-IO</t>
  </si>
  <si>
    <t>On-Network Works</t>
  </si>
  <si>
    <t>IT-IP</t>
  </si>
  <si>
    <t>Land &amp; Property</t>
  </si>
  <si>
    <t>IT-IQ</t>
  </si>
  <si>
    <t>DfT Cat 2</t>
  </si>
  <si>
    <t>IT-IR</t>
  </si>
  <si>
    <t>High Speed Rail Systems</t>
  </si>
  <si>
    <t>IT-IS</t>
  </si>
  <si>
    <t>Suppliers Contract Sums</t>
  </si>
  <si>
    <t>IT-IU</t>
  </si>
  <si>
    <t>Utilities</t>
  </si>
  <si>
    <t>IT-IV</t>
  </si>
  <si>
    <t>Phase 2A - Physical Works</t>
  </si>
  <si>
    <t>IT-IW</t>
  </si>
  <si>
    <t>Phase 2B - Physical Works</t>
  </si>
  <si>
    <t>LP-RL</t>
  </si>
  <si>
    <t>Relocation</t>
  </si>
  <si>
    <t>OP-EA</t>
  </si>
  <si>
    <t>Emergency Assembly Area</t>
  </si>
  <si>
    <t>SC-EN</t>
  </si>
  <si>
    <t>Environment Scope Items</t>
  </si>
  <si>
    <t>SC-GR</t>
  </si>
  <si>
    <t>Ground Remediation Works</t>
  </si>
  <si>
    <t>SC-NV</t>
  </si>
  <si>
    <t>Noise and Vibration Works</t>
  </si>
  <si>
    <t>UT-CW</t>
  </si>
  <si>
    <t>Clean Water Distribution Network</t>
  </si>
  <si>
    <t>UT-DH</t>
  </si>
  <si>
    <t>District Heating Network</t>
  </si>
  <si>
    <t>UT-EN</t>
  </si>
  <si>
    <t>Electricity Networks</t>
  </si>
  <si>
    <t>UT-FT</t>
  </si>
  <si>
    <t>Fixed Telecommunications Network</t>
  </si>
  <si>
    <t>UT-GN</t>
  </si>
  <si>
    <t>Gas Network</t>
  </si>
  <si>
    <t>UT-MT</t>
  </si>
  <si>
    <t>Mobile Telecommunications Network</t>
  </si>
  <si>
    <t>UT-PC</t>
  </si>
  <si>
    <t>Petrochemical Network</t>
  </si>
  <si>
    <t>UT-WW</t>
  </si>
  <si>
    <t>Waste Water Network</t>
  </si>
  <si>
    <t>WB-GW</t>
  </si>
  <si>
    <t>Groundwater Bodies</t>
  </si>
  <si>
    <t>WB-SW</t>
  </si>
  <si>
    <t>Surface Water Bodies</t>
  </si>
  <si>
    <t>WT-CN</t>
  </si>
  <si>
    <t>Canal</t>
  </si>
  <si>
    <t>WT-OW</t>
  </si>
  <si>
    <t>Ordinary Watercourse</t>
  </si>
  <si>
    <t>WT-RV</t>
  </si>
  <si>
    <t>Main River</t>
  </si>
  <si>
    <t>ZZ-ZZ</t>
  </si>
  <si>
    <t>101 other things?</t>
  </si>
  <si>
    <t>CN-CT-TR</t>
  </si>
  <si>
    <t>Construction Traffic Route</t>
  </si>
  <si>
    <t>CN-DE-CM</t>
  </si>
  <si>
    <t>Demolition Community</t>
  </si>
  <si>
    <t>CN-DE-CO</t>
  </si>
  <si>
    <t>Commercial Demolition</t>
  </si>
  <si>
    <t>CN-DE-DR</t>
  </si>
  <si>
    <t>Drainage Demolition</t>
  </si>
  <si>
    <t>CN-DE-GE</t>
  </si>
  <si>
    <t>General Demolition</t>
  </si>
  <si>
    <t>CN-DE-IN</t>
  </si>
  <si>
    <t>Infrastructure Demolition</t>
  </si>
  <si>
    <t>CN-DE-OT</t>
  </si>
  <si>
    <t>Other Demolition</t>
  </si>
  <si>
    <t>CN-DE-RE</t>
  </si>
  <si>
    <t>Residential Demolition</t>
  </si>
  <si>
    <t>CN-GE-CM</t>
  </si>
  <si>
    <t>Colliery, Mineral extraction or Quarry</t>
  </si>
  <si>
    <t>CN-GE-ST</t>
  </si>
  <si>
    <t>Stockpile</t>
  </si>
  <si>
    <t>CN-SC-AC</t>
  </si>
  <si>
    <t>Accomodation Compound</t>
  </si>
  <si>
    <t>CN-SC-CC</t>
  </si>
  <si>
    <t>Consolodation Centre</t>
  </si>
  <si>
    <t>CN-SC-CS</t>
  </si>
  <si>
    <t>Construction sidings</t>
  </si>
  <si>
    <t>CN-SC-GI</t>
  </si>
  <si>
    <t>GI Compound</t>
  </si>
  <si>
    <t>CN-SC-HV</t>
  </si>
  <si>
    <t>Construction Compound High Voltage</t>
  </si>
  <si>
    <t>CN-SC-MC</t>
  </si>
  <si>
    <t>Main construction compound</t>
  </si>
  <si>
    <t>CN-SC-RH</t>
  </si>
  <si>
    <t>Road Head</t>
  </si>
  <si>
    <t>CN-SC-SC</t>
  </si>
  <si>
    <t>Satellite construction compound</t>
  </si>
  <si>
    <t>CN-SC-SR</t>
  </si>
  <si>
    <t>System railheads</t>
  </si>
  <si>
    <t>CN-SC-TR</t>
  </si>
  <si>
    <t>Construction Compound Track</t>
  </si>
  <si>
    <t>CN-SC-TS</t>
  </si>
  <si>
    <t>Construction Compound Tunnel Systems</t>
  </si>
  <si>
    <t>CN-TF-PC</t>
  </si>
  <si>
    <t>Plant Crossing</t>
  </si>
  <si>
    <t>CN-WA-CO</t>
  </si>
  <si>
    <t>Composting facility</t>
  </si>
  <si>
    <t>CN-WA-HA</t>
  </si>
  <si>
    <t>Hazardous waste treatment facility</t>
  </si>
  <si>
    <t>CN-WA-IN</t>
  </si>
  <si>
    <t>Incineration facility</t>
  </si>
  <si>
    <t>CN-WA-LF</t>
  </si>
  <si>
    <t>Landfill Site</t>
  </si>
  <si>
    <t>CN-WA-RE</t>
  </si>
  <si>
    <t>Recycling facility</t>
  </si>
  <si>
    <t>CN-WA-WA</t>
  </si>
  <si>
    <t>Waste Management Area</t>
  </si>
  <si>
    <t>CN-WA-WT</t>
  </si>
  <si>
    <t>Waste transfer station</t>
  </si>
  <si>
    <t>CV-BR-AQ</t>
  </si>
  <si>
    <t>Aqueduct</t>
  </si>
  <si>
    <t>CV-BR-CV</t>
  </si>
  <si>
    <t>Culvert</t>
  </si>
  <si>
    <t>CV-BR-FB</t>
  </si>
  <si>
    <t>Footbridge</t>
  </si>
  <si>
    <t>CV-BR-GB</t>
  </si>
  <si>
    <t>Green Bridge</t>
  </si>
  <si>
    <t>CV-BR-OB</t>
  </si>
  <si>
    <t>Overbridge</t>
  </si>
  <si>
    <t>CV-BR-RB</t>
  </si>
  <si>
    <t>Rail Overbridge</t>
  </si>
  <si>
    <t>CV-BR-TB</t>
  </si>
  <si>
    <t>Temporary Bridge</t>
  </si>
  <si>
    <t>CV-BR-UB</t>
  </si>
  <si>
    <t>Underbridge</t>
  </si>
  <si>
    <t>CV-BR-UP</t>
  </si>
  <si>
    <t>Underpass</t>
  </si>
  <si>
    <t>CV-BR-UT</t>
  </si>
  <si>
    <t>Undertrack Crossing</t>
  </si>
  <si>
    <t>CV-BR-VD</t>
  </si>
  <si>
    <t>Viaduct</t>
  </si>
  <si>
    <t>CV-BR-WT</t>
  </si>
  <si>
    <t>Wildlife Tunnel</t>
  </si>
  <si>
    <t>CV-CE-AE</t>
  </si>
  <si>
    <t>Ancillary Earthworks</t>
  </si>
  <si>
    <t>CV-CE-AG</t>
  </si>
  <si>
    <t>At Grade</t>
  </si>
  <si>
    <t>CV-CE-CR</t>
  </si>
  <si>
    <t>Contamination Remediation</t>
  </si>
  <si>
    <t>CV-CE-CT</t>
  </si>
  <si>
    <t>Cutting</t>
  </si>
  <si>
    <t>CV-CE-EM</t>
  </si>
  <si>
    <t>Embankment</t>
  </si>
  <si>
    <t>CV-CE-ME</t>
  </si>
  <si>
    <t>Mitigation Earthworks</t>
  </si>
  <si>
    <t>CV-CE-RC</t>
  </si>
  <si>
    <t>Retained Cutting</t>
  </si>
  <si>
    <t>CV-CE-RE</t>
  </si>
  <si>
    <t>Retained Embankment</t>
  </si>
  <si>
    <t>CV-CE-RS</t>
  </si>
  <si>
    <t>Retaining Structure</t>
  </si>
  <si>
    <t>CV-CE-RW</t>
  </si>
  <si>
    <t>Retaining Wall</t>
  </si>
  <si>
    <t>CV-DR-BF</t>
  </si>
  <si>
    <t>Balancing Facilities</t>
  </si>
  <si>
    <t>CV-DR-OP</t>
  </si>
  <si>
    <t>Open Drain</t>
  </si>
  <si>
    <t>CV-DR-PC</t>
  </si>
  <si>
    <t>Pollution Control Feature</t>
  </si>
  <si>
    <t>CV-DR-PI</t>
  </si>
  <si>
    <t>Piped Drain</t>
  </si>
  <si>
    <t>CV-DR-PS</t>
  </si>
  <si>
    <t>CV-HW-CW</t>
  </si>
  <si>
    <t>Carriageway</t>
  </si>
  <si>
    <t>CV-HW-FP</t>
  </si>
  <si>
    <t>Public Right of Way (PRoW)</t>
  </si>
  <si>
    <t>CV-HW-JU</t>
  </si>
  <si>
    <t>Road Junctions</t>
  </si>
  <si>
    <t>CV-HW-PA</t>
  </si>
  <si>
    <t>Paved Area (non-carriageway)</t>
  </si>
  <si>
    <t>CV-HW-SF</t>
  </si>
  <si>
    <t>Street Furniture</t>
  </si>
  <si>
    <t>CV-HW-VE</t>
  </si>
  <si>
    <t>Verges</t>
  </si>
  <si>
    <t>CV-PL-AC</t>
  </si>
  <si>
    <t>Access Platform</t>
  </si>
  <si>
    <t>CV-PL-LD</t>
  </si>
  <si>
    <t>Loading Dock</t>
  </si>
  <si>
    <t>CV-PL-SP</t>
  </si>
  <si>
    <t>Station Platform</t>
  </si>
  <si>
    <t>CV-US-BS</t>
  </si>
  <si>
    <t>Box Structure</t>
  </si>
  <si>
    <t>CV-US-SH</t>
  </si>
  <si>
    <t>Shaft</t>
  </si>
  <si>
    <t>CV-US-TN</t>
  </si>
  <si>
    <t>Tunnels</t>
  </si>
  <si>
    <t>CV-WF-BF</t>
  </si>
  <si>
    <t>Bespoke Fence</t>
  </si>
  <si>
    <t>CV-WF-BN</t>
  </si>
  <si>
    <t>Boundary/Perimeter Fence</t>
  </si>
  <si>
    <t>CV-WF-HD</t>
  </si>
  <si>
    <t>Hedge/Planted Barrier</t>
  </si>
  <si>
    <t>CV-WF-NB</t>
  </si>
  <si>
    <t>Noise Barrier</t>
  </si>
  <si>
    <t>CV-WF-SC</t>
  </si>
  <si>
    <t>Security Fence</t>
  </si>
  <si>
    <t>CV-WF-VS</t>
  </si>
  <si>
    <t>Visual Screen</t>
  </si>
  <si>
    <t>CV-WF-WL</t>
  </si>
  <si>
    <t>Wall</t>
  </si>
  <si>
    <t>DT-MD-BL</t>
  </si>
  <si>
    <t>Baseline Record</t>
  </si>
  <si>
    <t>ES-EC-BD</t>
  </si>
  <si>
    <t>Badger Survey</t>
  </si>
  <si>
    <t>ES-EC-BT</t>
  </si>
  <si>
    <t>Bat Survey</t>
  </si>
  <si>
    <t>ES-EC-GC</t>
  </si>
  <si>
    <t>Great Crested Newt Survey</t>
  </si>
  <si>
    <t>ES-EC-HB</t>
  </si>
  <si>
    <t>Habitat Survey</t>
  </si>
  <si>
    <t>ES-EC-HD</t>
  </si>
  <si>
    <t>Dormouse Survey</t>
  </si>
  <si>
    <t>ES-EC-HE</t>
  </si>
  <si>
    <t>Hedgerow Survey (HS1)</t>
  </si>
  <si>
    <t>ES-EC-OT</t>
  </si>
  <si>
    <t>Otter Survey</t>
  </si>
  <si>
    <t>ES-EC-RP</t>
  </si>
  <si>
    <t>Reptile Survey</t>
  </si>
  <si>
    <t>ES-EC-S1</t>
  </si>
  <si>
    <t>Schedule 1 Birds</t>
  </si>
  <si>
    <t>ES-EC-SC</t>
  </si>
  <si>
    <t>Scoping Survey</t>
  </si>
  <si>
    <t>ES-EC-WC</t>
  </si>
  <si>
    <t>White-clawed crayfish Survey</t>
  </si>
  <si>
    <t>ES-EC-WV</t>
  </si>
  <si>
    <t>Water vole Survey</t>
  </si>
  <si>
    <t>ES-WT-PA</t>
  </si>
  <si>
    <t>Preliminary Aquatic Survey</t>
  </si>
  <si>
    <t>GR-EP-00</t>
  </si>
  <si>
    <t>EPS Delivery Unit</t>
  </si>
  <si>
    <t>GR-EP-01</t>
  </si>
  <si>
    <t>EPS Programme</t>
  </si>
  <si>
    <t>GR-EP-02</t>
  </si>
  <si>
    <t>EPS Phase</t>
  </si>
  <si>
    <t>GR-EP-03</t>
  </si>
  <si>
    <t>EPS Directorate</t>
  </si>
  <si>
    <t>GR-EP-04</t>
  </si>
  <si>
    <t>EPS Delivery Area</t>
  </si>
  <si>
    <t>GR-EP-05</t>
  </si>
  <si>
    <t>EPS Sector</t>
  </si>
  <si>
    <t>GR-RS-CC</t>
  </si>
  <si>
    <t>Command &amp; Control System</t>
  </si>
  <si>
    <t>GR-RS-MQ</t>
  </si>
  <si>
    <t>Maintenance Equipment (Rolling Stock)</t>
  </si>
  <si>
    <t>GR-RS-OS</t>
  </si>
  <si>
    <t>Overhead Contact System (OCS)</t>
  </si>
  <si>
    <t>GR-RS-PS</t>
  </si>
  <si>
    <t>Power Systems</t>
  </si>
  <si>
    <t>GR-RS-RS</t>
  </si>
  <si>
    <t>Rolling Stock (Passenger)</t>
  </si>
  <si>
    <t>GR-RS-TR</t>
  </si>
  <si>
    <t>Track System (Guidance System)</t>
  </si>
  <si>
    <t>GR-RS-TS</t>
  </si>
  <si>
    <t>Telecommunications System</t>
  </si>
  <si>
    <t>GR-WB-01</t>
  </si>
  <si>
    <t>WBS Section</t>
  </si>
  <si>
    <t>GR-WB-02</t>
  </si>
  <si>
    <t>WBS Lot</t>
  </si>
  <si>
    <t>LP-RL-CM</t>
  </si>
  <si>
    <t>Community Premises relocation</t>
  </si>
  <si>
    <t>LP-RL-CO</t>
  </si>
  <si>
    <t>Commercial Property</t>
  </si>
  <si>
    <t>LP-RL-RP</t>
  </si>
  <si>
    <t>Residential Premises Relocation</t>
  </si>
  <si>
    <t>LP-RL-SC</t>
  </si>
  <si>
    <t>School Relocation</t>
  </si>
  <si>
    <t>LP-RL-UT</t>
  </si>
  <si>
    <t>Utility Relocation</t>
  </si>
  <si>
    <t>NV-AC-AO</t>
  </si>
  <si>
    <t>Archaeological Object</t>
  </si>
  <si>
    <t>NV-AC-IN</t>
  </si>
  <si>
    <t>WSI - Intervention</t>
  </si>
  <si>
    <t>NV-AC-LS</t>
  </si>
  <si>
    <t>LS WSI</t>
  </si>
  <si>
    <t>NV-AC-MO</t>
  </si>
  <si>
    <t>Monument Find</t>
  </si>
  <si>
    <t>NV-AC-PP</t>
  </si>
  <si>
    <t>Project Plan</t>
  </si>
  <si>
    <t>NV-AC-WS</t>
  </si>
  <si>
    <t>Written Scheme of Investigation (WSI)</t>
  </si>
  <si>
    <t>NV-CM-OP</t>
  </si>
  <si>
    <t>Open Public Space</t>
  </si>
  <si>
    <t>NV-CM-PA</t>
  </si>
  <si>
    <t>Play Area</t>
  </si>
  <si>
    <t>NV-CM-PF</t>
  </si>
  <si>
    <t>Playing fields</t>
  </si>
  <si>
    <t>NV-ES-AF</t>
  </si>
  <si>
    <t>Animal Fencing</t>
  </si>
  <si>
    <t>NV-ES-AM</t>
  </si>
  <si>
    <t>Amphibians &amp; Reptiles Structure</t>
  </si>
  <si>
    <t>NV-ES-BN</t>
  </si>
  <si>
    <t>Bird Nesting Structure</t>
  </si>
  <si>
    <t>NV-ES-BR</t>
  </si>
  <si>
    <t>Bat Structures</t>
  </si>
  <si>
    <t>NV-ES-BS</t>
  </si>
  <si>
    <t>Badger Sett</t>
  </si>
  <si>
    <t>NV-ES-DE</t>
  </si>
  <si>
    <t>Deer Structure</t>
  </si>
  <si>
    <t>NV-ES-DO</t>
  </si>
  <si>
    <t>Dormouse Structure</t>
  </si>
  <si>
    <t>NV-ES-FP</t>
  </si>
  <si>
    <t>Fish Pass</t>
  </si>
  <si>
    <t>NV-ES-GC</t>
  </si>
  <si>
    <t>Great Crested Newt Structure</t>
  </si>
  <si>
    <t>NV-ES-HD</t>
  </si>
  <si>
    <t>Hedgehog Structure</t>
  </si>
  <si>
    <t>NV-ES-IN</t>
  </si>
  <si>
    <t>Invertebrate Structure</t>
  </si>
  <si>
    <t>NV-ES-ML</t>
  </si>
  <si>
    <t>Mammal Ledge</t>
  </si>
  <si>
    <t>NV-ES-OH</t>
  </si>
  <si>
    <t>Otter Holt</t>
  </si>
  <si>
    <t>NV-ES-PL</t>
  </si>
  <si>
    <t>Pond &amp; Lake</t>
  </si>
  <si>
    <t>NV-ES-RP</t>
  </si>
  <si>
    <t>Reptile Structure</t>
  </si>
  <si>
    <t>NV-ES-WV</t>
  </si>
  <si>
    <t>Water Vole Structure</t>
  </si>
  <si>
    <t>NV-HL-PA</t>
  </si>
  <si>
    <t>Paved area (non-carriageway)</t>
  </si>
  <si>
    <t>NV-HL-UP</t>
  </si>
  <si>
    <t>Unpaved Area</t>
  </si>
  <si>
    <t>OF-OP-MS</t>
  </si>
  <si>
    <t>Station</t>
  </si>
  <si>
    <t>OP-AP-EA</t>
  </si>
  <si>
    <t>Emergency Access Point</t>
  </si>
  <si>
    <t>OP-AP-MA</t>
  </si>
  <si>
    <t>Maintenance Access Point</t>
  </si>
  <si>
    <t>RL-NR-RL</t>
  </si>
  <si>
    <t>Railway Works</t>
  </si>
  <si>
    <t>SC-EN-EX</t>
  </si>
  <si>
    <t>Exclusions</t>
  </si>
  <si>
    <t>SC-EN-HE</t>
  </si>
  <si>
    <t>Habitat Establishment</t>
  </si>
  <si>
    <t>SC-EN-SC</t>
  </si>
  <si>
    <t>Site Clearance</t>
  </si>
  <si>
    <t>SC-EN-TR</t>
  </si>
  <si>
    <t>Translocation</t>
  </si>
  <si>
    <t>SC-EN-VE</t>
  </si>
  <si>
    <t>Vegetation Establishment</t>
  </si>
  <si>
    <t>TP-OL-ES</t>
  </si>
  <si>
    <t>Electrical Section</t>
  </si>
  <si>
    <t>UT-CW-PL</t>
  </si>
  <si>
    <t>Clean Water Pipeline</t>
  </si>
  <si>
    <t>UT-CW-PS</t>
  </si>
  <si>
    <t>UT-CW-ST</t>
  </si>
  <si>
    <t>Clean Water Structures</t>
  </si>
  <si>
    <t>UT-CW-TW</t>
  </si>
  <si>
    <t>Clean Water Treatment Works</t>
  </si>
  <si>
    <t>UT-DH-NW</t>
  </si>
  <si>
    <t>Heating Network</t>
  </si>
  <si>
    <t>UT-DH-ST</t>
  </si>
  <si>
    <t>District Heating Structure</t>
  </si>
  <si>
    <t>UT-EN-CS</t>
  </si>
  <si>
    <t>Cable Sealing Compound</t>
  </si>
  <si>
    <t>UT-EN-FS</t>
  </si>
  <si>
    <t>Autotransformer Feeder Station</t>
  </si>
  <si>
    <t>UT-EN-GS</t>
  </si>
  <si>
    <t>Grid Supply Point</t>
  </si>
  <si>
    <t>UT-EN-OH</t>
  </si>
  <si>
    <t>Overhead Electricity Route</t>
  </si>
  <si>
    <t>UT-EN-SS</t>
  </si>
  <si>
    <t>Electricity Sub Station</t>
  </si>
  <si>
    <t>UT-EN-UG</t>
  </si>
  <si>
    <t>Underground Electricity Route</t>
  </si>
  <si>
    <t>UT-FT-CB</t>
  </si>
  <si>
    <t>Telecoms Cabinets</t>
  </si>
  <si>
    <t>UT-FT-OH</t>
  </si>
  <si>
    <t>Telecoms Overhead Routes</t>
  </si>
  <si>
    <t>UT-FT-TX</t>
  </si>
  <si>
    <t>Telephone Exchange</t>
  </si>
  <si>
    <t>UT-FT-UG</t>
  </si>
  <si>
    <t>Telecoms Underground Routes</t>
  </si>
  <si>
    <t>UT-GN-PB</t>
  </si>
  <si>
    <t>Gas Pipe Bridge</t>
  </si>
  <si>
    <t>UT-GN-PL</t>
  </si>
  <si>
    <t>Gas Pipeline Route</t>
  </si>
  <si>
    <t>UT-GN-PR</t>
  </si>
  <si>
    <t>Pressure Reducing Station</t>
  </si>
  <si>
    <t>UT-HS-HS</t>
  </si>
  <si>
    <t>Historic Utility Structures</t>
  </si>
  <si>
    <t>UT-PC-NW</t>
  </si>
  <si>
    <t>Petrochemical Pipe Route</t>
  </si>
  <si>
    <t>UT-PC-TF</t>
  </si>
  <si>
    <t>Petrochemical Tank Farm</t>
  </si>
  <si>
    <t>UT-WW-FL</t>
  </si>
  <si>
    <t>Foul Water Pipework</t>
  </si>
  <si>
    <t>UT-WW-SP</t>
  </si>
  <si>
    <t>Surface Water Pipework</t>
  </si>
  <si>
    <t>UT-WW-ST</t>
  </si>
  <si>
    <t>Waste Water Structure</t>
  </si>
  <si>
    <t>UT-WW-TW</t>
  </si>
  <si>
    <t>Waste Water Treatment Works</t>
  </si>
  <si>
    <t>Co_80_50_70</t>
  </si>
  <si>
    <t>Rail distribution depots</t>
  </si>
  <si>
    <t>Co_80_50_74</t>
  </si>
  <si>
    <t>Railway stations</t>
  </si>
  <si>
    <t>Co_80_50_75</t>
  </si>
  <si>
    <t>Infrastructure Maintenance Depots (IMD)</t>
  </si>
  <si>
    <t>Co_80_50_77</t>
  </si>
  <si>
    <t>Rolling Stock Depots</t>
  </si>
  <si>
    <t>CV-US-TN-BR</t>
  </si>
  <si>
    <t>Bored Tunnel</t>
  </si>
  <si>
    <t>CV-US-TN-CC</t>
  </si>
  <si>
    <t>Cut &amp; Cover Tunnel</t>
  </si>
  <si>
    <t>CV-US-TN-MN</t>
  </si>
  <si>
    <t>Mined Tunnel</t>
  </si>
  <si>
    <t>CV-US-TN-PR</t>
  </si>
  <si>
    <t>Tunnel Portal</t>
  </si>
  <si>
    <t>EI-70-05-02</t>
  </si>
  <si>
    <t>CP - Cable percussion borehole</t>
  </si>
  <si>
    <t>EI-70-05-03</t>
  </si>
  <si>
    <t>CO - Cable percussion borehole with rotary open hole follow on</t>
  </si>
  <si>
    <t>EI-70-05-04</t>
  </si>
  <si>
    <t>CR - Cable percussion borehole with rotary cored follow on</t>
  </si>
  <si>
    <t>EI-70-05-05</t>
  </si>
  <si>
    <t>RC - Rotary coring</t>
  </si>
  <si>
    <t>EI-70-05-10</t>
  </si>
  <si>
    <t>RO - Open hole rotary drilling</t>
  </si>
  <si>
    <t>EI-70-05-15</t>
  </si>
  <si>
    <t>SB - Sonic borehole</t>
  </si>
  <si>
    <t>EI-70-05-20</t>
  </si>
  <si>
    <t>WS - Windowless sampling</t>
  </si>
  <si>
    <t>EI-70-05-25</t>
  </si>
  <si>
    <t>CB - Contamination boreholes</t>
  </si>
  <si>
    <t>EI-70-10-05</t>
  </si>
  <si>
    <t>TP - Trial pit</t>
  </si>
  <si>
    <t>EI-70-10-10</t>
  </si>
  <si>
    <t>HP - Hand dug pit</t>
  </si>
  <si>
    <t>EI-70-10-15</t>
  </si>
  <si>
    <t>TT - Trial trench</t>
  </si>
  <si>
    <t>EI-70-10-20</t>
  </si>
  <si>
    <t>OP - Observation pit (Shored)</t>
  </si>
  <si>
    <t>EI-70-10-25</t>
  </si>
  <si>
    <t>OT - Observation trench (Shored)</t>
  </si>
  <si>
    <t>EI-70-15-05</t>
  </si>
  <si>
    <t>SC - Structural coring</t>
  </si>
  <si>
    <t>EI-70-15-10</t>
  </si>
  <si>
    <t>PC - Pavement coring</t>
  </si>
  <si>
    <t>EI-70-20-05</t>
  </si>
  <si>
    <t>GG - General GI</t>
  </si>
  <si>
    <t>EI-70-20-10</t>
  </si>
  <si>
    <t>GM - Geophysical travers magnetic</t>
  </si>
  <si>
    <t>EI-70-20-15</t>
  </si>
  <si>
    <t>GP - Ground penetrating radar</t>
  </si>
  <si>
    <t>EI-70-20-20</t>
  </si>
  <si>
    <t>RA - Radiological Hazards</t>
  </si>
  <si>
    <t>EI-70-20-25</t>
  </si>
  <si>
    <t>SI - Structural investigation</t>
  </si>
  <si>
    <t>EI-70-20-30</t>
  </si>
  <si>
    <t>SW - Surface water gauging or sampling point</t>
  </si>
  <si>
    <t>EI-70-20-35</t>
  </si>
  <si>
    <t>UI - Non-intrusive utilities investigations</t>
  </si>
  <si>
    <t>EI-70-20-40</t>
  </si>
  <si>
    <t>FG - Flow Gauging station</t>
  </si>
  <si>
    <t>EI-70-25-05</t>
  </si>
  <si>
    <t>CT - Cone penetration testing</t>
  </si>
  <si>
    <t>EI-70-25-10</t>
  </si>
  <si>
    <t>CZ - Cone penetration testing with piezocone</t>
  </si>
  <si>
    <t>EI-70-25-15</t>
  </si>
  <si>
    <t>DP - Dynamic probing</t>
  </si>
  <si>
    <t>EI-70-25-20</t>
  </si>
  <si>
    <t>DS - Dynamic Sampling</t>
  </si>
  <si>
    <t>EI-70-25-25</t>
  </si>
  <si>
    <t>GS - Geophysical traverse seismic</t>
  </si>
  <si>
    <t>EI-70-25-30</t>
  </si>
  <si>
    <t>SP - Self-boring pressuremeter testing</t>
  </si>
  <si>
    <t>ES-EC-BD-01</t>
  </si>
  <si>
    <t>Badger - Field survey for signs of activity (BD1)</t>
  </si>
  <si>
    <t>ES-EC-BD-02</t>
  </si>
  <si>
    <t>Badger - Extended field survey in support of territory analysis (BD2)</t>
  </si>
  <si>
    <t>ES-EC-BD-03</t>
  </si>
  <si>
    <t>Badger - Bait Marking (BD3)</t>
  </si>
  <si>
    <t>ES-EC-BT-A1</t>
  </si>
  <si>
    <t>Bat - Activity (transect) (BA1)</t>
  </si>
  <si>
    <t>ES-EC-BT-A2</t>
  </si>
  <si>
    <t>Bat - Activity (static monitoring) (BA2)</t>
  </si>
  <si>
    <t>ES-EC-BT-A4</t>
  </si>
  <si>
    <t>Bat - Activity (mist net/harp trapping/radio tracking) (BA4)</t>
  </si>
  <si>
    <t>ES-EC-BT-A5</t>
  </si>
  <si>
    <t>Bat - Back tracking (BA5)</t>
  </si>
  <si>
    <t>ES-EC-BT-H1</t>
  </si>
  <si>
    <t>Bat - Hibernation (BH1)</t>
  </si>
  <si>
    <t>ES-EC-BT-R1</t>
  </si>
  <si>
    <t>Bat - Radio tracking (BR1)</t>
  </si>
  <si>
    <t>ES-EC-BT-R2</t>
  </si>
  <si>
    <t>Bat - Radio tracking paired sampling (BR2)</t>
  </si>
  <si>
    <t>ES-EC-BT-R3</t>
  </si>
  <si>
    <t>Bat - Radio tracking filming (BR3)</t>
  </si>
  <si>
    <t>ES-EC-BT-R4</t>
  </si>
  <si>
    <t>Bat - Radio tracking roost search (BR4)</t>
  </si>
  <si>
    <t>ES-EC-BT-R5</t>
  </si>
  <si>
    <t>Bat - Radio tracking trapping (BR5)</t>
  </si>
  <si>
    <t>ES-EC-BT-R6</t>
  </si>
  <si>
    <t>Bat - Roost Count Emergence (BR6)</t>
  </si>
  <si>
    <t>ES-EC-BT-S1</t>
  </si>
  <si>
    <t>Bat Building External - Initial assessment of structures including buildings, bridges and caves (BS1)</t>
  </si>
  <si>
    <t>ES-EC-BT-S2</t>
  </si>
  <si>
    <t>Bat Building Internal - Further inspection of structures including buildings, bridges and caves (BS2)</t>
  </si>
  <si>
    <t>ES-EC-BT-S3</t>
  </si>
  <si>
    <t>Bat Building Emergence Survey - Dusk- Emergence survey of structures including buildings, bridges and caves (BS3)</t>
  </si>
  <si>
    <t>ES-EC-BT-T1</t>
  </si>
  <si>
    <t>Bat - Initial assessment of trees (ground level) (BT1)</t>
  </si>
  <si>
    <t>ES-EC-BT-T2</t>
  </si>
  <si>
    <t>Bat - Tree Climbing Inspection (BT2)</t>
  </si>
  <si>
    <t>ES-EC-BT-T3</t>
  </si>
  <si>
    <t>Bat - Tree Emergence Survey - Dusk and Dawn (BT3)</t>
  </si>
  <si>
    <t>ES-EC-DI-VE</t>
  </si>
  <si>
    <t>Ditch Vegetation Survey (DS1)</t>
  </si>
  <si>
    <t>ES-EC-FI-FC</t>
  </si>
  <si>
    <t>Fish Count</t>
  </si>
  <si>
    <t>ES-EC-FI-FD</t>
  </si>
  <si>
    <t>Fish Details</t>
  </si>
  <si>
    <t>ES-EC-FI-HA</t>
  </si>
  <si>
    <t>ES-EC-GC-A1</t>
  </si>
  <si>
    <t>Amphibian - Pond Survey (AA1 and AA2)</t>
  </si>
  <si>
    <t>ES-EC-GC-A3</t>
  </si>
  <si>
    <t>Amphibian eDNA survey (AA3)</t>
  </si>
  <si>
    <t>ES-EC-GC-H1</t>
  </si>
  <si>
    <t>Amphibian - Habitat Suitability Index (HSI)/walkover (AH1)</t>
  </si>
  <si>
    <t>ES-EC-GC-T1</t>
  </si>
  <si>
    <t>Amphibian - Terrestrial Survey (Refuges Only) (AT1)</t>
  </si>
  <si>
    <t>ES-EC-GC-T2</t>
  </si>
  <si>
    <t>Amphibian - Terrestial Survey (Temporary Fencing and Pitfall Traps) (AT2)</t>
  </si>
  <si>
    <t>ES-EC-GI-SO</t>
  </si>
  <si>
    <t>Ground Investigations Ecology Sign-Off (GI2)</t>
  </si>
  <si>
    <t>ES-EC-HB-P1</t>
  </si>
  <si>
    <t>Phase 1 habitat survey - Habitat parcel/feature (PH1)</t>
  </si>
  <si>
    <t>ES-EC-HB-P2</t>
  </si>
  <si>
    <t>Phase 2 Vegetation Survey (PH2)</t>
  </si>
  <si>
    <t>ES-EC-HD-01</t>
  </si>
  <si>
    <t>Hazel dormouse - Habitat appraisal (HD1)</t>
  </si>
  <si>
    <t>ES-EC-HD-02</t>
  </si>
  <si>
    <t>Hazel dormouse - Nest tube survey (HD2)</t>
  </si>
  <si>
    <t>ES-EC-HD-03</t>
  </si>
  <si>
    <t>Hazel dormouse - Nut search (HD3)</t>
  </si>
  <si>
    <t>ES-EC-OT-FS</t>
  </si>
  <si>
    <t>Otter - Field Signs (OT2)</t>
  </si>
  <si>
    <t>ES-EC-OT-HA</t>
  </si>
  <si>
    <t>Otter - Habitat Assessment (OT1)</t>
  </si>
  <si>
    <t>ES-EC-PD-NA</t>
  </si>
  <si>
    <t>Pond National (PS3)</t>
  </si>
  <si>
    <t>ES-EC-PD-PS</t>
  </si>
  <si>
    <t>Pond Predictive System for Multimetrics (PS2)</t>
  </si>
  <si>
    <t>ES-EC-PD-RA</t>
  </si>
  <si>
    <t>Pond Rapid Assessment Method (PS1)</t>
  </si>
  <si>
    <t>ES-EC-RP-DS</t>
  </si>
  <si>
    <t>Reptiles - Survey (RE2)</t>
  </si>
  <si>
    <t>ES-EC-RP-HA</t>
  </si>
  <si>
    <t>Reptiles - Habitat Assessment (RE1)</t>
  </si>
  <si>
    <t>ES-EC-RV-CO</t>
  </si>
  <si>
    <t>River Corridor Survey (RS1)</t>
  </si>
  <si>
    <t>ES-EC-S1-BB</t>
  </si>
  <si>
    <t>S1 - Breeding Bird Survey (BB1)</t>
  </si>
  <si>
    <t>ES-EC-S1-BO</t>
  </si>
  <si>
    <t>S1 - Barn Owl Survey (BB3)</t>
  </si>
  <si>
    <t>ES-EC-S1-BR</t>
  </si>
  <si>
    <t>S1 - Black Redstart Survey (C251) (BB4)</t>
  </si>
  <si>
    <t>ES-EC-S1-KF</t>
  </si>
  <si>
    <t>S1 - Kingfisher Survey (BB5)</t>
  </si>
  <si>
    <t>ES-EC-SO-BA</t>
  </si>
  <si>
    <t>Soil Baseline Borehole Survey (BBS1)</t>
  </si>
  <si>
    <t>ES-EC-TR-S1</t>
  </si>
  <si>
    <t>Stage 1 Baseline Tree Survey (TS1)</t>
  </si>
  <si>
    <t>ES-EC-TR-S2</t>
  </si>
  <si>
    <t>Stage 2 Baseline Tree Survey (TS2)</t>
  </si>
  <si>
    <t>ES-EC-TR-S3</t>
  </si>
  <si>
    <t>Stage 3 Exceptional Tree Survey (TS3)</t>
  </si>
  <si>
    <t>ES-EC-WB-GE</t>
  </si>
  <si>
    <t>Wintering and Passage Birds General (WB1)</t>
  </si>
  <si>
    <t>ES-EC-WB-SS</t>
  </si>
  <si>
    <t>Wintering and Passage Birds Species Specific (WB2)</t>
  </si>
  <si>
    <t>ES-EC-WC-HA</t>
  </si>
  <si>
    <t>White-clawed crayfish - Habitat appraisal (WC1)</t>
  </si>
  <si>
    <t>ES-EC-WC-MS</t>
  </si>
  <si>
    <t>White-clawed crayfish - Manual search (WC2)</t>
  </si>
  <si>
    <t>ES-EC-WC-TS</t>
  </si>
  <si>
    <t>White-clawed crayfish - Trapping survey (WC3)</t>
  </si>
  <si>
    <t>ES-EC-WD-AW</t>
  </si>
  <si>
    <t>Ancient Woodland Assessment (AW1)</t>
  </si>
  <si>
    <t>ES-EC-WD-P1</t>
  </si>
  <si>
    <t>Pine Marten Habitat Assessment (PM1)</t>
  </si>
  <si>
    <t>ES-EC-WD-P2</t>
  </si>
  <si>
    <t>Pine Marten Transect (PM2)</t>
  </si>
  <si>
    <t>ES-EC-WD-P3</t>
  </si>
  <si>
    <t>Pine Marten Survey Stations (PM3)</t>
  </si>
  <si>
    <t>ES-EC-WD-W1</t>
  </si>
  <si>
    <t>Woodland Survey (WS1)</t>
  </si>
  <si>
    <t>ES-EC-WD-W2</t>
  </si>
  <si>
    <t>Woodland Survey (WS2)</t>
  </si>
  <si>
    <t>ES-EC-WV-FS</t>
  </si>
  <si>
    <t>Water vole - Field Signs (WV2)</t>
  </si>
  <si>
    <t>ES-EC-WV-HA</t>
  </si>
  <si>
    <t>Water vole - Habitat Assessment (WV1)</t>
  </si>
  <si>
    <t>NV-AC-AS-EX</t>
  </si>
  <si>
    <t>Archaeological excavation trench</t>
  </si>
  <si>
    <t>NV-ES-PL-EC</t>
  </si>
  <si>
    <t>Ecological Mitigation Ponds</t>
  </si>
  <si>
    <t>NV-ES-PL-FC</t>
  </si>
  <si>
    <t>Flood Compensation Area</t>
  </si>
  <si>
    <t>NV-HL-SF-BN</t>
  </si>
  <si>
    <t>Bench</t>
  </si>
  <si>
    <t>NV-HL-SF-CS</t>
  </si>
  <si>
    <t>Cycle Stand</t>
  </si>
  <si>
    <t>NV-HL-SF-LB</t>
  </si>
  <si>
    <t>Litter Bin</t>
  </si>
  <si>
    <t>NV-HL-SF-RM</t>
  </si>
  <si>
    <t>Ramps</t>
  </si>
  <si>
    <t>NV-HL-SF-SH</t>
  </si>
  <si>
    <t>Steps &amp; Handrails</t>
  </si>
  <si>
    <t>NV-HL-SF-SL</t>
  </si>
  <si>
    <t>Street lighting</t>
  </si>
  <si>
    <t>NV-HL-SF-SM</t>
  </si>
  <si>
    <t>Statue &amp; Monument</t>
  </si>
  <si>
    <t>NV-SL-PL-AM</t>
  </si>
  <si>
    <t>Meadow</t>
  </si>
  <si>
    <t>NV-SL-PL-FP</t>
  </si>
  <si>
    <t>Feature Planting</t>
  </si>
  <si>
    <t>NV-SL-PL-HD</t>
  </si>
  <si>
    <t>Hedgerow</t>
  </si>
  <si>
    <t>NV-SL-PL-HR</t>
  </si>
  <si>
    <t>Herbaceous</t>
  </si>
  <si>
    <t>NV-SL-PL-LG</t>
  </si>
  <si>
    <t>Amenity grassland</t>
  </si>
  <si>
    <t>NV-SL-PL-LP</t>
  </si>
  <si>
    <t>Landscape Planting</t>
  </si>
  <si>
    <t>NV-SL-PL-MP</t>
  </si>
  <si>
    <t>Marginal planting</t>
  </si>
  <si>
    <t>NV-SL-PL-SP</t>
  </si>
  <si>
    <t>Screen Planting</t>
  </si>
  <si>
    <t>NV-SL-PL-ST</t>
  </si>
  <si>
    <t>Tree</t>
  </si>
  <si>
    <t>NV-SL-PL-WD</t>
  </si>
  <si>
    <t>Woodland Planting</t>
  </si>
  <si>
    <t>NV-SL-PL-WP</t>
  </si>
  <si>
    <t>Wetland planting</t>
  </si>
  <si>
    <t>SC-EN-EX-BA</t>
  </si>
  <si>
    <t>Badger Exclusion</t>
  </si>
  <si>
    <t>SC-EN-EX-BB</t>
  </si>
  <si>
    <t>Breeding Bird Exclusion</t>
  </si>
  <si>
    <t>SC-EN-EX-BR</t>
  </si>
  <si>
    <t>Black Redstart Exclusion</t>
  </si>
  <si>
    <t>SC-EN-EX-BT</t>
  </si>
  <si>
    <t>Bat Exclusion</t>
  </si>
  <si>
    <t>SC-EN-EX-GC</t>
  </si>
  <si>
    <t>Great Crested Newt Exclusion</t>
  </si>
  <si>
    <t>SC-EN-EX-OT</t>
  </si>
  <si>
    <t>Otter Exclusion</t>
  </si>
  <si>
    <t>SC-EN-EX-RE</t>
  </si>
  <si>
    <t>Reptile Exclusion</t>
  </si>
  <si>
    <t>SC-EN-EX-WC</t>
  </si>
  <si>
    <t>White Cray Clawed Fish Exclusion</t>
  </si>
  <si>
    <t>SC-EN-HE-BB</t>
  </si>
  <si>
    <t>Breeding Birds Habitat Establishment</t>
  </si>
  <si>
    <t>SC-EN-HE-BR</t>
  </si>
  <si>
    <t>Black Redstart Habitat Establishment</t>
  </si>
  <si>
    <t>SC-EN-HE-DO</t>
  </si>
  <si>
    <t>Hazel Dormouse Habitat Establishment</t>
  </si>
  <si>
    <t>SC-EN-HE-FI</t>
  </si>
  <si>
    <t>Fish Habitat Establishment</t>
  </si>
  <si>
    <t>SC-EN-HE-GC</t>
  </si>
  <si>
    <t>Great Crested Newts Habitat Establishment</t>
  </si>
  <si>
    <t>SC-EN-HE-IN</t>
  </si>
  <si>
    <t>Invertebrates Habitat Establishment</t>
  </si>
  <si>
    <t>SC-EN-HE-RE</t>
  </si>
  <si>
    <t>Reptile Habitat Establishment</t>
  </si>
  <si>
    <t>SC-EN-HE-WC</t>
  </si>
  <si>
    <t>White Cray Clawed Fish Habitat Establishment</t>
  </si>
  <si>
    <t>SC-EN-HE-WV</t>
  </si>
  <si>
    <t>Water Vole Habitat Establishment</t>
  </si>
  <si>
    <t>SC-EN-TR-BA</t>
  </si>
  <si>
    <t>Badger Translocation</t>
  </si>
  <si>
    <t>SC-EN-TR-DO</t>
  </si>
  <si>
    <t>Hazel Dormouse Translocation</t>
  </si>
  <si>
    <t>SC-EN-TR-FI</t>
  </si>
  <si>
    <t>Fish Translocation</t>
  </si>
  <si>
    <t>SC-EN-TR-GC</t>
  </si>
  <si>
    <t>Great Crested Newts Translocation</t>
  </si>
  <si>
    <t>SC-EN-TR-RE</t>
  </si>
  <si>
    <t>Reptiles Translocation</t>
  </si>
  <si>
    <t>SC-EN-TR-WV</t>
  </si>
  <si>
    <t>Water Vole Translocation</t>
  </si>
  <si>
    <t>UT-CW-PL-GV</t>
  </si>
  <si>
    <t>Gates &amp; Valves</t>
  </si>
  <si>
    <t>UT-CW-PL-MH</t>
  </si>
  <si>
    <t>Manhole Chambers</t>
  </si>
  <si>
    <t>UT-CW-PL-WP</t>
  </si>
  <si>
    <t>Water Pipe</t>
  </si>
  <si>
    <t>UT-DH-NW-PL</t>
  </si>
  <si>
    <t>Heating Pipeline</t>
  </si>
  <si>
    <t>UT-DH-ST-PH</t>
  </si>
  <si>
    <t>District heating Pump House</t>
  </si>
  <si>
    <t>UT-FT-OH-CB</t>
  </si>
  <si>
    <t>Telecoms Cables</t>
  </si>
  <si>
    <t>UT-FT-OH-PL</t>
  </si>
  <si>
    <t>Telecoms Poles</t>
  </si>
  <si>
    <t>UT-FT-UG-CB</t>
  </si>
  <si>
    <t>UT-FT-UG-CH</t>
  </si>
  <si>
    <t>Telecoms Chambers</t>
  </si>
  <si>
    <t>UT-FT-UG-CX</t>
  </si>
  <si>
    <t>Telecoms Connections</t>
  </si>
  <si>
    <t>UT-GN-PL-GC</t>
  </si>
  <si>
    <t>Pipeline Gas Connection (Element)</t>
  </si>
  <si>
    <t>UT-GN-PL-LP</t>
  </si>
  <si>
    <t>Gas pipe (Element)</t>
  </si>
  <si>
    <t>UT-GN-PL-ST</t>
  </si>
  <si>
    <t>Gas Stopple (Element)</t>
  </si>
  <si>
    <t>UT-MT-TR-BS</t>
  </si>
  <si>
    <t>Mobile Telecoms Base Station</t>
  </si>
  <si>
    <t>UT-MT-TR-MS</t>
  </si>
  <si>
    <t>Mobile Telecoms Mast</t>
  </si>
  <si>
    <t>UT-PC-NW-PC</t>
  </si>
  <si>
    <t>Petrochemical Pipe Connector</t>
  </si>
  <si>
    <t>UT-PC-NW-PP</t>
  </si>
  <si>
    <t>Petrochemical Pipe</t>
  </si>
  <si>
    <t>UT-WW-FL-FP</t>
  </si>
  <si>
    <t>Foul Water Pipe</t>
  </si>
  <si>
    <t>UT-WW-FL-MH</t>
  </si>
  <si>
    <t>UT-WW-FL-VL</t>
  </si>
  <si>
    <t>Foul Water Valve</t>
  </si>
  <si>
    <t>UT-WW-ST-OF</t>
  </si>
  <si>
    <t>Outfall</t>
  </si>
  <si>
    <t>UT-WW-ST-PB</t>
  </si>
  <si>
    <t>Pipe Bridge</t>
  </si>
  <si>
    <t>UT-WW-ST-PS</t>
  </si>
  <si>
    <t>UT-WW-ST-ST</t>
  </si>
  <si>
    <t>Storm Tank</t>
  </si>
  <si>
    <t>UT-WW-ST-SY</t>
  </si>
  <si>
    <t>Syphon</t>
  </si>
  <si>
    <t>ES-EC-GI-SC-HA</t>
  </si>
  <si>
    <t>Habitats</t>
  </si>
  <si>
    <t>ES-EC-GI-SC-PR</t>
  </si>
  <si>
    <t>Pre Survey</t>
  </si>
  <si>
    <t>complete</t>
  </si>
  <si>
    <t>EK</t>
  </si>
  <si>
    <t xml:space="preserve">ABT,ADI,AFI,ANC,APR,BAS,BEM,BER,BLD,BLR,BNL,BRR,CAB,CAV,CHB,CLM,CLW,CPB,CPS,CPT,CTR,CUT,CVS,DCK,DEW,DLV,DRF,DTC,DWP,EXJ,FAU,FLR,FND,GAT,GFL,GLY,GRS,GRT,GSL,HDW,HND,HPD,INS,KRB,LDA,LEF,LHA,LNG,LNM,LOS,LSH,LSS,LUA,MHE,MNH,NSW,OCS,OPC,PCE,PHP,PIL,PIR,PLC,PND,PNI,PNO,PPE,PRL,PRP,PSG,PST,PSU,PVM,PWK,RDC,RDE,REX,RFL,RMP,ROO,RRS,RSL,RTU,SCF,SCH,SCW,SEL,SMP,SPC,SPE,SPK,SPL,STL,STR,STW,TFS,TMW,TNK,TRG,TRS,UEF,UPN,USS,UTD,VET,VGS,VLV,WHB,WIS,WLK,WMT,WPF,WTS,WVC,CV-BR,CV-CE,CV-DR,CV-HW,CV-PL,CV-US,CV-WF,DN-CO,GR-BL,GR-CT,GR-EA,GR-EM,GR-ER,GR-EW,GR-LP,GR-NC,GR-SP,GR-TN,GR-UT,GR-VD,IT-IB,IT-ID,IT-IE,IT-IF,IT-IG,IT-IH,IT-II,IT-IL,IT-IO,IT-IP,IT-IQ,IT-IR,IT-IS,IT-IU,IT-IV,IT-IW,LP-RL,OP-EA,SC-EN,SC-GR,SC-NV,UT-CW,UT-DH,UT-EN,UT-FT,UT-GN,UT-MT,UT-PC,UT-WW,WB-GW,WB-SW,WT-CN,WT-OW,WT-RV,ZZ-ZZ,CN-CT-TR,CN-DE-CM,CN-DE-CO,CN-DE-DR,CN-DE-GE,CN-DE-IN,CN-DE-OT,CN-DE-RE,CN-GE-CM,CN-GE-ST,CN-SC-AC,CN-SC-CC,CN-SC-CS,CN-SC-GI,CN-SC-HV,CN-SC-MC,CN-SC-RH,CN-SC-SC,CN-SC-SR,CN-SC-TR,CN-SC-TS,CN-TF-PC,CN-WA-CO,CN-WA-HA,CN-WA-IN,CN-WA-LF,CN-WA-RE,CN-WA-WA,CN-WA-WT,CV-BR-AQ,CV-BR-CV,CV-BR-FB,CV-BR-GB,CV-BR-OB,CV-BR-RB,CV-BR-TB,CV-BR-UB,CV-BR-UP,CV-BR-UT,CV-BR-VD,CV-BR-WT,CV-CE-AE,CV-CE-AG,CV-CE-CR,CV-CE-CT,CV-CE-EM,CV-CE-ME,CV-CE-RC,CV-CE-RE,CV-CE-RS,CV-CE-RW,CV-DR-BF,CV-DR-OP,CV-DR-PC,CV-DR-PI,CV-DR-PS,CV-HW-CW,CV-HW-FP,CV-HW-JU,CV-HW-PA,CV-HW-SF,CV-HW-VE,CV-PL-AC,CV-PL-LD,CV-PL-SP,CV-US-BS,CV-US-SH,CV-US-TN,CV-WF-BF,CV-WF-BN,CV-WF-HD,CV-WF-NB,CV-WF-SC,CV-WF-VS,CV-WF-WL,DT-MD-BL,ES-EC-BD,ES-EC-BT,ES-EC-GC,ES-EC-HB,ES-EC-HD,ES-EC-HE,ES-EC-OT,ES-EC-RP,ES-EC-S1,ES-EC-SC,ES-EC-WC,ES-EC-WV,ES-WT-PA,GR-EP-00,GR-EP-01,GR-EP-02,GR-EP-03,GR-EP-04,GR-EP-05,GR-RS-CC,GR-RS-MQ,GR-RS-OS,GR-RS-PS,GR-RS-RS,GR-RS-TR,GR-RS-TS,GR-WB-01,GR-WB-02,LP-RL-CM,LP-RL-CO,LP-RL-RP,LP-RL-SC,LP-RL-UT,NV-AC-AO,NV-AC-IN,NV-AC-LS,NV-AC-MO,NV-AC-PP,NV-AC-WS,NV-CM-OP,NV-CM-PA,NV-CM-PF,NV-ES-AF,NV-ES-AM,NV-ES-BN,NV-ES-BR,NV-ES-BS,NV-ES-DE,NV-ES-DO,NV-ES-FP,NV-ES-GC,NV-ES-HD,NV-ES-IN,NV-ES-ML,NV-ES-OH,NV-ES-PL,NV-ES-RP,NV-ES-WV,NV-HL-PA,NV-HL-UP,NV-SL-PL-AM,NV-SL-PL-FP,NV-SL-PL-HD,NV-SL-PL-HR,NV-SL-PL-LG,NV-SL-PL-LP,NV-SL-PL-MP,NV-SL-PL-RH,NV-SL-PL-SP,NV-SL-PL-ST,NV-SL-PL-WD,NV-SL-PL-WP,OF-OP-MS,OP-AP-EA,OP-AP-MA,RL-NR-RL,SC-EN-EX,SC-EN-HE,SC-EN-SC,SC-EN-TR,SC-EN-VE,TP-OL-ES,UT-CW-PL,UT-CW-PS,UT-CW-ST,UT-CW-TW,UT-DH-NW,UT-DH-ST,UT-EN-CS,UT-EN-FS,UT-EN-GS,UT-EN-OH,UT-EN-SS,UT-EN-UG,UT-FT-CB,UT-FT-OH,UT-FT-TX,UT-FT-UG,UT-GN-PB,UT-GN-PL,UT-GN-PR,UT-HS-HS,UT-PC-NW,UT-PC-TF,UT-WW-FL,UT-WW-SP,UT-WW-ST,UT-WW-TW,Co_80_50_70,Co_80_50_74,Co_80_50_75,Co_80_50_77,CV-US-TN-BR,CV-US-TN-CC,CV-US-TN-MN,CV-US-TN-PR,EI-70-05-02,EI-70-05-03,EI-70-05-04,EI-70-05-05,EI-70-05-10,EI-70-05-15,EI-70-05-20,EI-70-05-25,EI-70-10-05,EI-70-10-10,EI-70-10-15,EI-70-10-20,EI-70-10-25,EI-70-15-05,EI-70-15-10,EI-70-20-05,EI-70-20-10,EI-70-20-15,EI-70-20-20,EI-70-20-25,EI-70-20-30,EI-70-20-35,EI-70-20-40,EI-70-25-05,EI-70-25-10,EI-70-25-15,EI-70-25-20,EI-70-25-25,EI-70-25-30,ES-EC-BD-01,ES-EC-BD-02,ES-EC-BD-03,ES-EC-BT-A1,ES-EC-BT-A2,ES-EC-BT-A4,ES-EC-BT-A5,ES-EC-BT-H1,ES-EC-BT-R1,ES-EC-BT-R2,ES-EC-BT-R3,ES-EC-BT-R4,ES-EC-BT-R5,ES-EC-BT-R6,ES-EC-BT-S1,ES-EC-BT-S2,ES-EC-BT-S3,ES-EC-BT-T1,ES-EC-BT-T2,ES-EC-BT-T3,ES-EC-DI-VE,ES-EC-FI-FC,ES-EC-FI-FD,ES-EC-FI-HA,ES-EC-GC-A1,ES-EC-GC-A3,ES-EC-GC-H1,ES-EC-GC-T1,ES-EC-GC-T2,ES-EC-GI-SO,ES-EC-HB-P1,ES-EC-HB-P2,ES-EC-HD-01,ES-EC-HD-02,ES-EC-HD-03,ES-EC-OT-FS,ES-EC-OT-HA,ES-EC-PD-NA,ES-EC-PD-PS,ES-EC-PD-RA,ES-EC-RP-DS,ES-EC-RP-HA,ES-EC-RV-CO,ES-EC-S1-BB,ES-EC-S1-BO,ES-EC-S1-BR,ES-EC-S1-KF,ES-EC-SO-BA,ES-EC-TR-S1,ES-EC-TR-S2,ES-EC-TR-S3,ES-EC-WB-GE,ES-EC-WB-SS,ES-EC-WC-HA,ES-EC-WC-MS,ES-EC-WC-TS,ES-EC-WD-AW,ES-EC-WD-P1,ES-EC-WD-P2,ES-EC-WD-P3,ES-EC-WD-W1,ES-EC-WD-W2,ES-EC-WV-FS,ES-EC-WV-HA,NV-AC-AS-EX,NV-ES-PL-EC,NV-ES-PL-FC,NV-HL-SF-BN,NV-HL-SF-CS,NV-HL-SF-LB,NV-HL-SF-RM,NV-HL-SF-SH,NV-HL-SF-SL,NV-HL-SF-SM,NV-SL-PL-AM,NV-SL-PL-FP,NV-SL-PL-HD,NV-SL-PL-HR,NV-SL-PL-LG,NV-SL-PL-LP,NV-SL-PL-MP,NV-SL-PL-SP,NV-SL-PL-ST,NV-SL-PL-WD,NV-SL-PL-WP,SC-EN-EX-BA,SC-EN-EX-BB,SC-EN-EX-BR,SC-EN-EX-BT,SC-EN-EX-GC,SC-EN-EX-OT,SC-EN-EX-RE,SC-EN-EX-WC,SC-EN-HE-BB,SC-EN-HE-BR,SC-EN-HE-DO,SC-EN-HE-FI,SC-EN-HE-GC,SC-EN-HE-IN,SC-EN-HE-RE,SC-EN-HE-WC,SC-EN-HE-WV,SC-EN-TR-BA,SC-EN-TR-DO,SC-EN-TR-FI,SC-EN-TR-GC,SC-EN-TR-RE,SC-EN-TR-WV,UT-CW-PL-GV,UT-CW-PL-MH,UT-CW-PL-WP,UT-DH-NW-PL,UT-DH-ST-PH,UT-FT-OH-CB,UT-FT-OH-PL,UT-FT-UG-CB,UT-FT-UG-CH,UT-FT-UG-CX,UT-GN-PL-GC,UT-GN-PL-LP,UT-GN-PL-ST,UT-MT-TR-BS,UT-MT-TR-MS,UT-PC-NW-PC,UT-PC-NW-PP,UT-WW-FL-FP,UT-WW-FL-MH,UT-WW-FL-VL,UT-WW-ST-OF,UT-WW-ST-PB,UT-WW-ST-PS,UT-WW-ST-ST,UT-WW-ST-SY,ES-EC-GI-SC-HA,ES-EC-GI-SC-PR
</t>
  </si>
  <si>
    <t>count</t>
  </si>
  <si>
    <t>Scope Level 2 UAID</t>
  </si>
  <si>
    <t>strAttr</t>
  </si>
  <si>
    <t>System</t>
  </si>
  <si>
    <t/>
  </si>
  <si>
    <t>Asset Name 2</t>
  </si>
  <si>
    <t>AssetName_2</t>
  </si>
  <si>
    <t>Asset Description 2</t>
  </si>
  <si>
    <t>AssetDescription_2</t>
  </si>
  <si>
    <t>Fences and Walls</t>
  </si>
  <si>
    <t>Gas pipe Element</t>
  </si>
  <si>
    <t>Ordinary Water Course</t>
  </si>
  <si>
    <t>Planting</t>
  </si>
  <si>
    <t>HS2 Asset Classification</t>
  </si>
  <si>
    <t>HS2_Class</t>
  </si>
  <si>
    <t>NV-SL-PL-RH</t>
  </si>
  <si>
    <t>startChainage</t>
  </si>
  <si>
    <t>numAttr</t>
  </si>
  <si>
    <t>endChainage</t>
  </si>
  <si>
    <t>osgbEasting</t>
  </si>
  <si>
    <t>osgbNorthing</t>
  </si>
  <si>
    <t>Snake Grid Easting</t>
  </si>
  <si>
    <t>snakeGridEasting</t>
  </si>
  <si>
    <t>Snake Grid Northing</t>
  </si>
  <si>
    <t>snakeGridNorthing</t>
  </si>
  <si>
    <t>Scope Level 1 UAID</t>
  </si>
  <si>
    <t>UAID_1</t>
  </si>
  <si>
    <t xml:space="preserve">ABT,ADI,AFI,ANC,APR,BAS,BEM,BER,BLD,BLR,BNL,BRR,CAB,CAV,CHB,CLM,CLW,CPB,CPS,CPT,CTR,CUT,CVS,DCK,DEW,DLV,DRF,DTC,DWP,EXJ,FAU,FLR,FND,GAT,GFL,GLY,GRS,GRT,GSL,HDW,HND,HPD,INS,KRB,LDA,LEF,LHA,LNG,LNM,LOS,LSH,LSS,LUA,MHE,MNH,NSW,OCS,OPC,PCE,PHP,PIL,PIR,PLC,PND,PNI,PNO,PPE,PRL,PRP,PSG,PST,PSU,PVM,PWK,RDC,RDE,REX,RFL,RMP,ROO,RRS,RSL,RTU,SCF,SCH,SCW,SEL,SMP,SPC,SPE,SPK,SPL,STL,STR,STW,TFS,TMW,TNK,TRG,TRS,UEF,UPN,USS,UTD,VET,VGS,VLV,WHB,WIS,WLK,WMT,WPF,WTS,WVC,ZZ-ZZ,NV-SL-PL-AM,NV-SL-PL-FP,NV-SL-PL-HD,NV-SL-PL-HR,NV-SL-PL-LG,NV-SL-PL-LP,NV-SL-PL-MP,NV-SL-PL-RH,NV-SL-PL-SP,NV-SL-PL-ST,NV-SL-PL-WD,NV-SL-PL-WP
</t>
  </si>
  <si>
    <t>UniClassID</t>
  </si>
  <si>
    <t>Reference Number</t>
  </si>
  <si>
    <t>Com_RfrncNmbr</t>
  </si>
  <si>
    <t>Common</t>
  </si>
  <si>
    <t>Type (Layer description text)</t>
  </si>
  <si>
    <t>Com_Typ</t>
  </si>
  <si>
    <t>Com_Dscrptn</t>
  </si>
  <si>
    <r>
      <t>Volume (m</t>
    </r>
    <r>
      <rPr>
        <sz val="11"/>
        <color theme="1"/>
        <rFont val="Calibri"/>
        <family val="2"/>
      </rPr>
      <t>³)</t>
    </r>
  </si>
  <si>
    <t>Vlm</t>
  </si>
  <si>
    <t>Civils</t>
  </si>
  <si>
    <t>Material</t>
  </si>
  <si>
    <t>Mtrl</t>
  </si>
  <si>
    <t>Pr_15_31_26_07 Bentonite</t>
  </si>
  <si>
    <t>Pr_15_31_26_13 Chalk-Cut</t>
  </si>
  <si>
    <t>Pr_15_31_26_14 Clay-Aggregate Fill</t>
  </si>
  <si>
    <t>Pr_15_31_26_26 Earth-Cut</t>
  </si>
  <si>
    <t>Pr_15_31_26_50 Made Ground-Cut</t>
  </si>
  <si>
    <t>Pr_15_31_26_75 Sand-Aggregate Fill</t>
  </si>
  <si>
    <t>Pr_15_31_26_90 Topsoil-Cut</t>
  </si>
  <si>
    <t>Pr_15_57_27_49 Geotextile plastics composite sheets-Plastic</t>
  </si>
  <si>
    <t>Pr_15_57_27_60 Plastics geocomposite sheets-Plastic</t>
  </si>
  <si>
    <t>Pr_15_57_33_64 Plastics geogrids-Plastic</t>
  </si>
  <si>
    <t>Pr_15_57_35_57 NeedlePunchedNonWovenGeotextile</t>
  </si>
  <si>
    <t>Pr_15_57_35_61 Plastics geotextiles-Plastic</t>
  </si>
  <si>
    <t>Pr_15_93_30_28 ExpandedPolystyreneEPSFillBlock</t>
  </si>
  <si>
    <t>Pr_20_29_23_84 Stainless steel-Steel</t>
  </si>
  <si>
    <t>Pr_20_29_23_84 Steel- general - virgin-Steel</t>
  </si>
  <si>
    <t>Pr_20_29_81_63 Plastics soil nails-Plastic</t>
  </si>
  <si>
    <t>Pr_20_31_04_07 6F5-Aggregate Fill</t>
  </si>
  <si>
    <t>Pr_20_31_04_07 Type 1-Aggregate Fill</t>
  </si>
  <si>
    <t>Pr_20_31_04_07 Type 2-Aggregate Fill</t>
  </si>
  <si>
    <t>Pr_20_31_04_08 6B-Aggregate Fill</t>
  </si>
  <si>
    <t>Pr_20_31_04_08 6C-Aggregate Fill</t>
  </si>
  <si>
    <t>Pr_20_31_04_08 6F6-Aggregate Fill</t>
  </si>
  <si>
    <t>Pr_20_31_04_08 6F8-Aggregate Fill</t>
  </si>
  <si>
    <t>Pr_20_31_04_08 6F9-Aggregate Fill</t>
  </si>
  <si>
    <t>Pr_20_31_04_08 6n/P-Aggregate Fill</t>
  </si>
  <si>
    <t>Pr_20_31_04_08 class 1-Aggregate Fill</t>
  </si>
  <si>
    <t>Pr_20_31_04_13 Coarse general aggregates</t>
  </si>
  <si>
    <t>Pr_20_31_04_29 Fine aggregate Breedon Gravel</t>
  </si>
  <si>
    <t>Pr_20_31_04_56 NaturalStoneAggregate</t>
  </si>
  <si>
    <t>Pr_20_31_04_61 Perlite aggregates</t>
  </si>
  <si>
    <t>Pr_20_31_12 Lime - Quarried -Aggregate Fill</t>
  </si>
  <si>
    <t>Pr_20_31_12_13 Cement - 20% fly ash-Cement CEM II/A-V</t>
  </si>
  <si>
    <t>Pr_20_31_12_13 Cement - 21% fly ash-Cement CEM II/B-V</t>
  </si>
  <si>
    <t>Pr_20_31_12_13 Cement - 21% GGBS-Cement CEMII/B-S</t>
  </si>
  <si>
    <t>Pr_20_31_12_13 Cement - 35% fly ash-Cement CEMII/B-V</t>
  </si>
  <si>
    <t>Pr_20_31_12_13 Cement - 35% GGBS-Cement CEMII/B-S</t>
  </si>
  <si>
    <t>Pr_20_31_12_13 Cement - 65% GGBS-Cement CEMII/B</t>
  </si>
  <si>
    <t>Pr_20_31_12_13 Cement - 80% GGBS-Cement CEMII/B</t>
  </si>
  <si>
    <t>Pr_20_31_12_60 Cement - Average CEMI Portland -Cement</t>
  </si>
  <si>
    <t>Pr_20_31_16_12 Cement bound granular mixture</t>
  </si>
  <si>
    <t>Pr_20_31_16_21 C32/40-Insitu Concrete CEM 1</t>
  </si>
  <si>
    <t>Pr_20_31_16_21 C32/40-Insitu Concrete IIB+SR</t>
  </si>
  <si>
    <t>Pr_20_31_16_21 C32/40-Insitu Concrete IIIA</t>
  </si>
  <si>
    <t>Pr_20_31_16_21 C32/40-Insitu Concrete IIIB</t>
  </si>
  <si>
    <t>Pr_20_31_16_21 C32/40-Insitu Concrete IVB-V</t>
  </si>
  <si>
    <t>Pr_20_31_16_21 C32/40-Insitu Concrete IIIB+SR</t>
  </si>
  <si>
    <t>Pr_20_31_16_21 C32/40-Precast Concrete CEM 1</t>
  </si>
  <si>
    <t>Pr_20_31_16_21 C32/40-Precast Concrete IIB+SR</t>
  </si>
  <si>
    <t>Pr_20_31_16_21 C32/40-Precast Concrete IIIA</t>
  </si>
  <si>
    <t>Pr_20_31_16_21 C32/40-Precast Concrete IIIB</t>
  </si>
  <si>
    <t>Pr_20_31_16_21 C32/40-Precast Concrete IIIB+SR</t>
  </si>
  <si>
    <t>Pr_20_31_16_21 C32/40-Precast Concrete IVB-V</t>
  </si>
  <si>
    <t>Pr_20_31_16_21 C40/50-Insitu Concrete CEM 1</t>
  </si>
  <si>
    <t>Pr_20_31_16_21 C40/50-Insitu Concrete IIB+SR</t>
  </si>
  <si>
    <t>Pr_20_31_16_21 C40/50-Insitu Concrete IIIA</t>
  </si>
  <si>
    <t>Pr_20_31_16_21 C40/50-Insitu Concrete IIIB</t>
  </si>
  <si>
    <t>Pr_20_31_16_21 C40/50-Insitu Concrete IIIB+SR</t>
  </si>
  <si>
    <t>Pr_20_31_16_21 C40/50-Insitu Concrete IVB-V</t>
  </si>
  <si>
    <t>Pr_20_31_16_21 C40/50-Precast Concrete CEM 1</t>
  </si>
  <si>
    <t>Pr_20_31_16_21 C40/50-Precast Concrete IIB+SR</t>
  </si>
  <si>
    <t>Pr_20_31_16_21 C40/50-Precast Concrete IIIA</t>
  </si>
  <si>
    <t>Pr_20_31_16_21 C40/50-Precast Concrete IIIB</t>
  </si>
  <si>
    <t>Pr_20_31_16_21 C40/50-Precast Concrete IVB-V</t>
  </si>
  <si>
    <t>Pr_20_31_16_21 C50/60-Insitu Concrete CEM 1</t>
  </si>
  <si>
    <t>Pr_20_31_16_21 C50/60-Insitu Concrete IIB+SR</t>
  </si>
  <si>
    <t>Pr_20_31_16_21 C50/60-Insitu Concrete IIIA</t>
  </si>
  <si>
    <t>Pr_20_31_16_21 C50/60-Insitu Concrete IIIB</t>
  </si>
  <si>
    <t>Pr_20_31_16_21 C50/60-Insitu Concrete IVB-V</t>
  </si>
  <si>
    <t>Pr_20_31_16_21 C50/60-Precast Concrete CEM 1</t>
  </si>
  <si>
    <t>Pr_20_31_16_21 C50/60-Precast Concrete IIB+SR</t>
  </si>
  <si>
    <t>Pr_20_31_16_21 C50/60-Precast Concrete IIIA</t>
  </si>
  <si>
    <t>Pr_20_31_16_21 C50/60-Precast Concrete IIIB</t>
  </si>
  <si>
    <t>Pr_20_31_16_21 C50/60-Precast Concrete IVB-V</t>
  </si>
  <si>
    <t>Pr_20_31_16_21 C60/75-Precast Concrete CEM 1</t>
  </si>
  <si>
    <t>Pr_20_31_16_21 Concrete - General-Insitu Concrete</t>
  </si>
  <si>
    <t>Pr_20_31_16_21 Concrete - General-Precast Concrete</t>
  </si>
  <si>
    <t>Pr_20_31_16_21 Insitu Concrete C12/15</t>
  </si>
  <si>
    <t>Pr_20_31_16_21 Insitu Concrete C16/20</t>
  </si>
  <si>
    <t>Pr_20_31_16_21 Insitu Concrete C20/25</t>
  </si>
  <si>
    <t>Pr_20_31_16_21 Insitu Concrete C25/30</t>
  </si>
  <si>
    <t>Pr_20_31_16_21 Insitu Concrete C30/37</t>
  </si>
  <si>
    <t>Pr_20_31_16_21 Insitu Concrete C32/40</t>
  </si>
  <si>
    <t>Pr_20_31_16_21 Insitu Concrete C35/45</t>
  </si>
  <si>
    <t>Pr_20_31_16_21 Insitu Concrete C40/50</t>
  </si>
  <si>
    <t>Pr_20_31_16_21 Insitu Concrete C45/55</t>
  </si>
  <si>
    <t>Pr_20_31_16_21 Insitu Concrete C50/60</t>
  </si>
  <si>
    <t>Pr_20_31_16_21 Insitu Concrete C8/10</t>
  </si>
  <si>
    <t>Pr_20_31_16_21 Insitu Concrete other</t>
  </si>
  <si>
    <t>Pr_20_31_16_21 Insitu Concrete ST1</t>
  </si>
  <si>
    <t>Pr_20_31_16_21 Insitu Concrete ST2</t>
  </si>
  <si>
    <t>Pr_20_31_16_21 Insitu Concrete ST3</t>
  </si>
  <si>
    <t>Pr_20_31_16_21 Insitu Concrete ST4</t>
  </si>
  <si>
    <t>Pr_20_31_16_21 Insitu Concrete ST5</t>
  </si>
  <si>
    <t>Pr_20_31_16_21 Precast Concrete C32/40</t>
  </si>
  <si>
    <t>Pr_20_31_16_21 Precast Concrete C35/45</t>
  </si>
  <si>
    <t>Pr_20_31_16_21 Precast Concrete C40/50</t>
  </si>
  <si>
    <t>Pr_20_31_16_21 Precast Concrete C45/55</t>
  </si>
  <si>
    <t>Pr_20_31_16_21 Precast Concrete C50/60</t>
  </si>
  <si>
    <t>Pr_20_31_16_21 Precast Concrete Other</t>
  </si>
  <si>
    <t>Pr_20_31_16_21 Precast Concrete ST4</t>
  </si>
  <si>
    <t>Pr_20_31_16_21 ST1-Insitu Concrete</t>
  </si>
  <si>
    <t>Pr_20_31_16_21 ST1-Precast Concrete</t>
  </si>
  <si>
    <t>Pr_20_31_16_21 ST2-Insitu Concrete</t>
  </si>
  <si>
    <t>Pr_20_31_16_21 ST2-Precast Concrete</t>
  </si>
  <si>
    <t>Pr_20_31_35_35 Gypsum</t>
  </si>
  <si>
    <t>Pr_20_31_86_62 HDPE</t>
  </si>
  <si>
    <t>Pr_20_31_86_88 Thermoplastic elastomer (TPE) resins</t>
  </si>
  <si>
    <t>Pr_20_76_51 Weathering Steel S275</t>
  </si>
  <si>
    <t>Pr_20_76_51 Weathering Steel S355</t>
  </si>
  <si>
    <t>Pr_20_76_51_07 Aluminium structural sections</t>
  </si>
  <si>
    <t>Pr_20_76_51_09 Brass sections</t>
  </si>
  <si>
    <t>Pr_20_76_51_12 Steel S275 - general steel</t>
  </si>
  <si>
    <t>Pr_20_76_51_12 Steel S275 - recycled steel</t>
  </si>
  <si>
    <t>Pr_20_76_51_12 Steel S275 - virgin steel</t>
  </si>
  <si>
    <t>Pr_20_76_51_12 Steel S355 - general steel</t>
  </si>
  <si>
    <t>Pr_20_76_51_12 Steel S355 - recycled steel</t>
  </si>
  <si>
    <t>Pr_20_76_51_12 Steel S355 - virgin steel</t>
  </si>
  <si>
    <t>Pr_20_76_51_12 Steel S460 - general steel</t>
  </si>
  <si>
    <t>Pr_20_76_51_12 Steel S460 - recycled steel</t>
  </si>
  <si>
    <t>Pr_20_76_51_12 Steel S460 - virgin steel</t>
  </si>
  <si>
    <t>Pr_20_76_51_12 Steel section - general-Steel</t>
  </si>
  <si>
    <t>Pr_20_76_51_12 Steel section - recycled-Steel</t>
  </si>
  <si>
    <t>Pr_20_76_51_12 Steel section - virgin-Steel</t>
  </si>
  <si>
    <t>Pr_20_76_51_20 Cast iron 400-15</t>
  </si>
  <si>
    <t>Pr_20_76_51_20 Cast iron 400-18</t>
  </si>
  <si>
    <t>Pr_20_76_51_20 Cast iron 450-10</t>
  </si>
  <si>
    <t>Pr_20_76_51_20 Cast iron 500-7</t>
  </si>
  <si>
    <t>Pr_20_76_51_20 Cast iron 600-3</t>
  </si>
  <si>
    <t>Pr_20_76_51_20 Cast iron 700-2</t>
  </si>
  <si>
    <t>Pr_20_76_51_20 Cast iron products</t>
  </si>
  <si>
    <t>Pr_20_76_51_21 Steel sections galvanised - general-Steel</t>
  </si>
  <si>
    <t>Pr_20_76_51_21 Steel sections galvanised - recycled-Steel</t>
  </si>
  <si>
    <t>Pr_20_76_51_21 Steel sections galvanised - virgin-Steel</t>
  </si>
  <si>
    <t>Pr_20_76_51_23 Copper alloy sections</t>
  </si>
  <si>
    <t>Pr_20_76_51_81 Stainless steel bar and rod</t>
  </si>
  <si>
    <t>Pr_20_76_51_83 Stainless steel sheet</t>
  </si>
  <si>
    <t>Pr_20_76_52_85 Stainless Steel seamless circular tubes</t>
  </si>
  <si>
    <t>Pr_20_76_52_86 Stainless steel welded circular tubes</t>
  </si>
  <si>
    <t>Pr_20_76_63 Plastic Pipes</t>
  </si>
  <si>
    <t>Pr_20_76_88 Timber - General-Timber</t>
  </si>
  <si>
    <t>Pr_20_76_88_37 HardwoodLogPole</t>
  </si>
  <si>
    <t>Pr_20_76_88_86 TimberFencingBatten</t>
  </si>
  <si>
    <t>Pr_20_85_03_84 Stainless steel angles</t>
  </si>
  <si>
    <t>Pr_20_85_08_83 Stainless steel structural beams</t>
  </si>
  <si>
    <t>Pr_20_85_09_81 Stainless steel brackets</t>
  </si>
  <si>
    <t>Pr_20_85_16_84 Stainless steel structural columns</t>
  </si>
  <si>
    <t>Pr_20_85_28_15 CoirErosionMat</t>
  </si>
  <si>
    <t>Pr_20_85_28_64 PolypropylenePpRockRoll</t>
  </si>
  <si>
    <t>Pr_20_85_85_74 Rubber bearings</t>
  </si>
  <si>
    <t>Pr_20_93_52_01 Concrete block - 10mpa-Blockwork</t>
  </si>
  <si>
    <t>Pr_20_93_52_01 Concrete block - 12mpa-Blockwork</t>
  </si>
  <si>
    <t>Pr_20_93_52_01 Concrete block - 13 mpa-Blockwork</t>
  </si>
  <si>
    <t>Pr_20_93_52_01 Concrete block - 8 mpa-Blockwork</t>
  </si>
  <si>
    <t>Pr_20_93_52_01 Concrete block - general-Blockwork</t>
  </si>
  <si>
    <t>Pr_20_93_52_02 Bricks - General-Brickwork</t>
  </si>
  <si>
    <t>Pr_20_96_71_11 Steel - bar and rod - general-Steel</t>
  </si>
  <si>
    <t>Pr_20_96_71_11 Steel - bar and rod - virgin-Steel</t>
  </si>
  <si>
    <t>Pr_20_96_71_11 Steel- bar and rod - recycled-Steel</t>
  </si>
  <si>
    <t>Pr_25_57_08 Waterproofing membrane-Waterproofing</t>
  </si>
  <si>
    <t>Pr_25_57_51_54 Modified acrylic fabric</t>
  </si>
  <si>
    <t>Pr_25_57_65 Plastics membranes-Plastic</t>
  </si>
  <si>
    <t>Pr_25_71_44_08 Bitumen rubber expansion joint fillers</t>
  </si>
  <si>
    <t>Pr_25_71_50_19 CarbonSteelWeldedMeshPanel</t>
  </si>
  <si>
    <t>Pr_25_71_50_24 Steel Sheets -weathering steel</t>
  </si>
  <si>
    <t>Pr_25_71_51_01 Aluminium sheets strips and plates</t>
  </si>
  <si>
    <t>Pr_25_71_51_15 Steel sheet - general steel</t>
  </si>
  <si>
    <t>Pr_25_71_51_15 Steel sheet - recycled steel</t>
  </si>
  <si>
    <t>Pr_25_71_51_15 Steel sheet - virgin steel</t>
  </si>
  <si>
    <t>Pr_25_71_51_86 Steel sheet - galvanised virgin-Steel</t>
  </si>
  <si>
    <t>Pr_25_71_51_88 Steel plate</t>
  </si>
  <si>
    <t>Pr_25_71_57_63 Plastics panels</t>
  </si>
  <si>
    <t>Pr_25_71_63_26 Expandedpolystyrene(EPS)boards</t>
  </si>
  <si>
    <t>Pr_25_71_63_32 Glass-reinforced plastics (GRP) panels</t>
  </si>
  <si>
    <t>Pr_25_71_63_59 PhenolicFoamBoards</t>
  </si>
  <si>
    <t>Pr_25_71_63_65 PolycarbonateProfiledSheets</t>
  </si>
  <si>
    <t>Pr_25_93_45_56 Natural Stone Kerb</t>
  </si>
  <si>
    <t>Pr_35_31_05 AsphaltBitumenResinMixture</t>
  </si>
  <si>
    <t>Pr_35_31_05 Bitumen coating-Waterproofing</t>
  </si>
  <si>
    <t>Pr_35_31_05_03 AsphaltConcreteACBaseCourse</t>
  </si>
  <si>
    <t>Pr_35_31_05_04 AsphaltConcreteACBinderCourse</t>
  </si>
  <si>
    <t>Pr_35_31_05_05 AsphaltConcreteACSurfaceCourse</t>
  </si>
  <si>
    <t>Pr_35_31_05_05 Bituminous Bound Pavements Hot rolled asphalt surface concrete-Asphalt</t>
  </si>
  <si>
    <t>Pr_35_31_05_10 Bonded grit surfacing</t>
  </si>
  <si>
    <t>Pr_35_31_05_38 Bituminous Bound Pavements Hot rolled asphalt base-Asphalt</t>
  </si>
  <si>
    <t>Pr_35_31_05_39 Bituminous Bound Pavements Hot rolled asphalt binder-Asphalt</t>
  </si>
  <si>
    <t>Pr_35_31_05_40 Bituminous Bound Pavements Track Coat-Asphalt</t>
  </si>
  <si>
    <t>Pr_35_31_85_90 ThermoplasticRoadMarking</t>
  </si>
  <si>
    <t>Pr_35_90_60_71 Retroreflecting road studs</t>
  </si>
  <si>
    <t>Pr_35_90_87_15 Copper conductor tapes</t>
  </si>
  <si>
    <t>Pr_45_30 Flora products</t>
  </si>
  <si>
    <t>Pr_45_30_90_74 RootballedTree</t>
  </si>
  <si>
    <t>Pr_45_31_89_50 ManufacturedGrowingMedium</t>
  </si>
  <si>
    <t>Pr_45_63_64_80 SoftwoodPeg</t>
  </si>
  <si>
    <t>Pr_65_52_01_61 Plastics below-ground access or equipment chambers</t>
  </si>
  <si>
    <t>Pr_65_52_07_25 Ductile iron pressure pipes and fittings</t>
  </si>
  <si>
    <t>Pr_65_52_63_82 Steel pipe - general-Steel</t>
  </si>
  <si>
    <t>Pr_65_52_63_82 Steel pipe - recycled-Steel</t>
  </si>
  <si>
    <t>Pr_65_52_63_82 Steel pipe - virgin-Steel</t>
  </si>
  <si>
    <t>Pr_65_70_11_16 Cable troughs</t>
  </si>
  <si>
    <t>GFL,GRS,GRT,LEF,LOS,LSH,LSS,PRL,PSG,STL,UEF,USS</t>
  </si>
  <si>
    <t>GeoTec Material - Temp Coln. Copy Data to Mtrl and delete column once complete</t>
  </si>
  <si>
    <t>Mtrl-Geotec</t>
  </si>
  <si>
    <t>Pr_15_31_26_33 1A1-Well graded granular fill</t>
  </si>
  <si>
    <t>Pr_15_31_26_33 1A2-Well graded granular fill</t>
  </si>
  <si>
    <r>
      <t>Pr_15_31_26_33 1A3-(</t>
    </r>
    <r>
      <rPr>
        <sz val="11"/>
        <color indexed="10"/>
        <rFont val="Calibri"/>
        <family val="2"/>
      </rPr>
      <t>Green Tunnel Zone 3</t>
    </r>
    <r>
      <rPr>
        <sz val="11"/>
        <color theme="1"/>
        <rFont val="Calibri"/>
        <family val="2"/>
        <scheme val="minor"/>
      </rPr>
      <t>) Well graded granular fill</t>
    </r>
  </si>
  <si>
    <t>Pr_15_31_26_33 1A4-Well graded granular fill</t>
  </si>
  <si>
    <t>Pr_15_31_26_33 1A5-Well graded granular fill</t>
  </si>
  <si>
    <t>Pr_15_31_26_33 1A6-Well graded granular fill</t>
  </si>
  <si>
    <r>
      <t>Pr_15_31_26_33 1A7-(</t>
    </r>
    <r>
      <rPr>
        <sz val="11"/>
        <color indexed="10"/>
        <rFont val="Calibri"/>
        <family val="2"/>
      </rPr>
      <t>Green Tunnel Zone 4</t>
    </r>
    <r>
      <rPr>
        <sz val="11"/>
        <color theme="1"/>
        <rFont val="Calibri"/>
        <family val="2"/>
        <scheme val="minor"/>
      </rPr>
      <t>) Well graded granular fill</t>
    </r>
  </si>
  <si>
    <t>Pr_15_31_26_33 1B1-Uniformly graded granular material fill</t>
  </si>
  <si>
    <t>Pr_15_31_26_33 1B2-Uniformly graded granular material fill</t>
  </si>
  <si>
    <r>
      <t>Pr_15_31_26_33 1B3-(</t>
    </r>
    <r>
      <rPr>
        <sz val="11"/>
        <color indexed="10"/>
        <rFont val="Calibri"/>
        <family val="2"/>
      </rPr>
      <t>Green Tunnel Zone 3</t>
    </r>
    <r>
      <rPr>
        <sz val="11"/>
        <color theme="1"/>
        <rFont val="Calibri"/>
        <family val="2"/>
        <scheme val="minor"/>
      </rPr>
      <t>) Uniformly graded granular material fill</t>
    </r>
  </si>
  <si>
    <t>Pr_15_31_26_33 1B4-Uniformly graded granular material fill</t>
  </si>
  <si>
    <t>Pr_15_31_26_33 1B5-Uniformly graded granular material fill</t>
  </si>
  <si>
    <t>Pr_15_31_26_33 1B6-Uniformly graded granular material fill</t>
  </si>
  <si>
    <r>
      <t>Pr_15_31_26_33 1B7-(</t>
    </r>
    <r>
      <rPr>
        <sz val="11"/>
        <color indexed="10"/>
        <rFont val="Calibri"/>
        <family val="2"/>
      </rPr>
      <t>Green Tunnel Zone 4</t>
    </r>
    <r>
      <rPr>
        <sz val="11"/>
        <color theme="1"/>
        <rFont val="Calibri"/>
        <family val="2"/>
        <scheme val="minor"/>
      </rPr>
      <t>) Uniformly graded granular material fill</t>
    </r>
  </si>
  <si>
    <r>
      <t>Pr_15_31_26_33 1C1-</t>
    </r>
    <r>
      <rPr>
        <sz val="11"/>
        <color indexed="10"/>
        <rFont val="Calibri"/>
        <family val="2"/>
      </rPr>
      <t>Coarse</t>
    </r>
    <r>
      <rPr>
        <sz val="11"/>
        <color theme="1"/>
        <rFont val="Calibri"/>
        <family val="2"/>
        <scheme val="minor"/>
      </rPr>
      <t xml:space="preserve"> granular material fill</t>
    </r>
  </si>
  <si>
    <t>Pr_15_31_26_17 2A1-Wet cohesive material fill</t>
  </si>
  <si>
    <t>Pr_15_31_26_17 2A2-(Green Tunnel Zone 4) Wet cohesive material fill</t>
  </si>
  <si>
    <t>Pr_15_31_26_17 2A3-Wet cohesive material fill</t>
  </si>
  <si>
    <t>Pr_15_31_26_17 2A4-Wet cohesive material fill</t>
  </si>
  <si>
    <t>Pr_15_31_26_17 2A5-Wet cohesive material fill</t>
  </si>
  <si>
    <t>Pr_15_31_26_17 2B1-Dry cohesive material fill</t>
  </si>
  <si>
    <t>Pr_15_31_26_17 2B2-Dry cohesive material fill</t>
  </si>
  <si>
    <t>Pr_15_31_26_17 2B3-Dry cohesive material fill</t>
  </si>
  <si>
    <t>Pr_15_31_26_17 2B4-Dry cohesive material fill</t>
  </si>
  <si>
    <t>Pr_15_31_26_17 2B5-Dry cohesive material fill</t>
  </si>
  <si>
    <t>Pr_15_31_26_17 2C1-Stoney cohesive material fill</t>
  </si>
  <si>
    <t>Pr_15_31_26_17 2C2-(Green Tunnel Zone 4) Stoney cohesive material fill</t>
  </si>
  <si>
    <t>Pr_15_31_26_17 2C3-Stoney cohesive material fill</t>
  </si>
  <si>
    <t>Pr_15_31_26_17 2C4-Stoney cohesive material fill</t>
  </si>
  <si>
    <t>Pr_15_31_26_17 2D1-Silty cohesive material fill</t>
  </si>
  <si>
    <t>Pr_15_31_26_17 2D2-(Green Tunnel Zone 4) Silty cohesive material fill</t>
  </si>
  <si>
    <t>Pr_15_31_26_17 2D3-Silty cohesive material fill</t>
  </si>
  <si>
    <t>Pr_15_31_26_17 2D4-Silty cohesive material fill</t>
  </si>
  <si>
    <t>Pr_15_31_26_17 2E1-Reclaimed pulverised fuel ash cohesive material fill</t>
  </si>
  <si>
    <t>Pr_15_31_26_17 2F1-(Green Tunnel Zone 3) Dry cohesive material fill</t>
  </si>
  <si>
    <t>Pr_15_31_26_13 3A1-(LEF_UEF) Chalk fill</t>
  </si>
  <si>
    <t>Pr_15_31_26_13 3A2-Chalk fill</t>
  </si>
  <si>
    <t>Pr_15_31_26_13 3A3-(LEF_UEF) Chalk fill</t>
  </si>
  <si>
    <t>Pr_15_31_26_13 3A4-Chalk fill</t>
  </si>
  <si>
    <t>Pr_15_31_26_13 3A5-Chalk fill</t>
  </si>
  <si>
    <t>Pr_15_31_26_13 3A6-(Green Tunnel Zone 3) Chalk fill</t>
  </si>
  <si>
    <t>Pr_15_31_26_13 3B1-(For Stablising as Class 9M) Chalk fill</t>
  </si>
  <si>
    <t>Pr_15_31_26_13 3C1-(For Stablising as Class 9N) Chalk fill</t>
  </si>
  <si>
    <t>Pr_15_31_26_46 4A1-Various fill</t>
  </si>
  <si>
    <t>Pr_15_31_26_46 4A2-Various fill</t>
  </si>
  <si>
    <t>Pr_15_31_26_46 4A3-Various fill</t>
  </si>
  <si>
    <t>Pr_15_31_26_90 5A1-Topsoil or turf existing on site</t>
  </si>
  <si>
    <t>Pr_15_31_26_90 5B1-Imported topsoil</t>
  </si>
  <si>
    <t>Pr_15_31_26_90 5S1-Agricultural subsoil</t>
  </si>
  <si>
    <t>Pr_15_31_26_33 6A1-(HSR &amp; Non HSR Earthworks) Selected well graded granular material fill</t>
  </si>
  <si>
    <t>Pr_15_31_26_33 6C1-(HSR &amp; Non HSR Earthworks) Selected uniformly graded granular material fill</t>
  </si>
  <si>
    <r>
      <t>Pr_15_31_26_33 6E1-(</t>
    </r>
    <r>
      <rPr>
        <sz val="11"/>
        <color indexed="10"/>
        <rFont val="Calibri"/>
        <family val="2"/>
      </rPr>
      <t>For Stabilising as Class 9G</t>
    </r>
    <r>
      <rPr>
        <sz val="11"/>
        <color theme="1"/>
        <rFont val="Calibri"/>
        <family val="2"/>
        <scheme val="minor"/>
      </rPr>
      <t>) Selected granular material fill</t>
    </r>
  </si>
  <si>
    <t>Pr_15_31_26_33 6F1-Selected granular material fill (fine grading)</t>
  </si>
  <si>
    <r>
      <t>Pr_15_31_26_33 6F2-Selected granular material fill (</t>
    </r>
    <r>
      <rPr>
        <sz val="11"/>
        <color indexed="10"/>
        <rFont val="Calibri"/>
        <family val="2"/>
      </rPr>
      <t xml:space="preserve">coarse </t>
    </r>
    <r>
      <rPr>
        <sz val="11"/>
        <color theme="1"/>
        <rFont val="Calibri"/>
        <family val="2"/>
        <scheme val="minor"/>
      </rPr>
      <t>grading)</t>
    </r>
  </si>
  <si>
    <t>Pr_15_31_26_33 6F3-Selected granular material fill</t>
  </si>
  <si>
    <r>
      <t xml:space="preserve">Pr_15_31_26_33 6F4-Selected granular material fill </t>
    </r>
    <r>
      <rPr>
        <sz val="11"/>
        <color indexed="10"/>
        <rFont val="Calibri"/>
        <family val="2"/>
      </rPr>
      <t>(fine grading)</t>
    </r>
  </si>
  <si>
    <t>Pr_20_31_16_39 6F7-Bituminous Protection Layer</t>
  </si>
  <si>
    <t>Pr_15_31_26_33 6F10-Selected granular material fill (fine grading)</t>
  </si>
  <si>
    <r>
      <t>Pr_15_31_26_33 6F11-Selected granular material fill (</t>
    </r>
    <r>
      <rPr>
        <sz val="11"/>
        <color indexed="10"/>
        <rFont val="Calibri"/>
        <family val="2"/>
      </rPr>
      <t xml:space="preserve">coarse </t>
    </r>
    <r>
      <rPr>
        <sz val="11"/>
        <color theme="1"/>
        <rFont val="Calibri"/>
        <family val="2"/>
        <scheme val="minor"/>
      </rPr>
      <t>grading)</t>
    </r>
  </si>
  <si>
    <t>Pr_15_31_26_33 6F12-Selected granular material</t>
  </si>
  <si>
    <t>Pr_15_31_26_33 6G1-Selected granular material</t>
  </si>
  <si>
    <t>Pr_15_31_26_33 6H1-Selected granular material fill</t>
  </si>
  <si>
    <t>Pr_15_31_26_33 6I1-Selected well graded granular material fill</t>
  </si>
  <si>
    <t>Pr_15_31_26_33 6J1-Selected uniformly graded granular material fill</t>
  </si>
  <si>
    <t>Pr_15_31_26_33 6K1-Selected granular material fill</t>
  </si>
  <si>
    <t>Pr_15_31_26_33 6L1-Selected uniformly graded granular material fill</t>
  </si>
  <si>
    <t>Pr_15_31_26_33 6M1-Selected well graded granular material fill</t>
  </si>
  <si>
    <t>Pr_15_31_26_33 6N1-Selected well graded granular material fill</t>
  </si>
  <si>
    <t>Pr_15_31_26_33 6N2-Selected well graded granular material fill</t>
  </si>
  <si>
    <r>
      <t>Pr_15_31_26_33 6N3-(</t>
    </r>
    <r>
      <rPr>
        <sz val="11"/>
        <color indexed="10"/>
        <rFont val="Calibri"/>
        <family val="2"/>
      </rPr>
      <t>Green Tunnel Zone 1</t>
    </r>
    <r>
      <rPr>
        <sz val="11"/>
        <color theme="1"/>
        <rFont val="Calibri"/>
        <family val="2"/>
        <scheme val="minor"/>
      </rPr>
      <t>) Selected well graded granular material fill</t>
    </r>
  </si>
  <si>
    <t>Pr_15_31_26_33 6N4-Selected well graded granular material fill</t>
  </si>
  <si>
    <t>Pr_15_31_26_33 6N5-Selected well graded granular material fill</t>
  </si>
  <si>
    <t>Pr_15_31_26_33 6N6-Selected well graded granular material fill</t>
  </si>
  <si>
    <t>Pr_15_31_26_33 6N7-Selected well graded granular material fill</t>
  </si>
  <si>
    <t>Pr_15_31_26_33 6P1-Selected granular material fill</t>
  </si>
  <si>
    <t>Pr_15_31_26_33 6P2-Selected granular material fill</t>
  </si>
  <si>
    <r>
      <t>Pr_15_31_26_33 6P3-(</t>
    </r>
    <r>
      <rPr>
        <sz val="11"/>
        <color indexed="10"/>
        <rFont val="Calibri"/>
        <family val="2"/>
      </rPr>
      <t>Green Tunnel Zone 2</t>
    </r>
    <r>
      <rPr>
        <sz val="11"/>
        <color theme="1"/>
        <rFont val="Calibri"/>
        <family val="2"/>
        <scheme val="minor"/>
      </rPr>
      <t>) Selected granular material fill</t>
    </r>
  </si>
  <si>
    <t>Pr_15_31_26_33 6P4-Selected granular material fill</t>
  </si>
  <si>
    <t>Pr_15_31_26_33 6P5-Selected granular material fill</t>
  </si>
  <si>
    <t>Pr_15_31_26_33 6P6-Selected granular material fill</t>
  </si>
  <si>
    <t>Pr_15_31_26_33 6P7-Selected granular material fill</t>
  </si>
  <si>
    <t>Pr_15_31_26_33 6Q1-Well graded granular material fill (1A)</t>
  </si>
  <si>
    <t>Pr_15_31_26_33 6Q2-Uniformly graded granular material fill (1B)</t>
  </si>
  <si>
    <r>
      <t>Pr_15_31_26_33 6Q3-</t>
    </r>
    <r>
      <rPr>
        <sz val="11"/>
        <color indexed="10"/>
        <rFont val="Calibri"/>
        <family val="2"/>
      </rPr>
      <t>Coarse</t>
    </r>
    <r>
      <rPr>
        <sz val="11"/>
        <color theme="1"/>
        <rFont val="Calibri"/>
        <family val="2"/>
        <scheme val="minor"/>
      </rPr>
      <t xml:space="preserve"> granular material fill (1C)</t>
    </r>
  </si>
  <si>
    <t>Pr_15_31_26_33 6R1-(For Stabilisation as Class 9F1) Selected granular material fill</t>
  </si>
  <si>
    <r>
      <t>Pr_15_31_26_33 6R2-(</t>
    </r>
    <r>
      <rPr>
        <sz val="11"/>
        <color indexed="10"/>
        <rFont val="Calibri"/>
        <family val="2"/>
      </rPr>
      <t xml:space="preserve">For Stabilisation as </t>
    </r>
    <r>
      <rPr>
        <sz val="11"/>
        <color theme="1"/>
        <rFont val="Calibri"/>
        <family val="2"/>
        <scheme val="minor"/>
      </rPr>
      <t>Class 9L1) Selected granular material fill</t>
    </r>
  </si>
  <si>
    <t>Pr_15_31_26_33 6R3-Selected granular material fill</t>
  </si>
  <si>
    <t>Pr_15_31_26_17 7A1-(HSR) Selected granular material fill</t>
  </si>
  <si>
    <t>Pr_15_31_26_17 7A2-(non-HSR) Selected cohesive material fill</t>
  </si>
  <si>
    <t>Pr_15_31_26_17 7B1-(HSR) Selected conditioned pulverised fuel ash cohesive material fill</t>
  </si>
  <si>
    <t>Pr_15_31_26_17 7B2-(HSR) Selected conditioned pulverised fuel ash cohesive material fill</t>
  </si>
  <si>
    <t>Pr_15_31_26_17 7C1-(HSR) Selected wet cohesive material fill</t>
  </si>
  <si>
    <t>Pr_15_31_26_17 7C2-(non-HSR) Selected wet cohesive material fill</t>
  </si>
  <si>
    <t>Pr_15_31_26_17 7C3-(non-HSR) Selected high plasticity wet cohesive material fill</t>
  </si>
  <si>
    <t>Pr_15_31_26_17 7D1-(HSR) Selected stony cohesive material fill</t>
  </si>
  <si>
    <t>Pr_15_31_26_17 7D2-(non-HSR) Selected stony cohesive material fill</t>
  </si>
  <si>
    <t>Pr_15_31_26_17 7E1-(For Stablising as Class 9D) Selected cohesive material fill</t>
  </si>
  <si>
    <t>Pr_15_31_26_17 7E2-(For Stablising as Class 9J) Selected cohesive material fill</t>
  </si>
  <si>
    <t>Pr_15_31_26_17 7F1-(For Stablising as Class 9B) Selected silty cohesive material fill</t>
  </si>
  <si>
    <t>Pr_15_31_26_17 7F2-(For Stablising as Class 9H) Selected silty cohesive material fill</t>
  </si>
  <si>
    <t>Pr_15_31_26_17 7G1-(For Stablising as Class 9C) Selected conditioned pulverised fuel ash cohesive material fill</t>
  </si>
  <si>
    <t>Pr_15_31_26_17 7H1-Wet cohesive material fill</t>
  </si>
  <si>
    <t>Pr_15_31_26_17 7H2-Dry cohesive material fill</t>
  </si>
  <si>
    <t>Pr_15_31_26_17 7H3-Stony cohesive material fill</t>
  </si>
  <si>
    <t>Pr_15_31_26_17 7H4-Silty cohesive material fill</t>
  </si>
  <si>
    <t>Pr_15_31_26_13 7H5-Chalk fill</t>
  </si>
  <si>
    <t>Pr_15_31_26_17 7I1-(For Stablising as Class 9E) Selected cohesive material fill</t>
  </si>
  <si>
    <t>Pr_15_31_26_17 7I2-(For Stablising as Class 9K) Selected cohesive material fill</t>
  </si>
  <si>
    <t>Pr_15_31_26 8A1-Class 1 Class 2 or Class 3 material fill</t>
  </si>
  <si>
    <t>Pr_15_31_26_33 9A1-Cement stabilised well graded granular material fill</t>
  </si>
  <si>
    <t>Pr_15_31_26_17 9B1-Cement stabilised silty cohesive material fill</t>
  </si>
  <si>
    <t>Pr_15_31_26_17 9C1-Cement stabilised conditioned pulverised fuel ash cohesive material fill</t>
  </si>
  <si>
    <t>Pr_15_31_26_17 9D1-Lime stabilised cohesive material fill</t>
  </si>
  <si>
    <t>Pr_15_31_26_17 9E1-Lime &amp; cement stabilised cohesive material fill</t>
  </si>
  <si>
    <t>Pr_15_31_26_33 9F1-Lime &amp; cement stabilised well graded granular material fill</t>
  </si>
  <si>
    <t>Pr_15_31_26_33 9G1-Cement stabilised well graded granular material fill</t>
  </si>
  <si>
    <t>Pr_15_31_26_33 9G2-(at transitions UEF) Cement stabilised well graded granular material fill</t>
  </si>
  <si>
    <t>Pr_15_31_26_17 9H1-(including transitions) Cement stabilised silty cohesive material fill</t>
  </si>
  <si>
    <t>Pr_15_31_26_17 9I1-(including transitions) Cement stabilised conditioned pulverised fuel ash cohesive material fill</t>
  </si>
  <si>
    <t>Pr_15_31_26_17 9J1-(including transitions) Lime stabilised cohesive material fill</t>
  </si>
  <si>
    <t>Pr_15_31_26_17 9K1-(including transitions) Cement and cement stabilised cohesive material fill</t>
  </si>
  <si>
    <t>Pr_15_31_26_33 9L1-(including transitions) Lime &amp; cement stabilised well graded granular material fill</t>
  </si>
  <si>
    <t>Pr_15_31_26_13 9M1-(including transitions) Cement stabilised chalk fill</t>
  </si>
  <si>
    <t>Pr_15_31_26_33 9N1-(including transitions) Lime &amp; Cement stabilised well graded granular material fill</t>
  </si>
  <si>
    <t>Scope Level 3 UAID</t>
  </si>
  <si>
    <t>ABT,ADI,AFI,ANC,APR,BAS,BEM,BER,BLD,BLR,BNL,BRR,CAB,CAV,CHB,CLM,CLW,CPB,CPS,CPT,CTR,CUT,CVS,DCK,DEW,DLV,DRF,DTC,DWP,EXJ,FAU,FLR,FND,GAT,GFL,GLY,GRS,GRT,GSL,HDW,HND,HPD,INS,KRB,LDA,LEF,LHA,LNG,LNM,LOS,LSH,LSS,LUA,MHE,MNH,NSW,OCS,OPC,PCE,PHP,PIL,PIR,PLC,PND,PNI,PNO,PPE,PRL,PRP,PSG,PST,PSU,PVM,PWK,RDC,RDE,REX,RFL,RMP,ROO,RRS,RSL,RTU,SCF,SCH,SCW,SEL,SMP,SPC,SPE,SPK,SPL,STL,STR,STW,TFS,TMW,TNK,TRG,TRS,UEF,UPN,USS,UTD,VET,VGS,VLV,WHB,WIS,WLK,WMT,WPF,WTS,WVC,ZZ-ZZ,NV-SL-PL-AM,NV-SL-PL-FP,NV-SL-PL-HD,NV-SL-PL-HR,NV-SL-PL-LG,NV-SL-PL-LP,NV-SL-PL-MP,NV-SL-PL-RH,NV-SL-PL-SP,NV-SL-PL-ST,NV-SL-PL-WD,NV-SL-PL-WP</t>
  </si>
  <si>
    <t xml:space="preserve">Changes Considered </t>
  </si>
  <si>
    <t>CM_Chg</t>
  </si>
  <si>
    <t>Configuration Management</t>
  </si>
  <si>
    <t>1MC06-HS2-EN-SPE-C002-000001-P04</t>
  </si>
  <si>
    <t>1MC07-HS2-EN-SPE-C003-000001-P04</t>
  </si>
  <si>
    <t>Contract Requirements Technical</t>
  </si>
  <si>
    <t>CM_CRT</t>
  </si>
  <si>
    <t>Is Configuration Item (Y/N)</t>
  </si>
  <si>
    <t>CM_ISCI</t>
  </si>
  <si>
    <t>Yes</t>
  </si>
  <si>
    <t>No</t>
  </si>
  <si>
    <t>Standards Baseline</t>
  </si>
  <si>
    <t>CM_StdBL</t>
  </si>
  <si>
    <t>P14</t>
  </si>
  <si>
    <t>P15</t>
  </si>
  <si>
    <t>P15.1</t>
  </si>
  <si>
    <t>GR-CT,GR-EM,GR-NC,GR-TN,GR-VD,CN-SC-AC,CN-SC-CC,CN-SC-CS,CN-SC-HV,CN-SC-MC,CN-SC-RH,CN-SC-SC,CN-SC-SR,CN-SC-TR,CN-SC-TS,Co_80_50_75,CV-CE-AE,CV-CE-AG,CV-CE-CR,CV-CE-CT,CV-CE-EM,CV-CE-ME,CV-CE-RC,CV-CE-RE,CV-CE-RS,CV-CE-RW</t>
  </si>
  <si>
    <t>End Date</t>
  </si>
  <si>
    <t>Com_EndDt</t>
  </si>
  <si>
    <t>dateAttr</t>
  </si>
  <si>
    <t>GR-CT,GR-EM,GR-NC,GR-TN,GR-VD,CV-US-TN-BR,CV-US-TN-CC,CV-US-TN-MN,CV-US-TN-PR,ES-EC-WV-FS,CN-SC-AC,CN-SC-CC,CN-SC-CS,CN-SC-HV,CN-SC-MC,CN-SC-RH,CN-SC-SC,CN-SC-SR,CN-SC-TR,CN-SC-TS,Co_80_50_75,CV-BR-AQ,CV-BR-CV,CV-BR-FB,CV-BR-GB,CV-BR-OB,CV-BR-RB,CV-BR-TB,CV-BR-UP,CV-BR-UT,CV-BR-VD,CV-BR-WT,CV-CE-AE,CV-CE-AG,CV-CE-CR,CV-CE-CT,CV-CE-EM,CV-CE-ME,CV-CE-RC,CV-CE-RE,CV-CE-RS,CV-CE-RW,CV-HW-CW,CV-HW-FP,CV-HW-JU,CV-HW-PA,CV-HW-SF,CV-HW-VE,CV-PL-AC,CV-PL-LD,CV-PL-SP,CV-US-BS,CV-US-SH,NV-ES-AF</t>
  </si>
  <si>
    <t>Start Date</t>
  </si>
  <si>
    <t>Com_StrtDt</t>
  </si>
  <si>
    <t>Location</t>
  </si>
  <si>
    <t>Com_Lctn</t>
  </si>
  <si>
    <t>AFI,BLD,BRR,CAV,CHB,CLM,CTR,CVS,FND,GAT,GFL,GRS,HDW,HND,INS,KRB,LEF,MNH,NSW,PCE,PIR,PLC,PRP,RMP,STW,TNK,UEF,VGS</t>
  </si>
  <si>
    <t>Height (m)</t>
  </si>
  <si>
    <t>Hghtm</t>
  </si>
  <si>
    <t>intAttr</t>
  </si>
  <si>
    <t>ABT,BAS,BEM,DLV,GRS,PIR,PSU,ROO,TRG,VET,WLK,GR-EM,GR-VD,Co_80_50_74,CV-CE-AE,CV-CE-CT,CV-CE-EM,CV-CE-RC,CV-CE-RE,CV-CE-RS,CV-CE-RW,CV-HW-SF,CV-WF-BF,CV-WF-BN,CV-WF-HD,CV-WF-NB,CV-WF-SC,CV-WF-VS,CV-WF-WL,NV-ES-AF</t>
  </si>
  <si>
    <t>Height (max) (m)</t>
  </si>
  <si>
    <t>HghtMx</t>
  </si>
  <si>
    <t>ABT,AFI,APR,BAS,BEM,BRR,CAB,CAV,CHB,CLM,CLW,CPS,CTR,CUT,CVS,DEW,DRF,DTC,EXJ,FLR,FND,GFL,GRT,GSL,HND,INS,KRB,LDA,LEF,LHA,LNG,LNM,LOS,LSH,LSS,LUA,NSW,OPC,PCE,PIL,PIR,PLC,PND,PPE,PRP,PSU,PVM,RDC,REX,RMP,ROO,RRS,RTU,SEL,SMP,SPL,STR,STW,TNK,TRG,TRS,UEF,UPN,USS,UTD,VET,VGS,WLK,WPF,WTS,GR-CT,GR-EM,GR-VD,WT-OW,WT-RV,ES-EC-GI-SC-HA,CV-US-TN-BR,CV-US-TN-CC,CV-US-TN-MN,CV-US-TN-PR,ES-EC-PD-NA,ES-EC-WC-HA,NV-ES-PL-FC,NV-HL-SF-BN,NV-HL-SF-CS,NV-HL-SF-LB,NV-HL-SF-RM,NV-HL-SF-SH,NV-HL-SF-SL,NV-HL-SF-SM,Co_80_50_74,Co_80_50_75,Co_80_50_77,CV-BR-AQ,CV-BR-CV,CV-BR-FB,CV-BR-OB,CV-BR-RB,CV-BR-TB,CV-BR-UB,CV-BR-UP,CV-BR-UT,CV-BR-VD,CV-BR-WT,CV-CE-AE,CV-CE-AG,CV-CE-CT,CV-CE-EM,CV-CE-RE,CV-CE-RS,CV-CE-RW,CV-DR-OP,CV-DR-PI,CV-HW-CW,CV-HW-FP,CV-HW-PA,CV-HW-VE,CV-PL-AC,CV-PL-SP,CV-US-SH,CV-WF-BF,CV-WF-BN,CV-WF-HD,CV-WF-NB,CV-WF-SC,CV-WF-VS,CV-WF-WL,ES-EC-HE,NV-CM-PA,NV-ES-AF,NV-ES-AM,NV-ES-BN,NV-ES-BR,NV-ES-BS,NV-ES-DE,NV-ES-DO,NV-ES-FP,NV-ES-GC,NV-ES-HD,NV-ES-IN,NV-ES-ML,NV-ES-OH,NV-ES-RP,NV-ES-WV,NV-HL-PA,NV-HL-UP</t>
  </si>
  <si>
    <t>Length (m)</t>
  </si>
  <si>
    <t>Lngthm</t>
  </si>
  <si>
    <t>BER,BNL,CPT,CVS,DCK,GSL,RMP,STR,TMW,WHB,CV-HW-CW</t>
  </si>
  <si>
    <t>Maximum Permitted Weight</t>
  </si>
  <si>
    <t>MxmmPrmttdWght</t>
  </si>
  <si>
    <t>Net Volume (m³)</t>
  </si>
  <si>
    <t>NetVolume</t>
  </si>
  <si>
    <t>ABT,APR,BAS,BEM,BRR,CAV,CLM,CPB,DCK,DWP,FLR,FND,GSL,INS,LSH,NSW,PCE,PIL,PIR,PLC,PRP,ROO,RSL,RTU,SEL,STR,STW,WLK</t>
  </si>
  <si>
    <r>
      <t>Rebar Density (kg/m</t>
    </r>
    <r>
      <rPr>
        <sz val="11"/>
        <color theme="1"/>
        <rFont val="Calibri"/>
        <family val="2"/>
      </rPr>
      <t>³)</t>
    </r>
  </si>
  <si>
    <t>RebarDensity</t>
  </si>
  <si>
    <t>Rebar Volume (m³)</t>
  </si>
  <si>
    <t>RebarVolume</t>
  </si>
  <si>
    <t>ABT,ANC,BAS,BEM,BLD,CLM,DCK,FND,GLY,GSL,MNH,OCS,PCE,PIR,PLC,PNI,PNO,PST,PSU,PWK,RDE,RRS,RSL,TFS,TMW,TRG,TRS,UTD,VET,VLV</t>
  </si>
  <si>
    <t>Structure Type
(Unique type identifier)</t>
  </si>
  <si>
    <t>StrctrlT</t>
  </si>
  <si>
    <t>Design Life</t>
  </si>
  <si>
    <t>DsgnLf</t>
  </si>
  <si>
    <t>ANC,GRT,LDA,LHA,LSH,LSS,LUA,CV-CE-AE,CV-CE-AG,CV-CE-CR,CV-CE-CT,CV-CE-EM,CV-CE-ME,CV-CE-RC,CV-CE-RE,CV-CE-RS,CV-CE-RW</t>
  </si>
  <si>
    <t>Geotechnical Eurocode</t>
  </si>
  <si>
    <t>GtchnclErcd</t>
  </si>
  <si>
    <t>Geotechnical Category 1</t>
  </si>
  <si>
    <t>Geotechnical Category 2</t>
  </si>
  <si>
    <t>Geotechnical Category 3</t>
  </si>
  <si>
    <t>Geotechnical Category 4</t>
  </si>
  <si>
    <t>Geotechnical Category 5</t>
  </si>
  <si>
    <t>Geotechnical Category 6</t>
  </si>
  <si>
    <t>ANC,GRT,LSH,LSS,PND,CV-DR-BF,CV-DR-OP,CV-DR-PC,CV-DR-PI,CV-DR-PS</t>
  </si>
  <si>
    <t>Geotextile</t>
  </si>
  <si>
    <t>Gtxtl</t>
  </si>
  <si>
    <t>FLR,LDA,LHA,LSH,LSS,LUA,ROO,SMP,USS,WPF,WTS</t>
  </si>
  <si>
    <t>External Perimeter</t>
  </si>
  <si>
    <t>ExtrnlPrmtr</t>
  </si>
  <si>
    <t>CAV,CPS,CTR,CVS,GRS,INS,LNG,NSW,ROO,STR,STW,WLK,WPF,WTS,GR-TN,CV-US-TN-BR,CV-US-TN-CC,CV-US-TN-MN,CV-US-TN-PR,CV-US-BS,CV-US-SH</t>
  </si>
  <si>
    <t>Fire Rating</t>
  </si>
  <si>
    <t>FrRtng</t>
  </si>
  <si>
    <t>DEW,DRF,MNH,PNI,PNO,PVM,USS,WPF,WTS</t>
  </si>
  <si>
    <t>Infiltration Potential</t>
  </si>
  <si>
    <t>InfltrtnPtntl</t>
  </si>
  <si>
    <t>APR,CLW,FLR,GRS,LDA,LHA,LSH,LSS,LUA,RTU,SEL,USS,WTS</t>
  </si>
  <si>
    <t>Minimum Thickness (mm)</t>
  </si>
  <si>
    <t>MnmmThcknssmm</t>
  </si>
  <si>
    <t>CLW,PVM,RDC,WTS,CV-HW-CW</t>
  </si>
  <si>
    <t>Maximum Permitted Width</t>
  </si>
  <si>
    <t>MxmmPrmttdWdthm</t>
  </si>
  <si>
    <t>APR,CLW,WTS,CV-BR-OB,CV-HW-CW,CV-HW-FP</t>
  </si>
  <si>
    <t>Surfacing Colour</t>
  </si>
  <si>
    <t>SrfcngClr</t>
  </si>
  <si>
    <t>Thickness (max) (M)</t>
  </si>
  <si>
    <t>ThcknssMxM</t>
  </si>
  <si>
    <t>Width Average (m)</t>
  </si>
  <si>
    <t>WidthAvrgm</t>
  </si>
  <si>
    <t>DRF,RDC,SMP,WTS,CV-DR-PS</t>
  </si>
  <si>
    <t>Wet Well Volume</t>
  </si>
  <si>
    <t>WtWllVlm</t>
  </si>
  <si>
    <t>Depth (m)</t>
  </si>
  <si>
    <t>Dpth</t>
  </si>
  <si>
    <t>CAV,CHB,CPS,CV-DR-BF,CV-DR-OP,CV-DR-PC,CV-DR-PI,CV-DR-PS</t>
  </si>
  <si>
    <t>Finish Invert Level</t>
  </si>
  <si>
    <t>FnshInvrtLvl</t>
  </si>
  <si>
    <t>CAV,CHB,NV-ES-PL-FC</t>
  </si>
  <si>
    <t>Lowest Level (mAOD)</t>
  </si>
  <si>
    <t>LwstLvl</t>
  </si>
  <si>
    <t>CLW,KRB</t>
  </si>
  <si>
    <t>Kerb Height (cm)
(Actual kerb height)</t>
  </si>
  <si>
    <t>KrbHghtcm</t>
  </si>
  <si>
    <t>Kerb Type (BS)</t>
  </si>
  <si>
    <t>KrbTyp</t>
  </si>
  <si>
    <t>HB1</t>
  </si>
  <si>
    <t>HB2</t>
  </si>
  <si>
    <t>HB3</t>
  </si>
  <si>
    <t>BN1</t>
  </si>
  <si>
    <t>BN2</t>
  </si>
  <si>
    <t>BN3</t>
  </si>
  <si>
    <t>SP1</t>
  </si>
  <si>
    <t>SP2</t>
  </si>
  <si>
    <t>SP3</t>
  </si>
  <si>
    <t>CD1</t>
  </si>
  <si>
    <t>CD2</t>
  </si>
  <si>
    <t>CD3</t>
  </si>
  <si>
    <t>CS1</t>
  </si>
  <si>
    <t>CS2</t>
  </si>
  <si>
    <t>CS3</t>
  </si>
  <si>
    <t>EF (Flat Top Edging)</t>
  </si>
  <si>
    <t>EBN (Bullnosed Edging)</t>
  </si>
  <si>
    <t>ER (Round Top Edge)</t>
  </si>
  <si>
    <t>STK1 (Natural Stone Kerb)</t>
  </si>
  <si>
    <t>STK2 (Natural Stone Kerb)</t>
  </si>
  <si>
    <t>STK3 (Natural Stone Kerb)</t>
  </si>
  <si>
    <t>DL1 (Drop Kerb)</t>
  </si>
  <si>
    <t>DL2 (Drop Kerb)</t>
  </si>
  <si>
    <t>DR1 (Drop Kerb)</t>
  </si>
  <si>
    <t>DR2 (Drop Kerb)</t>
  </si>
  <si>
    <t>TL (Transition Kerb)</t>
  </si>
  <si>
    <t>TR (Transition Kerb)</t>
  </si>
  <si>
    <t>Titan (High Containment Kerb)</t>
  </si>
  <si>
    <t>Trief (High Containment Kerb)</t>
  </si>
  <si>
    <t>HGV (High Containment Kerb)</t>
  </si>
  <si>
    <t>Other</t>
  </si>
  <si>
    <t>CLW,KRB,REX,RFL,CV-BR-OB,CV-HW-CW,CV-HW-FP</t>
  </si>
  <si>
    <t>Road Name</t>
  </si>
  <si>
    <t>RdNm</t>
  </si>
  <si>
    <t>Road Number</t>
  </si>
  <si>
    <t>RdNmbr</t>
  </si>
  <si>
    <t>CLW,KRB,PVM,RFL,CV-BR-OB,CV-HW-CW,CV-HW-FP</t>
  </si>
  <si>
    <t>Road or Footpath Surface</t>
  </si>
  <si>
    <t>RdSrfc</t>
  </si>
  <si>
    <t>CLW,CUT,GFL,LSH,LSS,USS,WT-RV,CV-CE-CT,CV-CE-EM,CV-CE-ME</t>
  </si>
  <si>
    <t>Side Slope (1V: XH)</t>
  </si>
  <si>
    <t>SdSlp</t>
  </si>
  <si>
    <t>CLW,CV-BR-OB,CV-BR-RB,CV-HW-CW</t>
  </si>
  <si>
    <t>Speed Limit</t>
  </si>
  <si>
    <t>SpdLmt</t>
  </si>
  <si>
    <t>LNG,PPE,RTU,CV-DR-BF,CV-DR-OP,CV-DR-PC,CV-DR-PI,CV-DR-PS</t>
  </si>
  <si>
    <t>Surround Material</t>
  </si>
  <si>
    <t>SrrndMtrl</t>
  </si>
  <si>
    <t>Granular</t>
  </si>
  <si>
    <t>Concrete</t>
  </si>
  <si>
    <t>CLW,CV-HW-SF</t>
  </si>
  <si>
    <t>Total Number of Lumineer</t>
  </si>
  <si>
    <t>TtlNmbrOfLmnr</t>
  </si>
  <si>
    <t>CPS,USS,CV-BR-AQ,CV-BR-CV,CV-BR-FB,CV-BR-OB,CV-BR-UB,CV-BR-UP,CV-BR-VD</t>
  </si>
  <si>
    <t>Angle of Skew (degrees)</t>
  </si>
  <si>
    <t>AnglSkw</t>
  </si>
  <si>
    <t>CPS,RDC,RMP,CV-HW-CW,CV-HW-FP,CV-HW-JU,CV-HW-PA,CV-HW-VE</t>
  </si>
  <si>
    <t>Crossfall</t>
  </si>
  <si>
    <t>Crssfll</t>
  </si>
  <si>
    <t>CPS,RDC</t>
  </si>
  <si>
    <t>Crossing Feature ID</t>
  </si>
  <si>
    <t>CrssngFtrID</t>
  </si>
  <si>
    <t>CPS,GR-TN,CV-US-TN-BR,CV-US-TN-CC,CV-US-TN-MN,CV-US-TN-PR</t>
  </si>
  <si>
    <t>Diameter Internal (M)</t>
  </si>
  <si>
    <t>DmtrIntrnlM</t>
  </si>
  <si>
    <t>CAB,CHB,MNH,PIL,RDE,UTD</t>
  </si>
  <si>
    <t>Nominal Diameter (m)
(Smallest dia. of asset)</t>
  </si>
  <si>
    <t>NmnlDmtr</t>
  </si>
  <si>
    <t>CV-BR-CV,CV-BR-UB,CV-BR-UP</t>
  </si>
  <si>
    <t>Rail Level (mAOD)</t>
  </si>
  <si>
    <t>RlLvl</t>
  </si>
  <si>
    <t>CPS,LNG,RTU,SEL</t>
  </si>
  <si>
    <t>Secondary Lining Element Type</t>
  </si>
  <si>
    <t>ScndryLnngElmntTyp</t>
  </si>
  <si>
    <t>CIC - Low Corrision Reinforced</t>
  </si>
  <si>
    <t>CIC - Steel Bar Reinforcement</t>
  </si>
  <si>
    <t>SC - Low Corrosion Reinforced</t>
  </si>
  <si>
    <t>SC - Steel Bar Reinforcement</t>
  </si>
  <si>
    <t>SPC - Low Corrosion Reinforced</t>
  </si>
  <si>
    <t>SPC - Steel Bar Reinforcement</t>
  </si>
  <si>
    <t>CTR,KRB,TNK,CV-DR-BF,CV-DR-OP,CV-DR-PC,CV-DR-PI,CV-DR-PS</t>
  </si>
  <si>
    <t>Bedding Material</t>
  </si>
  <si>
    <t>BddngMtrl</t>
  </si>
  <si>
    <t>CVS,FLR,LUA,STR,WLK,CV-BR-OB,CV-BR-RB,CV-HW-CW</t>
  </si>
  <si>
    <t>Maximum Loading (Tonnes/m²)</t>
  </si>
  <si>
    <t>MxmmLdng</t>
  </si>
  <si>
    <t>CVS,HND,RFL,RRS,SCF,SPE,STR,TFS,TMW,TNK,VET,WHB,WLK</t>
  </si>
  <si>
    <t>Mounting</t>
  </si>
  <si>
    <t>Mntng</t>
  </si>
  <si>
    <t>Driven Item</t>
  </si>
  <si>
    <t>Concrete Foundation</t>
  </si>
  <si>
    <t>Bolted</t>
  </si>
  <si>
    <t>Cast-in-Cradle / Anchor</t>
  </si>
  <si>
    <t>Welded</t>
  </si>
  <si>
    <t>Cast-in-Socket</t>
  </si>
  <si>
    <t>Supplier Design</t>
  </si>
  <si>
    <t>DRF,GRS,PPE,TNK,CV-US-BS,UT-CW-PL</t>
  </si>
  <si>
    <t>Diameter (External) (mm)</t>
  </si>
  <si>
    <t>DmtrExtr</t>
  </si>
  <si>
    <t>DLV,DRF,GLY,MNH,PNI,PNO,PPE,VLV</t>
  </si>
  <si>
    <t>Design Flow Basis</t>
  </si>
  <si>
    <t>DsgnFlwBss</t>
  </si>
  <si>
    <t>DLV,GRS,RFL</t>
  </si>
  <si>
    <t>Height (Average) (m)</t>
  </si>
  <si>
    <t>HghtAvgm</t>
  </si>
  <si>
    <t>Height (Internal) (m)</t>
  </si>
  <si>
    <t>HghtIntm</t>
  </si>
  <si>
    <t>DLV,DRF,PND,NV-ES-PL-FC</t>
  </si>
  <si>
    <t>Total Flood Storage Volume estimate (m3)</t>
  </si>
  <si>
    <t>TtlFldStrgVlmEstmt</t>
  </si>
  <si>
    <t>LUA,RDC,CV-BR-CV,CV-BR-FB,CV-BR-OB,CV-BR-UB,CV-BR-VD</t>
  </si>
  <si>
    <t>Clearance (Horizontal) (m)</t>
  </si>
  <si>
    <t>ClrncHrz</t>
  </si>
  <si>
    <t>PVM,RDC,CV-BR-CV,CV-BR-FB,CV-BR-OB,CV-BR-UB,CV-BR-VD</t>
  </si>
  <si>
    <t>Clearance (Vertical) (m)</t>
  </si>
  <si>
    <t>ClrncVrt</t>
  </si>
  <si>
    <t>DRF,MNH,PND,PNI,PNO,PPE,TNK</t>
  </si>
  <si>
    <t>Flow Direction</t>
  </si>
  <si>
    <t>FlwDrctn</t>
  </si>
  <si>
    <t>N</t>
  </si>
  <si>
    <t>NE</t>
  </si>
  <si>
    <t>E</t>
  </si>
  <si>
    <t>SE</t>
  </si>
  <si>
    <t>S</t>
  </si>
  <si>
    <t>SW</t>
  </si>
  <si>
    <t>W</t>
  </si>
  <si>
    <t>NW</t>
  </si>
  <si>
    <t>Up</t>
  </si>
  <si>
    <t>Down</t>
  </si>
  <si>
    <t>DRF,MNH,PNI,PNO,CV-DR-PS</t>
  </si>
  <si>
    <t>Inlet Level (m AoD)</t>
  </si>
  <si>
    <t>InltLvl</t>
  </si>
  <si>
    <t>DRF,MNH,PNI,PNO</t>
  </si>
  <si>
    <t>Inlet Point
(Osgb Coordinates)</t>
  </si>
  <si>
    <t>InltPnt</t>
  </si>
  <si>
    <t>Internal Perimeter (m)</t>
  </si>
  <si>
    <t>IntrnlPrmtr</t>
  </si>
  <si>
    <t>DRF,CV-BR-CV,CV-BR-UB,CV-BR-UP,CV-DR-BF,CV-DR-OP,CV-DR-PC,CV-DR-PI,CV-DR-PS</t>
  </si>
  <si>
    <t>Invert Level (mAoD)</t>
  </si>
  <si>
    <t>InvrtLvl</t>
  </si>
  <si>
    <t>DRF,PPE</t>
  </si>
  <si>
    <t>Material (Pipe)</t>
  </si>
  <si>
    <t>MtrlPp</t>
  </si>
  <si>
    <t>Asbestos</t>
  </si>
  <si>
    <t>Clay</t>
  </si>
  <si>
    <t>Metal</t>
  </si>
  <si>
    <t>Plastic</t>
  </si>
  <si>
    <t>DRF,CV-DR-BF,CV-DR-OP,CV-DR-PC,CV-DR-PI,CV-DR-PS</t>
  </si>
  <si>
    <t>Maximum depth of flow</t>
  </si>
  <si>
    <t>MxmmDpthOfFlw</t>
  </si>
  <si>
    <t>DRF,MNH,PNI,PNO,WT-CN,CV-DR-BF,CV-DR-OP</t>
  </si>
  <si>
    <t>Outflow Rate (l/s)</t>
  </si>
  <si>
    <t>OtflwRt</t>
  </si>
  <si>
    <t>DRF,PST,CV-DR-PS</t>
  </si>
  <si>
    <t>Pump Duties (l/s)</t>
  </si>
  <si>
    <t>PmpDts</t>
  </si>
  <si>
    <t>Pumping Head (m)</t>
  </si>
  <si>
    <t>PmpngHd</t>
  </si>
  <si>
    <t>Pump Type</t>
  </si>
  <si>
    <t>PmpTyp</t>
  </si>
  <si>
    <t>DRF,HDW,OCS,PNI,PNO,PPE,CV-DR-BF,CV-DR-OP,CV-DR-PC,CV-DR-PI,CV-DR-PS</t>
  </si>
  <si>
    <t>Pipe Size (cm)</t>
  </si>
  <si>
    <t>PpSz</t>
  </si>
  <si>
    <t>DRF,PPE,CV-DR-OP,CV-DR-PC,CV-DR-PI,CV-DR-PS</t>
  </si>
  <si>
    <t>Pipe Type</t>
  </si>
  <si>
    <t>PpTyp</t>
  </si>
  <si>
    <t>Carrier</t>
  </si>
  <si>
    <t>Filter</t>
  </si>
  <si>
    <t>Combined</t>
  </si>
  <si>
    <t>Rising</t>
  </si>
  <si>
    <t>Fin</t>
  </si>
  <si>
    <t>RMP,CV-HW-CW</t>
  </si>
  <si>
    <t>Maximum Permitted Height</t>
  </si>
  <si>
    <t>MxmmPrmttdHght</t>
  </si>
  <si>
    <t>VMS_IsVMS</t>
  </si>
  <si>
    <t>Vehicle Monitoring System</t>
  </si>
  <si>
    <t>BS EN 124 class for gully top</t>
  </si>
  <si>
    <t>BSEN124Clss</t>
  </si>
  <si>
    <t>Gully Material</t>
  </si>
  <si>
    <t>GllyMtrl</t>
  </si>
  <si>
    <t>HDPE</t>
  </si>
  <si>
    <t>In-Situ Concrete</t>
  </si>
  <si>
    <t>Precast Concrete</t>
  </si>
  <si>
    <t>Gully Top Material</t>
  </si>
  <si>
    <t>GllyTpMtrl</t>
  </si>
  <si>
    <t>Cast Iron</t>
  </si>
  <si>
    <t>Steel</t>
  </si>
  <si>
    <t>Planting Interval</t>
  </si>
  <si>
    <t>PlntngInrvl</t>
  </si>
  <si>
    <t>GRS,NV-SL-PL-AM,NV-SL-PL-FP,NV-SL-PL-HD,NV-SL-PL-HR,NV-SL-PL-LG,NV-SL-PL-LP,NV-SL-PL-MP,NV-SL-PL-RH,NV-SL-PL-SP,NV-SL-PL-ST,NV-SL-PL-WD,NV-SL-PL-WP</t>
  </si>
  <si>
    <t>Planting Type</t>
  </si>
  <si>
    <t>PlntngTyp</t>
  </si>
  <si>
    <t>AH</t>
  </si>
  <si>
    <t>AN</t>
  </si>
  <si>
    <t>AS</t>
  </si>
  <si>
    <t>BS</t>
  </si>
  <si>
    <t>BSR</t>
  </si>
  <si>
    <t>CE</t>
  </si>
  <si>
    <t>EW</t>
  </si>
  <si>
    <t>EWC</t>
  </si>
  <si>
    <t>FPR</t>
  </si>
  <si>
    <t>FPU</t>
  </si>
  <si>
    <t>GA</t>
  </si>
  <si>
    <t>GC</t>
  </si>
  <si>
    <t>GG</t>
  </si>
  <si>
    <t>GMS</t>
  </si>
  <si>
    <t>Gr</t>
  </si>
  <si>
    <t>GVb</t>
  </si>
  <si>
    <t>GW</t>
  </si>
  <si>
    <t>GWP</t>
  </si>
  <si>
    <t>HH</t>
  </si>
  <si>
    <t>HL</t>
  </si>
  <si>
    <t>HM</t>
  </si>
  <si>
    <t>HQ</t>
  </si>
  <si>
    <t>HS</t>
  </si>
  <si>
    <t>HT</t>
  </si>
  <si>
    <t>LHS</t>
  </si>
  <si>
    <t>LS</t>
  </si>
  <si>
    <t>ME</t>
  </si>
  <si>
    <t>RL</t>
  </si>
  <si>
    <t>Sp</t>
  </si>
  <si>
    <t>TH</t>
  </si>
  <si>
    <t>WC</t>
  </si>
  <si>
    <t>WL</t>
  </si>
  <si>
    <t>WM</t>
  </si>
  <si>
    <t>WQ</t>
  </si>
  <si>
    <t>WW</t>
  </si>
  <si>
    <t>WWA</t>
  </si>
  <si>
    <t>WWB</t>
  </si>
  <si>
    <t>WWC</t>
  </si>
  <si>
    <t>WWF</t>
  </si>
  <si>
    <t>WWG</t>
  </si>
  <si>
    <t>WWM</t>
  </si>
  <si>
    <t>Actual Excavated Storage Volume (m3)</t>
  </si>
  <si>
    <t>ActlExcvtdStrgVlm</t>
  </si>
  <si>
    <t>GRT,LEF,LSH,LSS,SPL,TNK,UEF,USS,CV-DR-BF,CV-DR-OP,CV-DR-PC,CV-DR-PI,CV-DR-PS</t>
  </si>
  <si>
    <t>Backfill Material</t>
  </si>
  <si>
    <t>BckfllMtrl</t>
  </si>
  <si>
    <t>Depth (average) (m)</t>
  </si>
  <si>
    <t>DpthAvg</t>
  </si>
  <si>
    <t>GRT,LSH,LSS,OPC,PPE</t>
  </si>
  <si>
    <t>Depth (Min) m</t>
  </si>
  <si>
    <t>DpthMn</t>
  </si>
  <si>
    <t>LSH,LSS,OPC,PPE</t>
  </si>
  <si>
    <t>Depth (max) (m)</t>
  </si>
  <si>
    <t>DpthMx</t>
  </si>
  <si>
    <t>INS,LNG,CV-BR-CV,CV-BR-FB,CV-BR-OB,CV-BR-RB,CV-BR-VD,CV-CE-CT,CV-CE-EM,CV-CE-RC,CV-CE-RE,CV-HW-CW,CV-HW-FP,CV-HW-JU,CV-HW-PA,CV-HW-SF,CV-HW-VE</t>
  </si>
  <si>
    <t>Gradient (min)</t>
  </si>
  <si>
    <t>GrdntMn</t>
  </si>
  <si>
    <t>KRB,LNM</t>
  </si>
  <si>
    <t>Third Party Name</t>
  </si>
  <si>
    <t>ThrdPrty</t>
  </si>
  <si>
    <t>LEF,LSH,LSS,RMP,UEF,USS,CV-BR-UB,CV-CE-AE,CV-CE-CT,CV-CE-RC</t>
  </si>
  <si>
    <t>Angle of Slope</t>
  </si>
  <si>
    <t>AnglSlp</t>
  </si>
  <si>
    <t>LNM,RTU,SEL</t>
  </si>
  <si>
    <t>Thickness of Lining (mm)</t>
  </si>
  <si>
    <t>ThknsLng</t>
  </si>
  <si>
    <t>LSH,LSS,USS,WTS</t>
  </si>
  <si>
    <t>Alignment (Elevation)</t>
  </si>
  <si>
    <t>ElvtnAlg</t>
  </si>
  <si>
    <t>Area (sq.m)</t>
  </si>
  <si>
    <t>Com_Arsqm</t>
  </si>
  <si>
    <t>MNH,PNI,PNO,PPE,VLV,CV-DR-BF,CV-DR-OP,CV-DR-PC,CV-DR-PI,CV-DR-PS</t>
  </si>
  <si>
    <t>Design Flow (l/s)</t>
  </si>
  <si>
    <t>DsgnFlw</t>
  </si>
  <si>
    <t>MNH,OCS,PNI,PNO</t>
  </si>
  <si>
    <t>Outfall ID</t>
  </si>
  <si>
    <t>OtfllID</t>
  </si>
  <si>
    <t>MNH,PNI,PNO,CV-DR-PS</t>
  </si>
  <si>
    <t>Outfall Level (m AoD)</t>
  </si>
  <si>
    <t>OtfllLvl</t>
  </si>
  <si>
    <t>PIL,SPL</t>
  </si>
  <si>
    <t>Pile Section Details</t>
  </si>
  <si>
    <t>PlSctnDtls</t>
  </si>
  <si>
    <t>Retained Height (m)</t>
  </si>
  <si>
    <t>RtndHght</t>
  </si>
  <si>
    <t>Catchment Type</t>
  </si>
  <si>
    <t>Com_CtchmntTyp</t>
  </si>
  <si>
    <t>Highway</t>
  </si>
  <si>
    <t>Railway</t>
  </si>
  <si>
    <t>Land</t>
  </si>
  <si>
    <t>PPE,TNK,UT-CW-PL</t>
  </si>
  <si>
    <t>Diameter (Internal) (mm)</t>
  </si>
  <si>
    <t>DmtrIntr</t>
  </si>
  <si>
    <t>Cover Material</t>
  </si>
  <si>
    <t>CvrMtrl</t>
  </si>
  <si>
    <t>Cast Aluminium</t>
  </si>
  <si>
    <t>PVCu</t>
  </si>
  <si>
    <t>Rodding Eye Material</t>
  </si>
  <si>
    <t>RddngEyMtrl</t>
  </si>
  <si>
    <t>RMP,CV-BR-CV,CV-BR-FB,CV-BR-OB,CV-BR-UB,CV-BR-UP,CV-BR-VD,CV-CE-CT,CV-CE-EM,CV-CE-RC,CV-CE-RE,CV-HW-CW,CV-HW-FP,CV-HW-JU,CV-HW-PA,CV-HW-SF,CV-HW-VE</t>
  </si>
  <si>
    <t>Gradient (max)</t>
  </si>
  <si>
    <t>GrdntMx</t>
  </si>
  <si>
    <t>CV-CE-AE,CV-CE-CT,CV-CE-EM,CV-CE-RC,CV-CE-RE</t>
  </si>
  <si>
    <t>Slope Stabilisation Details</t>
  </si>
  <si>
    <t>SlpStblstn</t>
  </si>
  <si>
    <t>Nominal Surface Area</t>
  </si>
  <si>
    <t>NmnlSrfcAr</t>
  </si>
  <si>
    <t>CV-DR-BF,CV-DR-OP,CV-DR-PC,CV-DR-PI</t>
  </si>
  <si>
    <t>Potential Flood Impact Fluvial</t>
  </si>
  <si>
    <t>PtntlFldImpctFlvl</t>
  </si>
  <si>
    <t>CV-DR-BF,CV-DR-OP,CV-DR-PC,CV-DR-PI,CV-DR-PS</t>
  </si>
  <si>
    <t>Start Invert Level</t>
  </si>
  <si>
    <t>StrtInvrtLvl</t>
  </si>
  <si>
    <t>ABT,APR,BAS,BEM,CLM,CPB,DCK,FLR,GSL,LSH,NSW,PIR,PLC,PRP,ROO,RSL,STR,STW</t>
  </si>
  <si>
    <t>Finishing – Formwork</t>
  </si>
  <si>
    <t>FFwk</t>
  </si>
  <si>
    <t>Rough</t>
  </si>
  <si>
    <t>Fair</t>
  </si>
  <si>
    <t>Rough one side/Plain other</t>
  </si>
  <si>
    <t>Patterned (type 01)</t>
  </si>
  <si>
    <t>Patterned (type 02)</t>
  </si>
  <si>
    <t>Patterned (type 03)</t>
  </si>
  <si>
    <t>Patterned (type 04)</t>
  </si>
  <si>
    <t>Patterned (type 05)</t>
  </si>
  <si>
    <t>Finishing – Top Surface</t>
  </si>
  <si>
    <t>Ftop</t>
  </si>
  <si>
    <t>Steel Float</t>
  </si>
  <si>
    <t>Wooden Float</t>
  </si>
  <si>
    <t>Screed</t>
  </si>
  <si>
    <t>Embedded Length (m)
(Vertical embedded length)</t>
  </si>
  <si>
    <t>EmbdddLngth</t>
  </si>
  <si>
    <r>
      <t>Net Plan Area (external)(m</t>
    </r>
    <r>
      <rPr>
        <sz val="11"/>
        <color theme="1"/>
        <rFont val="Calibri"/>
        <family val="2"/>
      </rPr>
      <t>²)</t>
    </r>
  </si>
  <si>
    <t>NetPlanAreaExt</t>
  </si>
  <si>
    <t>CAV,CPS,GLY,GRS,LDA,LHA,LNG,LSH,LSS,LUA,PNI,PNO,PST,PSU,RDC,RRS,RTU,SEL,TMW,TRG,TRS,USS,UTD,VET,VLV</t>
  </si>
  <si>
    <t>Gross Surface Area (internal) (m²)</t>
  </si>
  <si>
    <t>GrossSurfaceAreaInt</t>
  </si>
  <si>
    <t>GRS,LSH,LSS,PND,TMW,USS,VET</t>
  </si>
  <si>
    <t>Net Perimeter (external) (m)</t>
  </si>
  <si>
    <t>NetPerimeterExt</t>
  </si>
  <si>
    <t>GRS,LSH,LSS,PST,TMW,USS</t>
  </si>
  <si>
    <t>Net Perimeter (internal) (m)</t>
  </si>
  <si>
    <t>NetPerimeterInt</t>
  </si>
  <si>
    <t>GRS,LSH,LSS,TMW,USS</t>
  </si>
  <si>
    <t>Net Plan Area (internal) (m²)</t>
  </si>
  <si>
    <t>NetPlanAreaInt</t>
  </si>
  <si>
    <t>GRS,LSH,LSS,MNH,RTU,STW,TMW,TRG,TRS,USS,VET,WPF</t>
  </si>
  <si>
    <t>Net Surface Area (external) (m²)</t>
  </si>
  <si>
    <t>NetSurfaceAreaExt</t>
  </si>
  <si>
    <t>GLY,GRS,LSH,LSS,PNI,PNO,PST,RRS,RTU,TMW,TRG,TRS,USS,VET,VLV</t>
  </si>
  <si>
    <t>Net Surface Area (internal) (m²)</t>
  </si>
  <si>
    <t>NetSurfaceAreaInt</t>
  </si>
  <si>
    <t>GRS,LDA,LHA,LSH,LSS,LUA,RDC,TMW,USS</t>
  </si>
  <si>
    <t>Gross Plan Area (internal) (m²)</t>
  </si>
  <si>
    <t>GrossPlanAreaInt</t>
  </si>
  <si>
    <t>Thickness (Average) (m)</t>
  </si>
  <si>
    <t>ThknsAvg</t>
  </si>
  <si>
    <t>Thickness (Average) (mm)</t>
  </si>
  <si>
    <t>ThknsAvgMM</t>
  </si>
  <si>
    <t>Developed Area  (m²)</t>
  </si>
  <si>
    <t>DevelopedArea</t>
  </si>
  <si>
    <r>
      <t>Section Modulus (cm</t>
    </r>
    <r>
      <rPr>
        <sz val="11"/>
        <color theme="1"/>
        <rFont val="Calibri"/>
        <family val="2"/>
      </rPr>
      <t>³/m)</t>
    </r>
  </si>
  <si>
    <t>SectionModulus</t>
  </si>
  <si>
    <t>Driven Area  (m²)
(Area of pile below Finshed Ground Level)</t>
  </si>
  <si>
    <t>DrivenArea</t>
  </si>
  <si>
    <t>NV-SL-PL-AM,NV-SL-PL-FP,NV-SL-PL-HD,NV-SL-PL-HR,NV-SL-PL-LG,NV-SL-PL-LP,NV-SL-PL-MP,NV-SL-PL-RH,NV-SL-PL-SP,NV-SL-PL-ST,NV-SL-PL-WD,NV-SL-PL-WP</t>
  </si>
  <si>
    <t>CFA Area  (m²)</t>
  </si>
  <si>
    <t>Com_CfAr</t>
  </si>
  <si>
    <t>Planting details Number or Spacing</t>
  </si>
  <si>
    <t>QuantityDetails</t>
  </si>
  <si>
    <t xml:space="preserve">  </t>
  </si>
  <si>
    <t xml:space="preserve">strAttr Scope Level 2 UAID </t>
  </si>
  <si>
    <t xml:space="preserve">strAttr Asset Name 2 </t>
  </si>
  <si>
    <t xml:space="preserve">strAttr Asset Description 2 </t>
  </si>
  <si>
    <t xml:space="preserve">strAttr HS2 Asset Classification </t>
  </si>
  <si>
    <t xml:space="preserve">numAttr Start Chainage </t>
  </si>
  <si>
    <t xml:space="preserve">numAttr End Chainage </t>
  </si>
  <si>
    <t xml:space="preserve">numAttr OSGB Easting  </t>
  </si>
  <si>
    <t xml:space="preserve">numAttr OSGB Northing </t>
  </si>
  <si>
    <t xml:space="preserve">numAttr Snake Grid Easting </t>
  </si>
  <si>
    <t xml:space="preserve">numAttr Snake Grid Northing </t>
  </si>
  <si>
    <t xml:space="preserve">strAttr Scope Level 1 UAID </t>
  </si>
  <si>
    <t xml:space="preserve">strAttr Uniclass 2015 </t>
  </si>
  <si>
    <t xml:space="preserve">strAttr Type (Layer description text) </t>
  </si>
  <si>
    <t xml:space="preserve">strAttr Description </t>
  </si>
  <si>
    <t xml:space="preserve">strAttr Material </t>
  </si>
  <si>
    <t xml:space="preserve">strAttr Scope Level 3 UAID </t>
  </si>
  <si>
    <t xml:space="preserve">strAttr Changes Considered  </t>
  </si>
  <si>
    <t xml:space="preserve">strAttr Contract Requirements Technical </t>
  </si>
  <si>
    <t xml:space="preserve">strAttr Is Configuration Item (Y/N) </t>
  </si>
  <si>
    <t xml:space="preserve">strAttr Standards Baseline </t>
  </si>
  <si>
    <t xml:space="preserve">numAttr Length (m) </t>
  </si>
  <si>
    <t xml:space="preserve">numAttr Net Volume (m³) </t>
  </si>
  <si>
    <t xml:space="preserve">intAttr Design Life </t>
  </si>
  <si>
    <t>Height of Flora at 15 Years (m)</t>
  </si>
  <si>
    <t>09</t>
  </si>
  <si>
    <t>010</t>
  </si>
  <si>
    <t>011</t>
  </si>
  <si>
    <t>012</t>
  </si>
  <si>
    <t>013</t>
  </si>
  <si>
    <t>Pr_35_31_05_85 Stone mastic asphalt (SMA) surface courses</t>
  </si>
  <si>
    <t>Pr_20_31_04_07 Type 3-Aggregate Fill</t>
  </si>
  <si>
    <t>Pr_25_93_60_61 Plastic Cellular Paver</t>
  </si>
  <si>
    <t>Pr_15_31_26_96 Well-graded granular unbound mixtures</t>
  </si>
  <si>
    <t xml:space="preserve">Pr_20_31_04_08 Class 1A/6A Aggregate fill </t>
  </si>
  <si>
    <t>Pr_20_31_16_21 Insitu Concrete FND4</t>
  </si>
  <si>
    <t>Pr_15_31_26_33 Pea Gravel</t>
  </si>
  <si>
    <t>Pr_15_31_26_33 6N10-Selected well graded granular material fill</t>
  </si>
  <si>
    <t>Pr_35_31_05 Asphalt concrete regulating course</t>
  </si>
  <si>
    <t>Pr_35_90_53_50 MasticAsphaltMaMovementJoint</t>
  </si>
  <si>
    <t>Pr_20_76_52_20 CarbonSteelWeldedTube</t>
  </si>
  <si>
    <t>Plane formwork class (Angle of inclination in deg)</t>
  </si>
  <si>
    <t>PlaneFormWorkClassIncl</t>
  </si>
  <si>
    <t>Pr_15_31_26_17 2A6-Wet cohesive material fill</t>
  </si>
  <si>
    <t>Pr_15_31_26_17 7C4-(non-HSR) Selected high plasticity wet cohesive material fill</t>
  </si>
  <si>
    <t>Pr_35_31_05_05 ThinSurfaceCourseSystem</t>
  </si>
  <si>
    <t xml:space="preserve">ABT,ADI,AFI,ANC,APR,BAS,BEM,BER,BLD,BLR,BNL,BRR,CAB,CAV,CHB,CLM,CLW,CPB,CPS,CPT,CTR,CUT,CVS,DCK,DEW,DLV,DRF,DTC,DWP,EXJ,FLR,FAU,FND,GAT,GFL,GLY,GRS,GRT,GSL,HDW,HND,HPD,INS,KRB,LDA,LEF,LHA,LNG,LNM,LOS,LSH,LSS,LUA,MHE,MNH,NSW,OCS,OPC,PCE,PHP,PIL,PIR, PLC,PND,PNI,PNO,PPE,PRL,PRP,PSG,PST,PSU,PVM,PWK,RDC,RDE,REX,RFL,RMP,ROO,RRS,RSL,RTU,SCF,SCH,SCW,SEL,SMP,SPC,SPE,SPK,SPL,STL,STR,STW,TFS,TMW,TNK,TRG,TRS,UEF,UPN,USS,UTD,VET,VGS,VLV,WHB,WIS,WLK,WMT,WPF,WTS,WVC,ZZ-ZZ,NV-SL-PL-AM,NV-SL-PL-FP,NV-SL-PL-HD,NV-SL-PL-HR,NV-SL-PL-LG,NV-SL-PL-LP,NV-SL-PL-MP,NV-SL-PL-RH,NV-SL-PL-SP,NV-SL-PL-ST,NV-SL-PL-WD,NV-SL-PL-WP
</t>
  </si>
  <si>
    <t>ABT,ADI,AFI,ANC,APR,BAS,BEM,BER,BLD,BLR,BNL,BRR,CAB,CAV,CHB,CLM,CLW,CPB,CPS,CPT,CTR,CUT,CVS,DCK,DEW,DLV,DRF,DTC,DWP,EXJ,FAU,FLR,FND,GAT,GFL,GLY,GRS,GRT,GSL,HDW,HND,HPD,INS,KRB,LDA,LEF,LHA,LNG,LNM,LOS,LSH,LSS,LUA,MHE,MNH,NSW,OCS,OPC,PCE,PHP,PIL,PIR,PLC,PND,PNI,PNO,PPE,PRL,PRP,PSG,PST,PSU,PVM,PWK,RDC,RDE,REX,RFL,RMP,ROO,RRS,RSL,RTU,SCF,SCH,SCW,SEL,SMP,SPE,SPC,SPK,SPL,STL,STR,STW,TFS,TMW,TNK,TRG,TRS,UEF,UPN,USS,UTD,VET,VGS,VLV,WHB,WIS,WLK,WMT,WPF,WTS,WVC,ZZ-ZZ,NV-SL-PL-AM,NV-SL-PL-FP,NV-SL-PL-HD,NV-SL-PL-HR,NV-SL-PL-LG,NV-SL-PL-LP,NV-SL-PL-MP,NV-SL-PL-RH,NV-SL-PL-SP,NV-SL-PL-ST,NV-SL-PL-WD,NV-SL-PL-WP</t>
  </si>
  <si>
    <t>Pr_15_31</t>
  </si>
  <si>
    <t>ABT,AFI,ANC,APR,BAS,BEM,BER,BLD,BRR,CAB,CHB,CLM,CLW,CPB,CPS,CPT,CTR,CUT,CVS,DCK,DEW,DLV,DRF,DTC,DWP,EXJ,FAU,FLR,FND,GAT,GFL,GLY,GRS,GRT,GSL,HDW,HND,INS,KRB,LDA,LEF,LHA,LNG,LNM,LOS,LSH,LSS,LUA,MHE,MNH,NSW,OCS,OPC,PCE,PHP,PIL,PIR,PLC,PND,PNI,PNO,PPE,PRL,PRP,PSG,PST,PSU,PVM,PWK,RDC,RDE,REX,RFL,RMP,ROO,RRS,RSL,RTU,SCF,SCH,SCW,SEL,SMP,SPK,SPL,STL,STR,STW,TFS,TMW,TNK,TRG,TRS,UEF,UPN,USS,UTD,VET,VGS,VLV,WIS,WLK,WPF,WTS,CV-BR,CV-CE,CV-DR,CV-HW,CV-PL,CV-US,CV-WF,DN-CO,GR-BL,GR-CT,GR-EA,GR-EM,GR-ER,GR-EW,GR-LP,GR-NC,GR-SP,GR-TN,GR-UT,GR-VD,IT-IB,IT-ID,IT-IE,IT-IF,IT-IG,IT-IH,IT-II,IT-IL,IT-IO,IT-IP,IT-IQ,IT-IR,IT-IS,IT-IU,IT-IV,IT-IW,LP-RL,OP-EA,SC-EN,SC-GR,SC-NV,UT-CW,UT-DH,UT-EN,UT-FT,UT-GN,UT-MT,UT-PC,UT-WW,WB-GW,WB-SW,WT-CN,WT-OW,WT-RV,ZZ-ZZ,CN-CT-TR,CN-DE-CM,CN-DE-CO,CN-DE-DR,CN-DE-GE,CN-DE-IN,CN-DE-OT,CN-DE-RE,CN-GE-CM,CN-GE-ST,CN-SC-AC,CN-SC-CC,CN-SC-CS,CN-SC-GI,CN-SC-HV,CN-SC-MC,CN-SC-RH,CN-SC-SC,CN-SC-SR,CN-SC-TR,CN-SC-TS,CN-TF-PC,CN-WA-CO,CN-WA-HA,CN-WA-IN,CN-WA-LF,CN-WA-RE,CN-WA-WA,CN-WA-WT,CV-BR-AQ,CV-BR-CV,CV-BR-FB,CV-BR-GB,CV-BR-OB,CV-BR-RB,CV-BR-TB,CV-BR-UB,CV-BR-UP,CV-BR-UT,CV-BR-VD,CV-BR-WT,CV-CE-AE,CV-CE-AG,CV-CE-CR,CV-CE-CT,CV-CE-EM,CV-CE-ME,CV-CE-RC,CV-CE-RE,CV-CE-RS,CV-CE-RW,CV-DR-BF,CV-DR-OP,CV-DR-PC,CV-DR-PI,CV-DR-PS,CV-HW-CW,CV-HW-FP,CV-HW-JU,CV-HW-PA,CV-HW-SF,CV-HW-VE,CV-PL-AC,CV-PL-LD,CV-PL-SP,CV-US-BS,CV-US-SH,CV-US-TN,CV-WF-BF,CV-WF-BN,CV-WF-HD,CV-WF-NB,CV-WF-SC,CV-WF-VS,CV-WF-WL,DT-MD-BL,ES-EC-BD,ES-EC-BT,ES-EC-GC,ES-EC-HB,ES-EC-HD,ES-EC-HE,ES-EC-OT,ES-EC-RP,ES-EC-S1,ES-EC-SC,ES-EC-WC,ES-EC-WV,ES-WT-PA,GR-EP-00,GR-EP-01,GR-EP-02,GR-EP-03,GR-EP-04,GR-EP-05,GR-RS-CC,GR-RS-MQ,GR-RS-OS,GR-RS-PS,GR-RS-RS,GR-RS-TR,GR-RS-TS,GR-WB-01,GR-WB-02,LP-RL-CM,LP-RL-CO,LP-RL-RP,LP-RL-SC,LP-RL-UT,NV-AC-AO,NV-AC-IN,NV-AC-LS,NV-AC-MO,NV-AC-PP,NV-AC-WS,NV-CM-OP,NV-CM-PA,NV-CM-PF,NV-ES-AF,NV-ES-AM,NV-ES-BN,NV-ES-BR,NV-ES-BS,NV-ES-DE,NV-ES-DO,NV-ES-FP,NV-ES-GC,NV-ES-HD,NV-ES-IN,NV-ES-ML,NV-ES-OH,NV-ES-PL,NV-ES-RP,NV-ES-WV,NV-HL-PA,NV-HL-UP,NV-SL-PL-AM,NV-SL-PL-FP,NV-SL-PL-HD,NV-SL-PL-HR,NV-SL-PL-LG,NV-SL-PL-LP,NV-SL-PL-MP,NV-SL-PL-RH,NV-SL-PL-SP,NV-SL-PL-ST,NV-SL-PL-WD,NV-SL-PL-WP,OF-OP-MS,OP-AP-EA,OP-AP-MA,RL-NR-RL,SC-EN-EX,SC-EN-HE,SC-EN-SC,SC-EN-TR,SC-EN-VE,TP-OL-ES,UT-CW-PL,UT-CW-PS,UT-CW-ST,UT-CW-TW,UT-DH-NW,UT-DH-ST,UT-EN-CS,UT-EN-FS,UT-EN-GS,UT-EN-OH,UT-EN-SS,UT-EN-UG,UT-FT-CB,UT-FT-OH,UT-FT-TX,UT-FT-UG,UT-GN-PB,UT-GN-PL,UT-GN-PR,UT-HS-HS,UT-PC-NW,UT-PC-TF,UT-WW-FL,UT-WW-SP,UT-WW-ST,UT-WW-TW,Co_80_50_70,Co_80_50_74,Co_80_50_75,Co_80_50_77,CV-US-TN-BR,CV-US-TN-CC,CV-US-TN-MN,CV-US-TN-PR,EI-70-05-02,EI-70-05-03,EI-70-05-04,EI-70-05-05,EI-70-05-10,EI-70-05-15,EI-70-05-20,EI-70-05-25,EI-70-10-05,EI-70-10-10,EI-70-10-15,EI-70-10-20,EI-70-10-25,EI-70-15-05,EI-70-15-10,EI-70-20-05,EI-70-20-10,EI-70-20-15,EI-70-20-20,EI-70-20-25,EI-70-20-30,EI-70-20-35,EI-70-20-40,EI-70-25-05,EI-70-25-10,EI-70-25-15,EI-70-25-20,EI-70-25-25,EI-70-25-30,ES-EC-BD-01,ES-EC-BD-02,ES-EC-BD-03,ES-EC-BT-A1,ES-EC-BT-A2,ES-EC-BT-A4,ES-EC-BT-A5,ES-EC-BT-H1,ES-EC-BT-R1,ES-EC-BT-R2,ES-EC-BT-R3,ES-EC-BT-R4,ES-EC-BT-R5,ES-EC-BT-R6,ES-EC-BT-S1,ES-EC-BT-S2,ES-EC-BT-S3,ES-EC-BT-T1,ES-EC-BT-T2,ES-EC-BT-T3,ES-EC-DI-VE,ES-EC-FI-FC,ES-EC-FI-FD,ES-EC-FI-HA,ES-EC-GC-A1,ES-EC-GC-A3,ES-EC-GC-H1,ES-EC-GC-T1,ES-EC-GC-T2,ES-EC-GI-SO,ES-EC-HB-P1,ES-EC-HB-P2,ES-EC-HD-01,ES-EC-HD-02,ES-EC-HD-03,ES-EC-OT-FS,ES-EC-OT-HA,ES-EC-PD-NA,ES-EC-PD-PS,ES-EC-PD-RA,ES-EC-RP-DS,ES-EC-RP-HA,ES-EC-RV-CO,ES-EC-S1-BB,ES-EC-S1-BO,ES-EC-S1-BR,ES-EC-S1-KF,ES-EC-SO-BA,ES-EC-TR-S1,ES-EC-TR-S2,ES-EC-TR-S3,ES-EC-WB-GE,ES-EC-WB-SS,ES-EC-WC-HA,ES-EC-WC-MS,ES-EC-WC-TS,ES-EC-WD-AW,ES-EC-WD-P1,ES-EC-WD-P2,ES-EC-WD-P3,ES-EC-WD-W1,ES-EC-WD-W2,ES-EC-WV-FS,ES-EC-WV-HA,NV-AC-AS-EX,NV-ES-PL-EC,NV-ES-PL-FC,NV-HL-SF-BN,NV-HL-SF-CS,NV-HL-SF-LB,NV-HL-SF-RM,NV-HL-SF-SH,NV-HL-SF-SL,NV-HL-SF-SM,NV-SL-PL-AM,NV-SL-PL-FP,NV-SL-PL-HD,NV-SL-PL-HR,NV-SL-PL-LG,NV-SL-PL-LP,NV-SL-PL-MP,NV-SL-PL-SP,NV-SL-PL-ST,NV-SL-PL-WD,NV-SL-PL-WP,SC-EN-EX-BA,SC-EN-EX-BB,SC-EN-EX-BR,SC-EN-EX-BT,SC-EN-EX-GC,SC-EN-EX-OT,SC-EN-EX-RE,SC-EN-EX-WC,SC-EN-HE-BB,SC-EN-HE-BR,SC-EN-HE-DO,SC-EN-HE-FI,SC-EN-HE-GC,SC-EN-HE-IN,SC-EN-HE-RE,SC-EN-HE-WC,SC-EN-HE-WV,SC-EN-TR-BA,SC-EN-TR-DO,SC-EN-TR-FI,SC-EN-TR-GC,SC-EN-TR-RE,SC-EN-TR-WV,UT-CW-PL-GV,UT-CW-PL-MH,UT-CW-PL-WP,UT-DH-NW-PL,UT-DH-ST-PH,UT-FT-OH-CB,UT-FT-OH-PL,UT-FT-UG-CB,UT-FT-UG-CH,UT-FT-UG-CX,UT-GN-PL-GC,UT-GN-PL-LP,UT-GN-PL-ST,UT-MT-TR-BS,UT-MT-TR-MS,UT-PC-NW-PC,UT-PC-NW-PP,UT-WW-FL-FP,UT-WW-FL-MH,UT-WW-FL-VL,UT-WW-ST-OF,UT-WW-ST-PB,UT-WW-ST-PS,UT-WW-ST-ST,UT-WW-ST-SY,ES-EC-GI-SC-HA,ES-EC-GI-SC-PR</t>
  </si>
  <si>
    <t xml:space="preserve">ABT,ADI,AFI,ANC,APR,BAS,BEM,BER,BLD,BLR,BNL,BRR,CAB,CAV,CHB,CLM,CLW,CPB,CPS,CPT,CTR,CUT,CVS,DCK,DEW,DLV,DRF,DTC,DWP,EXJ,FAU,FLR,FND,GAT,GFL,GLY,GRS,GRT,GSL,HDW,HND,HPD,INS,KRB,LDA,LEF,LHA,LNG,LNM,LOS,LSH,LSS,LUA,MHE,MNH,NSW,OCS,OPC,PCE,PHP,PIL,PIR,PLC,PND,PNI,PNO,PPE,PRL,PRP,PSG,PST,PSU,PVM,PWK,RDC,RDE,REX,RFL,RMP,ROO,RRS,RSL,RTU,SCF,SCH,SCW,SEL,SMP,SPC,SPE,SPK,SPL,STL,STR,STW,TFS,TMW,TNK,TRG,TRS,UEF,UPN,USS,UTD,VET,VGS,VLV,WHB,WIS,WLK,WMT,WPF,WTS,WVC,CV-BR,CV-CE,CV-DR,CV-HW,CV-PL,CV-US,CV-WF,DN-CO,GR-BL,GR-CT,GR-EA,GR-EM,GR-ER,GR-EW,GR-LP,GR-NC,GR-SP,GR-TN,GR-UT,GR-VD,IT-IB,IT-ID,IT-IE,IT-IF,IT-IG,IT-IH,IT-II,IT-IL,IT-IO,IT-IP,IT-IQ,IT-IR,IT-IS,IT-IU,IT-IV,IT-IW,LP-RL,OP-EA,SC-EN,SC-GR,SC-NV,UT-CW,UT-DH,UT-EN,UT-FT,UT-GN,UT-MT,UT-PC,UT-WW,WB-GW,WB-SW,WT-CN,WT-OW,WT-RV,ZZ-ZZ,CN-CT-TR,CN-DE-CM,CN-DE-CO,CN-DE-DR,CN-DE-GE,CN-DE-IN,CN-DE-OT,CN-DE-RE,CN-GE-CM,CN-GE-ST,CN-SC-AC,CN-SC-CC,CN-SC-CS,CN-SC-GI,CN-SC-HV,CN-SC-MC,CN-SC-RH,CN-SC-SC,CN-SC-SR,CN-SC-TR,CN-SC-TS,CN-TF-PC,CN-WA-CO,CN-WA-HA,CN-WA-IN,CN-WA-LF,CN-WA-RE,CN-WA-WA,CN-WA-WT,CV-BR-AQ,CV-BR-CV,CV-BR-FB,CV-BR-GB,CV-BR-OB,CV-BR-RB,CV-BR-TB,CV-BR-UB,CV-BR-UP,CV-BR-UT,CV-BR-VD,CV-BR-WT,CV-CE-AE,CV-CE-AG,CV-CE-CR,CV-CE-CT,CV-CE-EM,CV-CE-ME,CV-CE-RC,CV-CE-RE,CV-CE-RS,CV-CE-RW,CV-DR-BF,CV-DR-OP,CV-DR-PC,CV-DR-PI,CV-DR-PS,CV-HW-CW,CV-HW-FP,CV-HW-JU,CV-HW-PA,CV-HW-SF,CV-HW-VE,CV-PL-AC,CV-PL-LD,CV-PL-SP,CV-US-BS,CV-US-SH,CV-US-TN,CV-WF-BF,CV-WF-BN,CV-WF-HD,CV-WF-NB,CV-WF-SC,CV-WF-VS,CV-WF-WL,DT-MD-BL,ES-EC-BD,ES-EC-BT,ES-EC-GC,ES-EC-HB,ES-EC-HD,ES-EC-HE,ES-EC-OT,ES-EC-RP,ES-EC-S1,ES-EC-SC,ES-EC-WC,ES-EC-WV,ES-WT-PA,GR-EP-00,GR-EP-01,GR-EP-02,GR-EP-03,GR-EP-04,GR-EP-05,GR-RS-CC,GR-RS-MQ,GR-RS-OS,GR-RS-PS,GR-RS-RS,GR-RS-TR,GR-RS-TS,GR-WB-01,GR-WB-02,LP-RL-CM,LP-RL-CO,LP-RL-RP,LP-RL-SC,LP-RL-UT,NV-AC-AO,NV-AC-IN,NV-AC-LS,NV-AC-MO,NV-AC-PP,NV-AC-WS,NV-CM-OP,NV-CM-PA,NV-CM-PF,NV-ES-AF,NV-ES-AM,NV-ES-BN,NV-ES-BR,NV-ES-BS,NV-ES-DE,NV-ES-DO,NV-ES-FP,NV-ES-GC,NV-ES-HD,NV-ES-IN,NV-ES-ML,NV-ES-OH,NV-ES-PL,NV-ES-RP,NV-ES-WV,NV-HL-PA,NV-HL-UP,NV-SL-PL-AM,NV-SL-PL-FP,NV-SL-PL-HD,NV-SL-PL-HR,NV-SL-PL-LG,NV-SL-PL-LP,NV-SL-PL-MP,NV-SL-PL-RH,NV-SL-PL-SP,NV-SL-PL-ST,NV-SL-PL-WD,NV-SL-PL-WP,OF-OP-MS,OP-AP-EA,OP-AP-MA,RL-NR-RL,SC-EN-EX,SC-EN-HE,SC-EN-SC,SC-EN-TR,SC-EN-VE,TP-OL-ES,UT-CW-PL,UT-CW-PS,UT-CW-ST,UT-CW-TW,UT-DH-NW,UT-DH-ST,UT-EN-CS,UT-EN-FS,UT-EN-GS,UT-EN-OH,UT-EN-SS,UT-EN-UG,UT-FT-CB,UT-FT-OH,UT-FT-TX,UT-FT-UG,UT-GN-PB,UT-GN-PL,UT-GN-PR,UT-HS-HS,UT-PC-NW,UT-PC-TF,UT-WW-FL,UT-WW-SP,UT-WW-ST,UT-WW-TW,Co_80_50_70,Co_80_50_74,Co_80_50_75,Co_80_50_77,CV-US-TN-BR,CV-US-TN-CC,CV-US-TN-MN,CV-US-TN-PR,EI-70-05-02,EI-70-05-03,EI-70-05-04,EI-70-05-05,EI-70-05-10,EI-70-05-15,EI-70-05-20,EI-70-05-25,EI-70-10-05,EI-70-10-10,EI-70-10-15,EI-70-10-20,EI-70-10-25,EI-70-15-05,EI-70-15-10,EI-70-20-05,EI-70-20-10,EI-70-20-15,EI-70-20-20,EI-70-20-25,EI-70-20-30,EI-70-20-35,EI-70-20-40,EI-70-25-05,EI-70-25-10,EI-70-25-15,EI-70-25-20,EI-70-25-25,EI-70-25-30,ES-EC-BD-01,ES-EC-BD-02,ES-EC-BD-03,ES-EC-BT-A1,ES-EC-BT-A2,ES-EC-BT-A4,ES-EC-BT-A5,ES-EC-BT-H1,ES-EC-BT-R1,ES-EC-BT-R2,ES-EC-BT-R3,ES-EC-BT-R4,ES-EC-BT-R5,ES-EC-BT-R6,ES-EC-BT-S1,ES-EC-BT-S2,ES-EC-BT-S3,ES-EC-BT-T1,ES-EC-BT-T2,ES-EC-BT-T3,ES-EC-DI-VE,ES-EC-FI-FC,ES-EC-FI-FD,ES-EC-FI-HA,ES-EC-GC-A1,ES-EC-GC-A3,ES-EC-GC-H1,ES-EC-GC-T1,ES-EC-GC-T2,ES-EC-GI-SO,ES-EC-HB-P1,ES-EC-HB-P2,ES-EC-HD-01,ES-EC-HD-02,ES-EC-HD-03,ES-EC-OT-FS,ES-EC-OT-HA,ES-EC-PD-NA,ES-EC-PD-PS,ES-EC-PD-RA,ES-EC-RP-DS,ES-EC-RP-HA,ES-EC-RV-CO,ES-EC-S1-BB,ES-EC-S1-BO,ES-EC-S1-BR,ES-EC-S1-KF,ES-EC-SO-BA,ES-EC-TR-S1,ES-EC-TR-S2,ES-EC-TR-S3,ES-EC-WB-GE,ES-EC-WB-SS,ES-EC-WC-HA,ES-EC-WC-MS,ES-EC-WC-TS,ES-EC-WD-AW,ES-EC-WD-P1,ES-EC-WD-P2,ES-EC-WD-P3,ES-EC-WD-W1,ES-EC-WD-W2,ES-EC-WV-FS,ES-EC-WV-HA,NV-AC-AS-EX,NV-ES-PL-EC,NV-ES-PL-FC,NV-HL-SF-BN,NV-HL-SF-CS,NV-HL-SF-LB,NV-HL-SF-RM,NV-HL-SF-SH,NV-HL-SF-SL,NV-HL-SF-SM,NV-SL-PL-AM,NV-SL-PL-FP,NV-SL-PL-HD,NV-SL-PL-HR,NV-SL-PL-LG,NV-SL-PL-LP,NV-SL-PL-MP,NV-SL-PL-SP,NV-SL-PL-ST,NV-SL-PL-WD,NV-SL-PL-WP,SC-EN-EX-BA,SC-EN-EX-BB,SC-EN-EX-BR,SC-EN-EX-BT,SC-EN-EX-GC,SC-EN-EX-OT,SC-EN-EX-RE,SC-EN-EX-WC,SC-EN-HE-BB,SC-EN-HE-BR,SC-EN-HE-DO,SC-EN-HE-FI,SC-EN-HE-GC,SC-EN-HE-IN,SC-EN-HE-RE,SC-EN-HE-WC,SC-EN-HE-WV,SC-EN-TR-BA,SC-EN-TR-DO,SC-EN-TR-FI,SC-EN-TR-GC,SC-EN-TR-RE,SC-EN-TR-WV,UT-CW-PL-GV,UT-CW-PL-MH,UT-CW-PL-WP,UT-DH-NW-PL,UT-DH-ST-PH,UT-FT-OH-CB,UT-FT-OH-PL,UT-FT-UG-CB,UT-FT-UG-CH,UT-FT-UG-CX,UT-GN-PL-GC,UT-GN-PL-LP,UT-GN-PL-ST,UT-MT-TR-BS,UT-MT-TR-MS,UT-PC-NW-PC,UT-PC-NW-PP,UT-WW-FL-FP,UT-WW-FL-MH,UT-WW-FL-VL,UT-WW-ST-OF,UT-WW-ST-PB,UT-WW-ST-PS,UT-WW-ST-ST,UT-WW-ST-SY,ES-EC-GI-SC-HA,ES-EC-GI-SC-PR,Pr_15,Pr_15_31,Pr_15_31_04,Pr_15_31_26,Pr_15_57,Pr_15_57_27,Pr_15_57_33,Pr_20_29,Pr_20_29_03,Pr_20_29_08,Pr_20_29_14,Pr_20_29_14_87,Pr_20_29_23,Pr_20_29_29,Pr_20_29_31,Pr_20_29_34,Pr_20_29_56,Pr_20_29_60,Pr_20_29_63,Pr_20_29_71Pr_20_29_76,Pr_20_29_81,Pr_20_29_88,Pr_20_31,Pr_20_31_02,Pr_20_31_03,Pr_20_31_04,Pr_20_31_12,Pr_20_31_16,Pr_20_31_53,Pr_20_31_86,Pr_20_65,Pr_20_65_34,Pr_20_65_60,Pr_20_76,Pr_20_76_06,Pr_20_76_06_88,Pr_20_76_08,Pr_20_76_08_62,Pr_20_76_51,Pr_20_76_52,Pr_20_76_63,Pr_20_76_64,Pr_20_76_71,Pr_20_76_78,Pr_20_76_88,Pr_20_85_03,Pr_20_85_07,Pr_20_85_08,Pr_20_85_09,Pr_20_85_13,Pr_20_85_14,Pr_20_85_16,Pr_20_85_18,Pr_20_85_32,Pr_20_85_47,Pr_20_85_48,Pr_20_85_65,Pr_20_85_84,Pr_20_85_84_75,Pr_20_85_85,Pr_20_85_86,Pr_20_85_90,Pr_20_93,Pr_20_93_33,Pr_20_93_51,Pr_20_93_52,Pr_20_93_71,Pr_20_93_76,Pr_20_93_84,Pr_20_93_85,Pr_20_93_90,Pr_20_93_95,Pr_20_96,Pr_20_96_71,Pr_20_96_96,Pr_20_96_97,Pr_25,Pr_25_30,Pr_25_30_30,Pr_25_30_30_03,Pr_25_30_30_04,Pr_25_30_30_05,Pr_25_30_30_06,Pr_25_30_30_14,Pr_25_30_30_16,Pr_25_30_30_18,Pr_25_30_30_34,Pr_25_30_30_58,Pr_25_30_30_81,Pr_25_30_30_83,Pr_25_30_30_84,Pr_25_30_30_85,Pr_25_30_36,Pr_25_30_36_03,Pr_25_30_36_11,Pr_25_30_75,Pr_25_30_85,Pr_25_30_86,Pr_25_30_90,Pr_25_31,Pr_25_31_28,Pr_25_31_48,Pr_25_57,Pr_25_57_06,Pr_25_57_08,Pr_25_57_10,Pr_25_57_21,Pr_25_57_51,Pr_25_57_56,Pr_25_57_65,Pr_25_71,Pr_25_71_14,Pr_25_71_29,Pr_25_71_33,Pr_25_71_33_65,Pr_25_71_42,Pr_25_71_44,Pr_25_71_50,Pr_25_71_51,Pr_25_71_52,Pr_25_71_57,Pr_25_71_63,Pr_25_71_97,Pr_25_71_97_42,Pr_25_71_97_53,Pr_25_71_97_83,Pr_25_71_97_91,Pr_25_80,Pr_25_80_79,Pr_25_80_79_01,Pr_25_80_79_03,Pr_25_80_79_14,Pr_25_80_79_15,Pr_25_80_79_37,Pr_25_80_79_38,Pr_25_80_79_39,Pr_25_80_79_94,Pr_25_80_79_95,Pr_25_80_79_96,Pr_25_80_80,Pr_25_80_81,Pr_25_93,Pr_25_93_45,Pr_25_93_50,Pr_25_93_51,Pr_25_93_52,Pr_25_93_54,Pr_25_93_60,Pr_30,Pr_30_31,Pr_30_31_68,Pr_30_31_76,Pr_30_36,Pr_30_36_08,Pr_30_59,Pr_30_59_01,Pr_30_59_07,Pr_30_59_07_05,Pr_30_59_09,Pr_30_59_23,Pr_30_59_29,Pr_30_59_34,Pr_30_59_34_03,Pr_30_59_34_18,Pr_30_59_34_90,Pr_30_59_36,Pr_30_59_36_76,Pr_30_59_46,Pr_30_59_48,Pr_30_59_48_04,Pr_30_59_48_13,Pr_30_59_48_85,Pr_30_59_48_98,Pr_30_59_57,Pr_30_59_58,Pr_30_59_58_88,Pr_30_59_72,Pr_30_59_94,Pr_30_59_96,Pr_30_59_97,Pr_30_59_98,Pr_35,Pr_35_31,Pr_35_31_05,Pr_35_31_22,Pr_35_31_22_15,Pr_35_31_22_80,Pr_35_31_22_95,Pr_35_31_64,Pr_35_31_65,Pr_35_31_66,Pr_35_31_67,Pr_35_31_68,Pr_35_31_77,Pr_35_31_77_60,Pr_35_31_85,Pr_35_90,Pr_35_90_07,Pr_35_90_15,Pr_35_90_28,Pr_35_90_30,Pr_35_90_31,Pr_35_90_31_26,Pr_35_90_31_27,Pr_35_90_31_37,Pr_35_90_33,Pr_35_90_43,Pr_35_90_50,Pr_35_90_53,Pr_35_90_60,Pr_35_90_87,Pr_35_90_87_72,Pr_35_90_93,Pr_35_93,Pr_35_93_13,Pr_40,Pr_40_10,Pr_40_10_57,Pr_40_10_77,Pr_40_20,Pr_40_20_27,Pr_40_20_87,Pr_40_20_93,Pr_40_20_96,Pr_40_30,Pr_40_30_25,Pr_40_50,Pr_40_50_13,Pr_40_50_28,Pr_40_50_28_11,Pr_40_50_28_24,Pr_40_50_28_29,Pr_40_50_28_30,Pr_40_50_28_47,Pr_40_50_28_96,Pr_40_50_28_97,Pr_40_50_83,Pr_40_50_90,Pr_40_70,Pr_40_70_15,Pr_40_70_23,Pr_40_70_75,Pr_45,Pr_45_31,Pr_45_31_52,Pr_60,Pr_60_45,Pr_60_45_34,Pr_60_50,Pr_60_50_10,Pr_60_50_20,Pr_60_50_20_10,Pr_60_50_20_28,Pr_60_50_33,Pr_60_50_67,Pr_60_50_67_52,Pr_60_50_67_70,Pr_60_50_96,Pr_60_55,Pr_60_55_31,Pr_60_55_96,Pr_60_55_96_15,Pr_60_55_96_16,Pr_60_55_96_77,Pr_60_55_97,Pr_60_55_97_07,Pr_60_55_97_12,Pr_60_55_97_97,Pr_60_60,Pr_60_60_08,Pr_60_60_13,Pr_60_60_13_02,Pr_60_60_13_04,Pr_60_60_13_27,Pr_60_60_36,Pr_60_60_36_36,Pr_60_60_36_62,Pr_60_60_36_74,Pr_60_60_36_88,Pr_60_60_38,Pr_60_60_38_36,Pr_60_60_38_62,Pr_60_60_81,Pr_60_60_96,Pr_60_65,Pr_60_65_03,Pr_60_65_03_86,Pr_60_65_03_87,Pr_60_65_37,Pr_60_65_37_12,Pr_60_65_37_27,Pr_60_65_37_47,Pr_60_65_37_72,Pr_60_65_94,Pr_60_65_94_45,Pr_60_65_94_46,Pr_60_70,Pr_60_70_06,Pr_60_70_06_12,Pr_60_70_22,Pr_60_70_36,Pr_60_70_48,Pr_60_70_64,Pr_60_70_65,Pr_60_75,Pr_60_75_01,Pr_60_75_03,Pr_60_75_06,Pr_60_75_08,Pr_60_75_08_04,Pr_60_75_08_71,Pr_60_75_86,Pr_65,Pr_65_50,Pr_65_50_35,Pr_65_52,Pr_65_52_01,Pr_65_52_01_02,Pr_65_52_01_64,Pr_65_52_07,Pr_65_52_20,Pr_65_52_24,Pr_65_52_24_59,Pr_65_52_24_60,Pr_65_52_24_64,Pr_65_52_24_65,Pr_65_52_25,Pr_65_52_34,Pr_65_52_34_66,Pr_65_52_34_88,Pr_65_52_38,Pr_65_52_61,Pr_65_52_61_04,Pr_65_52_62,Pr_65_52_62_82,Pr_65_52_63,Pr_65_52_63_02,Pr_65_52_63_03,Pr_65_52_63_23,Pr_65_52_63_63,Pr_65_53,Pr_65_53_24,Pr_65_53_24_86,Pr_65_53_65,Pr_65_53_86,Pr_65_53_86_05,Pr_65_53_86_11,Pr_65_53_86_12,Pr_65_53_86_13,Pr_65_53_86_15,Pr_65_53_86_24,Pr_65_53_86_51,Pr_65_53_86_68,Pr_65_54,Pr_65_54_30,Pr_65_54_33,Pr_65_54_40,Pr_65_54_93,Pr_65_54_93_05,Pr_65_54_93_50,Pr_65_54_95,Pr_65_54_95_06,Pr_65_54_95_08,Pr_65_54_95_11,Pr_65_54_95_12,Pr_65_54_95_13,Pr_65_54_95_14,Pr_65_54_95_15,Pr_65_54_95_16,Pr_65_54_95_18,Pr_65_54_95_19,Pr_65_54_95_20,Pr_65_54_95_21,Pr_65_54_95_23,Pr_65_54_95_25,Pr_65_54_95_26,Pr_65_54_95_27,Pr_65_54_95_28,Pr_65_54_95_29,Pr_65_54_95_30,Pr_65_54_95_53,Pr_65_54_95_63,Pr_65_54_95_65,Pr_65_54_95_67,Pr_65_54_95_70,Pr_65_54_95_75,Pr_65_54_95_89,Pr_65_54_95_90,Pr_65_54_95_92,Pr_65_57,Pr_65_57_02,Pr_65_57_02_02,Pr_65_57_02_06,Pr_65_57_02_07,Pr_65_57_02_11,Pr_65_57_02_15,Pr_65_57_02_25,Pr_65_57_02_26,Pr_65_57_02_28,Pr_65_57_02_52,Pr_65_57_02_66,Pr_65_57_02_93,Pr_65_57_02_96,Pr_65_57_96,Pr_65_57_96_04,Pr_65_57_96_08,Pr_65_57_96_77,Pr_65_57_96_99,Pr_65_65,Pr_65_65_23,Pr_65_65_24,Pr_65_65_24_16,Pr_65_65_24_29,Pr_65_65_24_42,Pr_65_65_24_56,Pr_65_65_24_66,Pr_65_65_24_68,Pr_65_65_24_78,Pr_65_65_24_80,Pr_65_65_24_93,Pr_65_65_24_95,Pr_65_65_25,Pr_65_65_25_30,Pr_65_67,Pr_65_67_28,Pr_65_67_29,Pr_65_67_29_05,Pr_65_67_29_09,Pr_65_67_29_12,Pr_65_67_29_23,Pr_65_67_29_44,Pr_65_67_29_52,Pr_65_67_29_62,Pr_65_67_29_64,Pr_65_67_29_67,Pr_65_67_29_72,Pr_65_67_29_80,Pr_65_67_78,Pr_65_67_78_05,Pr_65_67_78_07,Pr_65_67_78_12,Pr_65_67_78_72,Pr_65_70,Pr_65_70_11,Pr_65_70_12,Pr_65_70_15,Pr_65_70_46,Pr_65_70_48,Pr_65_72,Pr_65_72_27,Pr_65_72_43,Pr_65_72_43_01,Pr_65_72_97,Pr_65_80,Pr_65_80_28,Pr_65_80_47,Pr_70,Pr_70_55,Pr_70_55_33,Pr_70_55_62,Pr_70_55_97,Pr_70_60,Pr_70_60_14,Pr_70_60_14_02,Pr_70_60_14_10,Pr_70_60_14_47,Pr_70_60_14_53,Pr_70_60_14_55,Pr_70_60_14_60,Pr_70_60_36,Pr_70_60_36_02,Pr_70_60_36_30,Pr_70_60_36_37,Pr_70_60_36_49,Pr_70_60_36_56,Pr_70_60_36_71,Pr_70_60_36_73,Pr_70_60_36_90,Pr_70_60_36_93,Pr_70_60_37,Pr_70_60_37_08,Pr_70_60_37_36,Pr_70_60_37_47,Pr_70_60_37_50,Pr_70_60_37_52,Pr_70_60_37_78,Pr_70_60_37_98,Pr_70_65,Pr_70_65_03,Pr_70_65_03_02,Pr_70_65_03_29,Pr_70_65_03_42,Pr_70_65_03_47,Pr_70_65_03_72,Pr_70_65_04,Pr_70_65_04_02,Pr_70_65_04_03,Pr_70_65_04_22,Pr_70_65_04_24,Pr_70_65_04_30,Pr_70_65_04_44,Pr_70_65_04_46,Pr_70_65_04_48,Pr_70_65_04_56,Pr_70_65_04_84,Pr_70_65_04_86,Pr_70_65_04_88,Pr_70_65_04_94,Pr_70_65_30,Pr_70_70,Pr_70_70_46,Pr_70_70_47,Pr_70_70_48,Pr_70_75,Pr_70_75_04,Pr_70_75_06,Pr_70_75_36,Pr_70_75_69,Pr_70_75_88,Pr_70_75_94,Pr_75,Pr_75_30,Pr_75_30_27,Pr_75_50,Pr_75_50_02,Pr_75_50_18,Pr_75_50_18_17,Pr_75_50_18_21,Pr_75_50_18_26,Pr_75_50_18_32,Pr_75_50_18_47,Pr_75_50_18_80,Pr_75_50_18_94,Pr_75_50_33,Pr_75_50_46,Pr_75_50_47,Pr_75_50_48,Pr_75_50_50,Pr_75_50_52,Pr_75_50_52_97,Pr_75_50_76,Pr_75_51,Pr_75_51_17,Pr_75_51_26,Pr_75_51_26_03,Pr_75_51_26_22,Pr_75_51_52,Pr_75_75,Pr_75_75_04,Pr_75_75_04_01,Pr_75_75_15,Pr_75_75_27,Pr_75_75_27_01,Pr_75_75_27_03,Pr_75_75_27_07,Pr_75_75_27_08,Pr_75_75_27_23,Pr_75_75_27_27,Pr_75_75_27_42,Pr_75_75_27_43,Pr_75_75_27_44,Pr_75_75_27_55,Pr_75_75_27_57,Pr_75_75_27_67,Pr_75_75_27_71,Pr_75_75_27_72,Pr_75_75_30,Pr_75_75_30_22,Pr_75_75_30_29,Pr_75_75_30_31,Pr_75_75_30_50,Pr_75_75_30_52,Pr_75_75_30_59,Pr_75_75_30_65,Pr_75_75_30_70,Pr_75_75_30_77,Pr_75_75_30_81,Pr_75_75_30_82,Pr_75_75_30_97,Pr_75_75_42,Pr_75_75_47,Pr_75_75_50,Pr_75_75_90,Pr_75_75_94,Pr_80,Pr_80_51,Pr_80_51_46,Pr_80_51_46_27,Pr_80_51_46_66,Pr_80_51_46_92,Pr_80_51_51,Pr_80_51_51_37,Pr_80_77,Pr_80_77_27,Pr_80_77_28,Pr_80_77_28_60,Pr_80_77_46,Pr_80_77_48,Pr_80_77_76,Pr_80_77_94,SL_20_65_42,SL_20_95_20,SL_20_95_28,SL_20_95_30,SL_20_95_80,SL_25_90_65,SL_30_60_11,SL_30_60_94,SL_55_20,SL_55_20_34,SL_55_20_65,SL_55_40,SL_55_60,SL_55_70_65,SL_60_30,SL_60_60,SL_75_10_73,SL_75_10_89,SL_75_60,SL_80_10_10,SL_80_10_22,SL_80_35_46,SL_80_50_11,SL_80_50_26,SL_80_50_27,SL_80_50_28,SL_80_50_29,SL_80_50_47,SL_80_50_50,SL_80_50_70,SL_80_50_71,SL_80_50_72,SL_80_50_74,SL_80_50_77,SL_80_50_85,SL_80_50_88,SL_80_50_90,SL_80_50_95,SL_80_50_97,SL_80_96_15,SL_80_96_18,SL_80_96_64,SL_90_10_27,SL_90_20_02,SL_90_20_14,SL_90_30,SL_90_30_25,SL_90_30_30,SL_90_30_80,SL_90_30_90,SL_90_50_15,SL_90_50_31,SL_90_50_80,SL_90_60_64,Ss_15,Ss_15_10,Ss_15_10_80,Ss_15_10_80_80,Ss_15_30,Ss_15_30_17,Ss_15_30_17_14,Ss_15_30_17_16,Ss_15_95,Ss_15_95_20,Ss_20,Ss_20_05,Ss_20_05_15,Ss_20_05_15_70,Ss_20_05_15_71,Ss_20_05_15_72,Ss_20_05_15_80,Ss_20_05_50,Ss_20_05_50_70,Ss_20_05_65,Ss_20_05_65_24,Ss_20_05_65_40,Ss_20_05_65_41,Ss_20_05_65_42,Ss_20_05_65_43,Ss_20_05_65_44,Ss_20_05_65_84,Ss_20_05_80,Ss_20_05_80_12,Ss_20_05_80_40,Ss_20_05_90,Ss_20_05_90_10,Ss_20_05_90_50,Ss_20_10,Ss_20_10_60,Ss_20_10_60_34,Ss_20_10_60_60,Ss_20_10_60_84,Ss_20_10_75,Ss_20_10_75_45,Ss_20_10_75_70,Ss_20_20,Ss_20_20_75,Ss_20_20_75_15,Ss_20_20_75_80,Ss_20_20_75_85,Ss_20_30,Ss_20_30_75,Ss_20_30_75_15,Ss_20_30_75_50,Ss_20_30_75_80,Ss_20_30_75_85,Ss_20_60,Ss_20_60_30,Ss_20_60_30_03,Ss_20_60_30_15,Ss_20_60_35,Ss_20_60_35_70,Ss_20_95,Ss_25,Ss_25_10,Ss_25_10_30,Ss_25_10_30_35,Ss_25_10_32,Ss_25_10_32_45,Ss_25_11,Ss_25_11_15,Ss_25_11_16,Ss_25_11_16_70,Ss_25_11_90,Ss_25_11_90_15,Ss_25_12S,s_25_12_10,Ss_25_12_15,Ss_25_12_80,Ss_25_12_80_65,Ss_25_12_80_83,Ss_25_12_80_85,Ss_25_13,Ss_25_13_50,Ss_25_13_50_54,Ss_25_13_50_56,Ss_25_13_70,Ss_25_13_70_71,Ss_25_13_70_74,Ss_25_13_70_76,Ss_25_14,Ss_25_14_63,Ss_25_14_63_06,Ss_25_14_63_08,Ss_25_14_63_11,Ss_25_14_63_51,Ss_25_14_63_52,Ss_25_14_63_56,Ss_25_14_63_62,Ss_25_14_63_63,Ss_25_14_63_64,Ss_25_14_63_65,Ss_25_14_63_66,Ss_25_14_63_67,Ss_25_14_63_84,Ss_25_14_63_85,Ss_25_14_63_86,Ss_25_14_63_95,Ss_25_14_63_96,Ss_25_14_63_97,Ss_25_14_63_98,Ss_25_15,Ss_25_15_60,Ss_25_15_60_05,Ss_25_15_60_35,Ss_25_15_60_60,Ss_25_16,Ss_25_16_94,Ss_25_16_94_10,Ss_25_16_94_95,Ss_25_20,Ss_25_20_90,Ss_25_20_90_13,Ss_25_25,Ss_25_25_45,Ss_25_25_45_33,Ss_25_25_45_50,Ss_25_25_45_68,Ss_25_25_45_70,Ss_25_30,Ss_25_30_29,Ss_25_30_29_30,Ss_25_30_29_80,Ss_25_45,Ss_25_45_12,Ss_25_60,Ss_25_60_05,Ss_25_60_30,Ss_25_60_30_40,Ss_25_60_30_45,Ss_25_60_30_48,Ss_25_60_30_55,Ss_25_60_30_62,Ss_25_60_35,Ss_25_60_35_30,Ss_30,Ss_30_10,Ss_30_10_50,Ss_30_10_50_70,Ss_30_10_60,Ss_30_10_90,Ss_30_10_90_50,Ss_30_12,Ss_30_12_05,Ss_30_12_15,Ss_30_12_20,Ss_30_12_33,Ss_30_12_34,Ss_30_12_85,Ss_30_12_85_15,Ss_30_12_85_16,Ss_30_12_85_17,Ss_30_12_85_18,Ss_30_12_85_70,Ss_30_25,Ss_30_25_10,Ss_30_25_10_10,Ss_30_30,Ss_30_30_73,Ss_30_30_73_72,Ss_30_40,Ss_30_40_30,Ss_30_40_30_40,Ss_30_40_30_43,Ss_30_40_65,Ss_30_40_65_50,Ss_32,Ss_32_20,Ss_32_20_20,Ss_32_20_20_15,Ss_32_20_20_62,Ss_32_20_20_63,Ss_32_20_20_64,Ss_32_20_20_65,Ss_32_80,Ss_32_80_03,Ss_32_80_03_08,Ss_32_80_03_10,Ss_32_80_03_12,Ss_32_80_03_14,Ss_32_80_03_16,Ss_32_80_03_50,Ss_32_80_03_52,Ss_32_80_03_54,Ss_32_80_03_90,Ss_32_80_79,Ss_32_80_79_08,Ss_32_80_79_30,Ss_32_80_79_32,Ss_32_80_79_33,Ss_32_80_79_36,Ss_32_80_79_40,Ss_32_80_79_45,Ss_32_80_79_75,Ss_32_80_79_77,Ss_32_80_79_84,Ss_32_80_79_90,Ss_32_80_79_92,Ss_32_80_90,Ss_32_80_90_35,Ss_32_80_90_85,Ss_35,Ss_35_10,Ss_35_10_25,Ss_35_10_25_34,Ss_35_10_25_35,Ss_35_10_25_83,Ss_35_10_25_85,Ss_35_10_30,Ss_35_10_30_40,Ss_35_10_30_60,Ss_35_10_30_62,Ss_35_10_30_95,Ss_35_10_40,Ss_35_10_40_20,Ss_35_10_40_42,Ss_35_10_40_84,Ss_35_10_85,Ss_35_10_85_15,Ss_35_10_85_65,Ss_37,Ss_37_50,Ss_37_50_80,Ss_37_50_80_71,Ss_37_50_92,Ss_37_50_92_71,Ss_40,Ss_40_10,Ss_40_10_20,Ss_40_10_20_96,Ss_40_10_30,Ss_40_10_30_20,Ss_40_10_30_25,Ss_40_10_30_27,Ss_40_10_30_30,Ss_40_10_30_36,Ss_40_10_30_75,Ss_40_10_30_93,Ss_40_90,Ss_40_90_40,Ss_40_90_60,Ss_40_90_60_80,Ss_40_90_60_85,Ss_40_90_60_95,Ss_40_90_95,Ss_40_90_95_30,Ss_50,Ss_50_30,Ss_50_30_02,Ss_50_30_02_28,Ss_50_30_02_40,Ss_50_30_02_80,Ss_50_30_04,Ss_50_30_04_05,Ss_50_30_04_15,Ss_50_30_04_95,Ss_50_30_04_97,Ss_50_35,Ss_50_35_08,Ss_50_35_08_15,Ss_50_35_08_30,Ss_50_35_08_85,Ss_50_35_10,Ss_50_35_10_06,Ss_50_70,Ss_50_70_05,Ss_50_70_05_22,Ss_50_70_05_86,Ss_50_70_05_95,Ss_50_70_85,Ss_50_70_85_06,Ss_50_70_85_70,Ss_55,Ss_55_15,Ss_55_15_65,Ss_55_15_65_65,Ss_55_15_65_72,Ss_55_15_65_84,Ss_55_30,Ss_55_30_35,Ss_55_30_35_10,Ss_55_30_35_31,Ss_55_30_35_35,Ss_55_30_35_40,Ss_55_30_65,Ss_55_30_65_30,Ss_55_30_65_65,Ss_55_30_96,Ss_55_30_96_24,Ss_55_30_96_25,Ss_55_30_96_29,Ss_55_30_96_30,Ss_55_30_96_97,Ss_55_30_98,Ss_55_30_98_21,Ss_55_30_98_85,Ss_55_30_98_96,Ss_55_70,Ss_55_70_38,Ss_55_70_38_15,Ss_55_70_38_20,Ss_55_70_38_40,Ss_55_70_38_42,Ss_55_70_38_45,Ss_55_70_38_65,Ss_55_70_97,Ss_55_70_97_35,Ss_60,Ss_60_40,Ss_60_40_13,Ss_60_40_13_13,Ss_60_40_17,Ss_60_40_17_12,Ss_60_40_17_71,Ss_60_40_17_94,Ss_60_40_17_96,Ss_60_40_36,Ss_60_40_36_05,Ss_60_40_36_35,Ss_60_40_36_96,Ss_60_40_37,Ss_60_40_37_26,Ss_60_40_37_28,Ss_60_40_37_48,Ss_60_40_37_94,Ss_60_60,Ss_60_60_15,Ss_60_60_15_10,Ss_65,Ss_65_40,Ss_65_40_33,Ss_65_40_33_45,Ss_65_40_33_51,Ss_65_40_33_52,Ss_65_40_33_90,Ss_65_40_80,Ss_65_40_80_65,Ss_65_40_80_80,Ss_65_40_94,Ss_65_40_94_10,Ss_65_40_94_11,Ss_65_80,Ss_65_80_05,Ss_65_80_05_30,Ss_65_80_45,Ss_65_80_45_72,Ss_70,Ss_70_10,Ss_70_10_70,Ss_70_10_70_35,Ss_70_30,Ss_70_30_25,Ss_70_30_25_25,Ss_70_30_45,Ss_70_30_45_40,Ss_70_30_45_45,Ss_70_30_45_92,Ss_70_30_80,Ss_70_30_80_35,Ss_70_30_80_45,Ss_70_30_94,Ss_70_30_94_27,Ss_70_80,Ss_70_80_25,Ss_70_80_25_05,Ss_70_80_25_70,Ss_70_80_33,Ss_70_80_33_12,Ss_70_80_33_33,Ss_70_80_33_35,Ss_70_80_33_92,Ss_75,Ss_75_10,Ss_75_10_46,Ss_75_10_46_05,Ss_75_10_68,Ss_75_10_68_42,Ss_75_10_68_68,Ss_75_10_72,Ss_75_10_72_30,Ss_75_40,Ss_75_40_02,Ss_75_40_02_05,Ss_75_40_02_11,Ss_75_40_53,Ss_75_40_53_86,Ss_75_40_53_90,Ss_75_40_75,Ss_75_40_75_40,Ss_75_50,Ss_75_50_11,Ss_75_50_11_27,Ss_75_50_11_95,Ss_75_50_28,Ss_75_50_28_05,Ss_75_50_28_24,Ss_75_50_28_29,Ss_75_50_33,Ss_75_50_33_71,Ss_75_50_33_96,Ss_75_50_45,Ss_75_50_45_45,Ss_75_60,Ss_75_60_52,Ss_75_60_52_95,Ss_75_70,Ss_75_70_52,Ss_75_70_52_03,Ss_75_70_52_16,Ss_75_70_52_17,Ss_75_70_52_28,Ss_75_70_52_29,Ss_75_70_52_36,Ss_75_70_52_38,Ss_75_70_52_52,Ss_75_70_52_56,Ss_75_70_52_80,Ss_75_70_52_81,Ss_75_70_52_93,Ss_75_70_52_97,Ss_75_70_54,Ss_75_70_54_10,Ss_75_70_54_25,Ss_75_70_85,Ss_75_90,Ss_75_90_93,Ss_75_90_93_11,Ss_80,Ss_80_50,Ss_80_50_60,Ss_80_50_60_26,Ss_80_50_60_39 
</t>
  </si>
  <si>
    <t>ABT,ADI,AFI,ANC,APR,BAS,BEM,BER,BLD,BLR,BNL,BRR,CAB,CAV,CHB,CLM,CLW,CPB,CPS,CPT,CTR,CUT,CVS,DCK,DEW,DLV,DRF,DTC,DWP,EXJ,FAU,FLR,FND,GAT,GFL,GLY,GRS,GRT,GSL,HDW,HND,HPD,INS,KRB,LDA,LEF,LHA,LNG,LNM,LOS,LSH,LSS,LUA,MHE,MNH,NSW,OCS,OPC,PCE,PHP,PIL,PIR,PLC,PND,PNI,PNO,PPE,PRL,PRP,PSG,PST,PSU,PVM,PWK,RDC,RDE,REX,RFL,RMP,ROO,RRS,RSL,RTU,SCF,SCH,SCW,SEL,SMP,SPC,SPE,SPK,SPL,STL,STR,STW,TFS,TMW,TNK,TRG,TRS,UEF,UPN,USS,UTD,VET,VGS,VLV,WHB,WIS,WLK,WMT,WPF,WTS,WVC,CV-BR,CV-CE,CV-DR,CV-HW,CV-PL,CV-US,CV-WF,DN-CO,GR-BL,GR-CT,GR-EA,GR-EM,GR-ER,GR-EW,GR-LP,GR-NC,GR-SP,GR-TN,GR-UT,GR-VD,IT-IB,IT-ID,IT-IE,IT-IF,IT-IG,IT-IH,IT-II,IT-IL,IT-IO,IT-IP,IT-IQ,IT-IR,IT-IS,IT-IU,IT-IV,IT-IW,LP-RL,OP-EA,SC-EN,SC-GR,SC-NV,UT-CW,UT-DH,UT-EN,UT-FT,UT-GN,UT-MT,UT-PC,UT-WW,WB-GW,WB-SW,WT-CN,WT-OW,WT-RV,ZZ-ZZ,CN-CT-TR,CN-DE-CM,CN-DE-CO,CN-DE-DR,CN-DE-GE,CN-DE-IN,CN-DE-OT,CN-DE-RE,CN-GE-CM,CN-GE-ST,CN-SC-AC,CN-SC-CC,CN-SC-CS,CN-SC-GI,CN-SC-HV,CN-SC-MC,CN-SC-RH,CN-SC-SC,CN-SC-SR,CN-SC-TR,CN-SC-TS,CN-TF-PC,CN-WA-CO,CN-WA-HA,CN-WA-IN,CN-WA-LF,CN-WA-RE,CN-WA-WA,CN-WA-WT,CV-BR-AQ,CV-BR-CV,CV-BR-FB,CV-BR-GB,CV-BR-OB,CV-BR-RB,CV-BR-TB,CV-BR-UB,CV-BR-UP,CV-BR-UT,CV-BR-VD,CV-BR-WT,CV-CE-AE,CV-CE-AG,CV-CE-CR,CV-CE-CT,CV-CE-EM,CV-CE-ME,CV-CE-RC,CV-CE-RE,CV-CE-RS,CV-CE-RW,CV-DR-BF,CV-DR-OP,CV-DR-PC,CV-DR-PI,CV-DR-PS,CV-HW-CW,CV-HW-FP,CV-HW-JU,CV-HW-PA,CV-HW-SF,CV-HW-VE,CV-PL-AC,CV-PL-LD,CV-PL-SP,CV-US-BS,CV-US-SH,CV-US-TN,CV-WF-BF,CV-WF-BN,CV-WF-HD,CV-WF-NB,CV-WF-SC,CV-WF-VS,CV-WF-WL,DT-MD-BL,ES-EC-BD,ES-EC-BT,ES-EC-GC,ES-EC-HB,ES-EC-HD,ES-EC-HE,ES-EC-OT,ES-EC-RP,ES-EC-S1,ES-EC-SC,ES-EC-WC,ES-EC-WV,ES-WT-PA,GR-EP-00,GR-EP-01,GR-EP-02,GR-EP-03,GR-EP-04,GR-EP-05,GR-RS-CC,GR-RS-MQ,GR-RS-OS,GR-RS-PS,GR-RS-RS,GR-RS-TR,GR-RS-TS,GR-WB-01,GR-WB-02,LP-RL-CM,LP-RL-CO,LP-RL-RP,LP-RL-SC,LP-RL-UT,NV-AC-AO,NV-AC-IN,NV-AC-LS,NV-AC-MO,NV-AC-PP,NV-AC-WS,NV-CM-OP,NV-CM-PA,NV-CM-PF,NV-ES-AF,NV-ES-AM,NV-ES-BN,NV-ES-BR,NV-ES-BS,NV-ES-DE,NV-ES-DO,NV-ES-FP,NV-ES-GC,NV-ES-HD,NV-ES-IN,NV-ES-ML,NV-ES-OH,NV-ES-PL,NV-ES-RP,NV-ES-WV,NV-HL-PA,NV-HL-UP,NV-SL-PL-AM,NV-SL-PL-FP,NV-SL-PL-HD,NV-SL-PL-HR,NV-SL-PL-LG,NV-SL-PL-LP,NV-SL-PL-MP,NV-SL-PL-RH,NV-SL-PL-SP,NV-SL-PL-ST,NV-SL-PL-WD,NV-SL-PL-WP,OF-OP-MS,OP-AP-EA,OP-AP-MA,RL-NR-RL,SC-EN-EX,SC-EN-HE,SC-EN-SC,SC-EN-TR,SC-EN-VE,TP-OL-ES,UT-CW-PL,UT-CW-PS,UT-CW-ST,UT-CW-TW,UT-DH-NW,UT-DH-ST,UT-EN-CS,UT-EN-FS,UT-EN-GS,UT-EN-OH,UT-EN-SS,UT-EN-UG,UT-FT-CB,UT-FT-OH,UT-FT-TX,UT-FT-UG,UT-GN-PB,UT-GN-PL,UT-GN-PR,UT-HS-HS,UT-PC-NW,UT-PC-TF,UT-WW-FL,UT-WW-SP,UT-WW-ST,UT-WW-TW,Co_80_50_70,Co_80_50_74,Co_80_50_75,Co_80_50_77,CV-US-TN-BR,CV-US-TN-CC,CV-US-TN-MN,CV-US-TN-PR,EI-70-05-02,EI-70-05-03,EI-70-05-04,EI-70-05-05,EI-70-05-10,EI-70-05-15,EI-70-05-20,EI-70-05-25,EI-70-10-05,EI-70-10-10,EI-70-10-15,EI-70-10-20,EI-70-10-25,EI-70-15-05,EI-70-15-10,EI-70-20-05,EI-70-20-10,EI-70-20-15,EI-70-20-20,EI-70-20-25,EI-70-20-30,EI-70-20-35,EI-70-20-40,EI-70-25-05,EI-70-25-10,EI-70-25-15,EI-70-25-20,EI-70-25-25,EI-70-25-30,ES-EC-BD-01,ES-EC-BD-02,ES-EC-BD-03,ES-EC-BT-A1,ES-EC-BT-A2,ES-EC-BT-A4,ES-EC-BT-A5,ES-EC-BT-H1,ES-EC-BT-R1,ES-EC-BT-R2,ES-EC-BT-R3,ES-EC-BT-R4,ES-EC-BT-R5,ES-EC-BT-R6,ES-EC-BT-S1,ES-EC-BT-S2,ES-EC-BT-S3,ES-EC-BT-T1,ES-EC-BT-T2,ES-EC-BT-T3,ES-EC-DI-VE,ES-EC-FI-FC,ES-EC-FI-FD,ES-EC-FI-HA,ES-EC-GC-A1,ES-EC-GC-A3,ES-EC-GC-H1,ES-EC-GC-T1,ES-EC-GC-T2,ES-EC-GI-SO,ES-EC-HB-P1,ES-EC-HB-P2,ES-EC-HD-01,ES-EC-HD-02,ES-EC-HD-03,ES-EC-OT-FS,ES-EC-OT-HA,ES-EC-PD-NA,ES-EC-PD-PS,ES-EC-PD-RA,ES-EC-RP-DS,ES-EC-RP-HA,ES-EC-RV-CO,ES-EC-S1-BB,ES-EC-S1-BO,ES-EC-S1-BR,ES-EC-S1-KF,ES-EC-SO-BA,ES-EC-TR-S1,ES-EC-TR-S2,ES-EC-TR-S3,ES-EC-WB-GE,ES-EC-WB-SS,ES-EC-WC-HA,ES-EC-WC-MS,ES-EC-WC-TS,ES-EC-WD-AW,ES-EC-WD-P1,ES-EC-WD-P2,ES-EC-WD-P3,ES-EC-WD-W1,ES-EC-WD-W2,ES-EC-WV-FS,ES-EC-WV-HA,NV-AC-AS-EX,NV-ES-PL-EC,NV-ES-PL-FC,NV-HL-SF-BN,NV-HL-SF-CS,NV-HL-SF-LB,NV-HL-SF-RM,NV-HL-SF-SH,NV-HL-SF-SL,NV-HL-SF-SM,NV-SL-PL-AM,NV-SL-PL-FP,NV-SL-PL-HD,NV-SL-PL-HR,NV-SL-PL-LG,NV-SL-PL-LP,NV-SL-PL-MP,NV-SL-PL-RH,NV-SL-PL-SP,NV-SL-PL-ST,NV-SL-PL-WD,NV-SL-PL-WP,SC-EN-EX-BA,SC-EN-EX-BB,SC-EN-EX-BR,SC-EN-EX-BT,SC-EN-EX-GC,SC-EN-EX-OT,SC-EN-EX-RE,SC-EN-EX-WC,SC-EN-HE-BB,SC-EN-HE-BR,SC-EN-HE-DO,SC-EN-HE-FI,SC-EN-HE-GC,SC-EN-HE-IN,SC-EN-HE-RE,SC-EN-HE-WC,SC-EN-HE-WV,SC-EN-TR-BA,SC-EN-TR-DO,SC-EN-TR-FI,SC-EN-TR-GC,SC-EN-TR-RE,SC-EN-TR-WV,UT-CW-PL-GV,UT-CW-PL-MH,UT-CW-PL-WP,UT-DH-NW-PL,UT-DH-ST-PH,UT-FT-OH-CB,UT-FT-OH-PL,UT-FT-UG-CB,UT-FT-UG-CH,UT-FT-UG-CX,UT-GN-PL-GC,UT-GN-PL-LP,UT-GN-PL-ST,UT-MT-TR-BS,UT-MT-TR-MS,UT-PC-NW-PC,UT-PC-NW-PP,UT-WW-FL-FP,UT-WW-FL-MH,UT-WW-FL-VL,UT-WW-ST-OF,UT-WW-ST-PB,UT-WW-ST-PS,UT-WW-ST-ST,UT-WW-ST-SY,ES-EC-GI-SC-HA,ES-EC-GI-SC-PR</t>
  </si>
  <si>
    <t>ABT,ANC,APR,BAS,BEM,BER,BLD,BLR,BNL,BRR,CAV,CHB,CLM,CLW,CPS,CPT,CTR,CUT,CVS,DCK,DEW,DLV,DRF,DTC,DWP,EXJ, FAU,FLR,FND,GAT,GLY,GRS,GRT,GSL,HDW,HND,HPD,INS,KRB,LDA,LEF,LHA,LNG,LNM,LOS,LSH,LSS,LUA,MHE,MNH,NSW,OCS,OPC,PCE,PHP,PIL,PIR,PLC,PND,PNI,PNO, PPE,PRP,PST,PSU,PVM,PWK,RDC,RDE,REX,RFL,ROO,RRS,RSL,RTU,SCF,SCH,SCW, SEL,SMP,SPC,SPE,SPK,SPL,STR,STW,TFS,TMW,TNK,TRG,TRS,UEF,UPN,USS,UTD,VET,VGS,VLV,WHB,WIS,WLK,WMT,WPF,WTS, WVC,CN-SC-AC,CN-SC-CC,CN-SC-CS,CN-SC-HV,CN-SC-MC,CN-SC-RH,CN-SC-SC,CN-SC-SR,CN-SC-TR,CN-SC-TS</t>
  </si>
  <si>
    <t>BEM,CLW,CUT,DWP,GFL,GRT,LEF,LSS,PCE,PRL,PSG,STL,UEF</t>
  </si>
  <si>
    <t>Pr_20_31_86_65 PolypropyleneResin</t>
  </si>
  <si>
    <t>Pr_65_70_36_40 High voltage power cables with thermosetting insulation</t>
  </si>
  <si>
    <t>Pr_15_31_26_13 9M2-(including transitions) Cement stabilised chalk fill</t>
  </si>
  <si>
    <t>Pr_15_31_26_17 2A7-Wet cohesive material fill</t>
  </si>
  <si>
    <t>Pr_15_31_26_17 2A8-Wet cohesive material fill</t>
  </si>
  <si>
    <t>Pr_15_31_26_17 2A9-Wet cohesive material fill</t>
  </si>
  <si>
    <t>Pr_15_31_26_17 2B6-Dry cohesive material fill</t>
  </si>
  <si>
    <t>Pr_15_31_26_17 9J2-(Non HSR) Lime stabilised cohesive material fill</t>
  </si>
  <si>
    <t>Pr_15_31_26_17 9J3-(including transitions) Lime stabilised cohesive material fill</t>
  </si>
  <si>
    <t>Pr_15_31_26_33 6C2-(HSR &amp; Non HSR Earthworks) Selected well graded granular material fill</t>
  </si>
  <si>
    <t>Pr_15_31_26_33 6E2-(For Stabilising as Class 9G3) Selected granular material fill</t>
  </si>
  <si>
    <t>Pr_15_31_26_33 6F13-Selected granular material (NR Mainline Subgrade)</t>
  </si>
  <si>
    <t>Pr_15_31_26_33 6F14-Selected granular material (Drainage Blanket Layer)</t>
  </si>
  <si>
    <t>Pr_15_31_26_33 6F15-Selected granular material (Rockfill Buttress to Slopes)</t>
  </si>
  <si>
    <t xml:space="preserve">Pr_15_31_26_33 6N-Selected granular material fill </t>
  </si>
  <si>
    <t>Pr_15_31_26_33 6N8-Selected well graded granular material fill</t>
  </si>
  <si>
    <t>Pr_15_31_26_33 6N9-Selected well graded granular material fill</t>
  </si>
  <si>
    <t>Pr_15_31_26_33 6N11-Selected well graded granular material fill</t>
  </si>
  <si>
    <t>Pr_15_31_26_33 6N12-Selected well graded granular material fill</t>
  </si>
  <si>
    <t>Pr_15_31_26_33 6N13-Selected well graded granular material fill</t>
  </si>
  <si>
    <t>Pr_15_31_26_33 6P8-Selected granular material fill</t>
  </si>
  <si>
    <t>Pr_15_31_26_33 6P9-Selected granular material fill</t>
  </si>
  <si>
    <t>Pr_15_31_26_33 9G3-(at transitions) Cement stabilised well graded granular material fill</t>
  </si>
  <si>
    <t>Pr_15_31_26_33 9G4-(at transitions) Cement stabilised well graded granular material fill</t>
  </si>
  <si>
    <t>Pr_15_31_26_33 9G5-(at transitions) Cement stabilised well graded granular material fill</t>
  </si>
  <si>
    <t>Pr_20_31_04_07 6C5-Selected uniformly graded granular coarse aggregates</t>
  </si>
  <si>
    <t>ABT,ADI,AFI,ANC,APR,BAS,BEM,BER,BLD,BLR,BNL,BRR,CAB,CAV,CHB,CLM,CLW,CPB,CPS,CPT,CTR,CUT,CVS,DCK,DEW,DLV,DTC,DRF,DWP,EXJ,FAU,FLR,FND,GAT,GFL,GLY,GRS,GRT,GSL,HDW,HND,HPD,INS,KRB,LEF,LDA,LHA,LNG,LNM,LOS,LSH,LSS,LUA,MHE,MNH,NSW,OCS,OPC,PCE,PHP,PIL,PIR,PLC,PND,PNI,PNO,PPE,PRL,PRP,PSG,PST,PSU,PVM,PWK,RDC,RDE,REX,RFL,RMP,ROO,RRS,RSL,RTU,SCF,SCH,SCW,SEL,SMP,SPC,SPE,SPK,SPL,STL,STR,STW,TFS,TMW,TNK,TRG,TRS,UEF,UPN,USS,UTD,VET,VGS,VLV,WHB,WIS,WLK,WMT,WPF,WTS,WVC,ZZ-ZZ,NV-SL-PL-AM,NV-SL-PL-FP,NV-SL-PL-HD,NV-SL-PL-HR,NV-SL-PL-LG,NV-SL-PL-LP,NV-SL-PL-MP,NV-SL-PL-RH,NV-SL-PL-SP,NV-SL-PL-ST,NV-SL-PL-WD,NV-SL-PL-WP</t>
  </si>
  <si>
    <t>ABT,ADI,AFI,ANC,APR,BAS,BEM,BER,BLD,BLR,BNL,BRR,CAB,CAV,CHB,CLM,CLW,CPB,CPS,CPT,CTR,CUT,CVS,DCK,DEW,DLV,DRF,DTC,DWP,EXJ,FAU,FLR,FND,GAT,GFL,GLY,GRS,GRT,GSL,HDW,HND,HPD,INS,KRB,LDA,LEF,LHA,LNG,LNM,LOS,LSH,LSS,LUA,MHE,MNH,NSW,OCS,OPC,PCE,PHP,PIL,PIR,PLC,PND,PNI,PNO,PPE,PRL,PRP,PSG,PST,PSU,PVM,PWK,RDC,RDE,REX,RFL,RMP,ROO,RRS,RSL,RTU,SCF,SCH,SCW,SEL,SMP,SPC,SPE,SPK,SPL,STL,STR,STW,TFS,TMW,TNK,TRG,TRS,UEF,UPN,USS,UTD,VET,VGS,VLV,WHB,WIS,WLK,WMT,WPF,WTS,WVC,GR-CT,GR-EM,GR-NC,GR-TN,GR-VD,WT-RV,ZZ-ZZ,NV-SL-PL-AM,NV-SL-PL-FP,NV-SL-PL-HD,NV-SL-PL-HR,NV-SL-PL-LG,NV-SL-PL-LP,NV-SL-PL-MP,NV-SL-PL-RH,NV-SL-PL-SP,NV-SL-PL-ST,NV-SL-PL-WD,NV-SL-PL-WP</t>
  </si>
  <si>
    <t>GRS,GRT,GSL,LDA,LHA,LNG,LSH,LSS,LUA,PRP,RMP,STR,USS,WTS</t>
  </si>
  <si>
    <t>APR,CHB,CLW,CTR,DTC,GAT,LNM,OPC,PSU,PVM,RDC,ROO,SMP,TRG,TRS,UPN,WLK,WTS</t>
  </si>
  <si>
    <t>BEM,CAV,CHB,CHB,CTR,CUT,DCK,EXJ,GRT,LEF,LSH,LSS,PND,PVM,REX,RMP,RSL,SMP,SPC,STR,TNK,UEF</t>
  </si>
  <si>
    <t>GAT,CN-SC-AC,CN-SC-CC,CN-SC-CS,CN-SC-GI,CN-SC-HV,CN-SC-MC,CN-SC-RH,CN-SC-SC,CN-SC-SR,CN-SC-TR,CN-SC-TS,GR-EP-00,GR-EP-01,GR-EP-02,GR-EP-03,GR-EP-04,GR-EP-05,GR-WB-01,GR-WB-02</t>
  </si>
  <si>
    <t>Is of interest to VMS (Y/N)</t>
  </si>
  <si>
    <t>TNK,USS,NV-ES-PL-FC</t>
  </si>
  <si>
    <t>DTC,GRT,LSH,LSS,OPC,PND</t>
  </si>
  <si>
    <t>LSS,PVM,RMP,STR,NV-SL-PL-AM,NV-SL-PL-FP,NV-SL-PL-HD,NV-SL-PL-HR,NV-SL-PL-LG,NV-SL-PL-LP,NV-SL-PL-MP,NV-SL-PL-RH,NV-SL-PL-SP,NV-SL-PL-ST,NV-SL-PL-WD,NV-SL-PL-WP</t>
  </si>
  <si>
    <t>GRS,LSH,LSS,OPC,PND,PRL,PSG,PVM,TMW,USS,WLK</t>
  </si>
  <si>
    <t>APR,CLW</t>
  </si>
  <si>
    <t>Height</t>
  </si>
  <si>
    <t>Retained Habitats</t>
  </si>
  <si>
    <t xml:space="preserve">Pr_15 </t>
  </si>
  <si>
    <t>Preparatory products</t>
  </si>
  <si>
    <t>Formless preparatory products</t>
  </si>
  <si>
    <t>Pr_15_31_04</t>
  </si>
  <si>
    <t>Applied cleaning and treatment products</t>
  </si>
  <si>
    <t>Pr_15_31_26</t>
  </si>
  <si>
    <t>Excavated earth and fill materials</t>
  </si>
  <si>
    <t>Pr_15_57</t>
  </si>
  <si>
    <t>Non-rigid sheet, mat and strip preparatory products</t>
  </si>
  <si>
    <t>Pr_15_57_27</t>
  </si>
  <si>
    <t>Geocomposites</t>
  </si>
  <si>
    <t>Pr_15_57_33</t>
  </si>
  <si>
    <t>Geosynthetics</t>
  </si>
  <si>
    <t>Pr_20_29</t>
  </si>
  <si>
    <t>Fastener products</t>
  </si>
  <si>
    <t>Pr_20_29_03</t>
  </si>
  <si>
    <t>Anchors and components</t>
  </si>
  <si>
    <t>Pr_20_29_08</t>
  </si>
  <si>
    <t>Bolts and accessories</t>
  </si>
  <si>
    <t>Pr_20_29_14</t>
  </si>
  <si>
    <t>Clips, clamps and couplers</t>
  </si>
  <si>
    <t xml:space="preserve">Pr_20_29_14_87 </t>
  </si>
  <si>
    <t>Suspended ceiling clips</t>
  </si>
  <si>
    <t>Pr_20_29_23</t>
  </si>
  <si>
    <t>Dowels and rods</t>
  </si>
  <si>
    <t>Pr_20_29_29</t>
  </si>
  <si>
    <t>Ferrules and sleeves</t>
  </si>
  <si>
    <t>Pr_20_29_31</t>
  </si>
  <si>
    <t>Flat and folded plate fasteners</t>
  </si>
  <si>
    <t>Pr_20_29_34</t>
  </si>
  <si>
    <t>Glass fixing plates, brackets and anchors</t>
  </si>
  <si>
    <t>Pr_20_29_56</t>
  </si>
  <si>
    <t>Nails</t>
  </si>
  <si>
    <t>Pr_20_29_60</t>
  </si>
  <si>
    <t>Packings, washers and spacers</t>
  </si>
  <si>
    <t>Pr_20_29_63</t>
  </si>
  <si>
    <t>Plugs</t>
  </si>
  <si>
    <t>Pr_20_29_71</t>
  </si>
  <si>
    <t>Rivets</t>
  </si>
  <si>
    <t>Pr_20_29_76</t>
  </si>
  <si>
    <t>Screws</t>
  </si>
  <si>
    <t>Pr_20_29_81</t>
  </si>
  <si>
    <t>Soil nails</t>
  </si>
  <si>
    <t>Pr_20_29_88</t>
  </si>
  <si>
    <t>Tile and fabric fasteners</t>
  </si>
  <si>
    <t>Pr_20_31</t>
  </si>
  <si>
    <t>Formless structure and general products</t>
  </si>
  <si>
    <t>Pr_20_31_02</t>
  </si>
  <si>
    <t>Adhesives and bonding compounds</t>
  </si>
  <si>
    <t>Pr_20_31_03</t>
  </si>
  <si>
    <t>Admixtures</t>
  </si>
  <si>
    <t>Pr_20_31_04</t>
  </si>
  <si>
    <t>Aggregates</t>
  </si>
  <si>
    <t>Pr_20_31_12</t>
  </si>
  <si>
    <t>Cements and limes</t>
  </si>
  <si>
    <t>Pr_20_31_16</t>
  </si>
  <si>
    <t>Concretes</t>
  </si>
  <si>
    <t>Pr_20_31_53</t>
  </si>
  <si>
    <t>Mortars and grouts</t>
  </si>
  <si>
    <t>Pr_20_31_86</t>
  </si>
  <si>
    <t>Synthetic resins</t>
  </si>
  <si>
    <t>Pr_20_65</t>
  </si>
  <si>
    <t>Prefabricated buildings and structures</t>
  </si>
  <si>
    <t>Pr_20_65_34</t>
  </si>
  <si>
    <t>Glazed structures</t>
  </si>
  <si>
    <t>Pr_20_65_60</t>
  </si>
  <si>
    <t>Panelled and framed structure products</t>
  </si>
  <si>
    <t>Pr_20_76</t>
  </si>
  <si>
    <t>Sectional products</t>
  </si>
  <si>
    <t>Pr_20_76_06</t>
  </si>
  <si>
    <t>Balusters and newel posts</t>
  </si>
  <si>
    <t>Pr_20_76_06_88</t>
  </si>
  <si>
    <t>Timber spindles</t>
  </si>
  <si>
    <t>Pr_20_76_08</t>
  </si>
  <si>
    <t>Bollards and impact protectors</t>
  </si>
  <si>
    <t>Pr_20_76_08_62</t>
  </si>
  <si>
    <t>Plastics bollards</t>
  </si>
  <si>
    <t>Pr_20_76_51</t>
  </si>
  <si>
    <t>Metal sections</t>
  </si>
  <si>
    <t>Pr_20_76_52</t>
  </si>
  <si>
    <t>Metal tubes and hollow sections</t>
  </si>
  <si>
    <t>Pr_20_76_63</t>
  </si>
  <si>
    <t>Plastics sections</t>
  </si>
  <si>
    <t>Pr_20_76_64</t>
  </si>
  <si>
    <t>Posts and post accessories</t>
  </si>
  <si>
    <t>Pr_20_76_71</t>
  </si>
  <si>
    <t>Railway junction works</t>
  </si>
  <si>
    <t xml:space="preserve">Pr_20_76_78 </t>
  </si>
  <si>
    <t>Shaft structure products</t>
  </si>
  <si>
    <t>Pr_20_76_88</t>
  </si>
  <si>
    <t>Timber sections</t>
  </si>
  <si>
    <t xml:space="preserve">Pr_20_85_03 </t>
  </si>
  <si>
    <t>Angles</t>
  </si>
  <si>
    <t>Pr_20_85_07</t>
  </si>
  <si>
    <t>Barrier rails</t>
  </si>
  <si>
    <t>Pr_20_85_08</t>
  </si>
  <si>
    <t>Beams and joists</t>
  </si>
  <si>
    <t xml:space="preserve">Pr_20_85_09 </t>
  </si>
  <si>
    <t>Brackets</t>
  </si>
  <si>
    <t xml:space="preserve">Pr_20_85_13 </t>
  </si>
  <si>
    <t>Concrete base and foundation products</t>
  </si>
  <si>
    <t>Pr_20_85_14</t>
  </si>
  <si>
    <t>Concrete flooring and decking products</t>
  </si>
  <si>
    <t>Pr_20_85_16</t>
  </si>
  <si>
    <t>Columns and column accessories</t>
  </si>
  <si>
    <t xml:space="preserve">Pr_20_85_18 </t>
  </si>
  <si>
    <t>Bridge deck products</t>
  </si>
  <si>
    <t>Pr_20_85_32</t>
  </si>
  <si>
    <t>Frames and grids</t>
  </si>
  <si>
    <t>Pr_20_85_47</t>
  </si>
  <si>
    <t>Legs, pedestals, hangers and stringers</t>
  </si>
  <si>
    <t xml:space="preserve">Pr_20_85_48 </t>
  </si>
  <si>
    <t>Lintels</t>
  </si>
  <si>
    <t xml:space="preserve">Pr_20_85_65 </t>
  </si>
  <si>
    <t>Platform products</t>
  </si>
  <si>
    <t>Pr_20_85_84</t>
  </si>
  <si>
    <t>Straps, ties, channels and inserts</t>
  </si>
  <si>
    <t>Pr_20_85_84_75</t>
  </si>
  <si>
    <t>Stainless steel lateral restraint straps</t>
  </si>
  <si>
    <t xml:space="preserve">Pr_20_85_85 </t>
  </si>
  <si>
    <t>Structural bearings</t>
  </si>
  <si>
    <t xml:space="preserve">Pr_20_85_86 </t>
  </si>
  <si>
    <t>Struts and props</t>
  </si>
  <si>
    <t xml:space="preserve">Pr_20_85_90 </t>
  </si>
  <si>
    <t>Trusses and lattice frames</t>
  </si>
  <si>
    <t xml:space="preserve">Pr_20_93 </t>
  </si>
  <si>
    <t>Unit structure and general products</t>
  </si>
  <si>
    <t>Pr_20_93_33</t>
  </si>
  <si>
    <t>Glass blocks and panels</t>
  </si>
  <si>
    <t xml:space="preserve">Pr_20_93_51 </t>
  </si>
  <si>
    <t>Masonry flooring units</t>
  </si>
  <si>
    <t xml:space="preserve">Pr_20_93_52 </t>
  </si>
  <si>
    <t>Masonry walling units</t>
  </si>
  <si>
    <t>Pr_20_93_71</t>
  </si>
  <si>
    <t xml:space="preserve">Retaining wall units </t>
  </si>
  <si>
    <t xml:space="preserve">Pr_20_93_76 </t>
  </si>
  <si>
    <t>Shaft-lining products</t>
  </si>
  <si>
    <t xml:space="preserve">Pr_20_93_84 </t>
  </si>
  <si>
    <t>Structural roofing units</t>
  </si>
  <si>
    <t>Pr_20_93_85</t>
  </si>
  <si>
    <t>Structural walling units</t>
  </si>
  <si>
    <t>Pr_20_93_90</t>
  </si>
  <si>
    <t>Tunnel-lining products</t>
  </si>
  <si>
    <t xml:space="preserve">Pr_20_93_95 </t>
  </si>
  <si>
    <t>Tunnel opening products</t>
  </si>
  <si>
    <t xml:space="preserve">Pr_20_96 </t>
  </si>
  <si>
    <t>Wire structure and general products</t>
  </si>
  <si>
    <t>Pr_20_96_71</t>
  </si>
  <si>
    <t>Reinforcement</t>
  </si>
  <si>
    <t>Pr_20_96_96</t>
  </si>
  <si>
    <t>Wire fencing ancillary products</t>
  </si>
  <si>
    <t>Pr_20_96_97</t>
  </si>
  <si>
    <t>Wires, ropes, twines and chains</t>
  </si>
  <si>
    <t>Pr_25</t>
  </si>
  <si>
    <t>Skin products</t>
  </si>
  <si>
    <t>Pr_25_30</t>
  </si>
  <si>
    <t>Fixed access products</t>
  </si>
  <si>
    <t>Pr_25_30_30</t>
  </si>
  <si>
    <t>Floor plates, gratings and edgings</t>
  </si>
  <si>
    <t>Pr_25_30_30_03</t>
  </si>
  <si>
    <t>Aluminium edging sections</t>
  </si>
  <si>
    <t>Pr_25_30_30_04</t>
  </si>
  <si>
    <t>Aluminium expanded gratings</t>
  </si>
  <si>
    <t>Pr_25_30_30_05</t>
  </si>
  <si>
    <t>Aluminium open bar metal gratings</t>
  </si>
  <si>
    <t>Pr_25_30_30_06</t>
  </si>
  <si>
    <t>Aluminium solid metal plates</t>
  </si>
  <si>
    <t>Pr_25_30_30_14</t>
  </si>
  <si>
    <t>Carbon steel edging sections</t>
  </si>
  <si>
    <t>Pr_25_30_30_16</t>
  </si>
  <si>
    <t>Carbon steel expanded gratings</t>
  </si>
  <si>
    <t>Pr_25_30_30_18</t>
  </si>
  <si>
    <t>Carbon steel open bar metal gratings</t>
  </si>
  <si>
    <t>Pr_25_30_30_34</t>
  </si>
  <si>
    <t>Glass-reinforced plastics (GRP) moulded open mesh gratings</t>
  </si>
  <si>
    <t>Pr_25_30_30_58</t>
  </si>
  <si>
    <t>Open bar glass-reinforced plastics (GRP) gratings</t>
  </si>
  <si>
    <t>Pr_25_30_30_81</t>
  </si>
  <si>
    <t>Solid glass-reinforced plastics (GRP) plates</t>
  </si>
  <si>
    <t>Pr_25_30_30_83</t>
  </si>
  <si>
    <t>Stainless steel edging sections</t>
  </si>
  <si>
    <t>Pr_25_30_30_84</t>
  </si>
  <si>
    <t>Stainless steel expanded gratings</t>
  </si>
  <si>
    <t>Pr_25_30_30_85</t>
  </si>
  <si>
    <t>Stainless steel open bar metal gratings</t>
  </si>
  <si>
    <t>Pr_25_30_36</t>
  </si>
  <si>
    <t>Handrails</t>
  </si>
  <si>
    <t>Pr_25_30_36_03</t>
  </si>
  <si>
    <t>Aluminium handrails</t>
  </si>
  <si>
    <t>Pr_25_30_36_11</t>
  </si>
  <si>
    <t>Carbon steel handrails</t>
  </si>
  <si>
    <t xml:space="preserve">Pr_25_30_75 </t>
  </si>
  <si>
    <t>Safety cages</t>
  </si>
  <si>
    <t>Pr_25_30_85</t>
  </si>
  <si>
    <t>Stair and ladder units</t>
  </si>
  <si>
    <t>Pr_25_30_86</t>
  </si>
  <si>
    <t>Surface level traffic control products</t>
  </si>
  <si>
    <t>Pr_25_30_90</t>
  </si>
  <si>
    <t>Treads and landing units</t>
  </si>
  <si>
    <t xml:space="preserve">Pr_25_31 </t>
  </si>
  <si>
    <t>Formless skin products</t>
  </si>
  <si>
    <t xml:space="preserve">Pr_25_31_28 </t>
  </si>
  <si>
    <t>Expanding foams</t>
  </si>
  <si>
    <t>Pr_25_31_48</t>
  </si>
  <si>
    <t>Loose insulation</t>
  </si>
  <si>
    <t>Pr_25_57</t>
  </si>
  <si>
    <t>Non-rigid sheet, mat and strip skin products</t>
  </si>
  <si>
    <t xml:space="preserve">Pr_25_57_06 </t>
  </si>
  <si>
    <t>Batt and quilt products</t>
  </si>
  <si>
    <t xml:space="preserve">Pr_25_57_08 </t>
  </si>
  <si>
    <t>Bitumen-based membranes, sheets and fabrics</t>
  </si>
  <si>
    <t xml:space="preserve">Pr_25_57_10 </t>
  </si>
  <si>
    <t>Building papers and vapour permeable sheets</t>
  </si>
  <si>
    <t>Pr_25_57_21</t>
  </si>
  <si>
    <t>Damp-proof courses and cavity trays</t>
  </si>
  <si>
    <t xml:space="preserve">Pr_25_57_51 </t>
  </si>
  <si>
    <t>Membranes, liners, flexible sheets and fabrics</t>
  </si>
  <si>
    <t xml:space="preserve">Pr_25_57_56 </t>
  </si>
  <si>
    <t>Netting and non-reinforcement mesh</t>
  </si>
  <si>
    <t xml:space="preserve">Pr_25_57_65 </t>
  </si>
  <si>
    <t>Plastics membranes</t>
  </si>
  <si>
    <t xml:space="preserve">Pr_25_71 </t>
  </si>
  <si>
    <t>Rigid board, panel and sheet products</t>
  </si>
  <si>
    <t xml:space="preserve">Pr_25_71_14 </t>
  </si>
  <si>
    <t>Cladding and lining panels</t>
  </si>
  <si>
    <t>Pr_25_71_29</t>
  </si>
  <si>
    <t>Falsework and formwork</t>
  </si>
  <si>
    <t xml:space="preserve">Pr_25_71_33 </t>
  </si>
  <si>
    <t>Glass and glazing sheets and profiles</t>
  </si>
  <si>
    <t>Pr_25_71_33_65</t>
  </si>
  <si>
    <t>Plastics glazing sheets</t>
  </si>
  <si>
    <t>Pr_25_71_42</t>
  </si>
  <si>
    <t>Infill panels</t>
  </si>
  <si>
    <t xml:space="preserve">Pr_25_71_44 </t>
  </si>
  <si>
    <t>Joint fillers</t>
  </si>
  <si>
    <t>Pr_25_71_50</t>
  </si>
  <si>
    <t>Metal panels</t>
  </si>
  <si>
    <t xml:space="preserve">Pr_25_71_51 </t>
  </si>
  <si>
    <t>Metal sheets and strips</t>
  </si>
  <si>
    <t>Pr_25_71_52</t>
  </si>
  <si>
    <t>Mineral-based boards and sheets</t>
  </si>
  <si>
    <t>Pr_25_71_57</t>
  </si>
  <si>
    <t>Non-metal barrier panels</t>
  </si>
  <si>
    <t xml:space="preserve">Pr_25_71_63 </t>
  </si>
  <si>
    <t>Plastics-based boards and sheets</t>
  </si>
  <si>
    <t>Pr_25_71_97</t>
  </si>
  <si>
    <t>Wood-based boards</t>
  </si>
  <si>
    <t>Pr_25_71_97_42</t>
  </si>
  <si>
    <t>Hardwood strips</t>
  </si>
  <si>
    <t xml:space="preserve">Pr_25_71_97_53 </t>
  </si>
  <si>
    <t>Medium density fibreboards</t>
  </si>
  <si>
    <t>Pr_25_71_97_83</t>
  </si>
  <si>
    <t>Softwood strips</t>
  </si>
  <si>
    <t>Pr_25_71_97_91</t>
  </si>
  <si>
    <t>Visual grade general veneer plywoods</t>
  </si>
  <si>
    <t xml:space="preserve">Pr_25_80 </t>
  </si>
  <si>
    <t>Smoke and fire control products</t>
  </si>
  <si>
    <t>Pr_25_80_79</t>
  </si>
  <si>
    <t>Smoke and fire barriers</t>
  </si>
  <si>
    <t>Pr_25_80_79_01</t>
  </si>
  <si>
    <t>Active smoke barriers</t>
  </si>
  <si>
    <t>Pr_25_80_79_03</t>
  </si>
  <si>
    <t>Angled active fire curtain barriers</t>
  </si>
  <si>
    <t>Pr_25_80_79_14</t>
  </si>
  <si>
    <t>Concertina fire curtains</t>
  </si>
  <si>
    <t>Pr_25_80_79_15</t>
  </si>
  <si>
    <t>Concertina smoke curtains</t>
  </si>
  <si>
    <t xml:space="preserve">Pr_25_80_79_37 </t>
  </si>
  <si>
    <t>High temperature active smoke barriers</t>
  </si>
  <si>
    <t>Pr_25_80_79_38</t>
  </si>
  <si>
    <t>Horizontal active fire curtain barriers</t>
  </si>
  <si>
    <t>Pr_25_80_79_39</t>
  </si>
  <si>
    <t>Horizontal smoke curtains</t>
  </si>
  <si>
    <t>Pr_25_80_79_94</t>
  </si>
  <si>
    <t>Vertical active fire curtain barriers</t>
  </si>
  <si>
    <t>Pr_25_80_79_95</t>
  </si>
  <si>
    <t>Vertical smoke curtains</t>
  </si>
  <si>
    <t>Pr_25_80_79_96</t>
  </si>
  <si>
    <t>Vertical smoke strip curtains</t>
  </si>
  <si>
    <t>Pr_25_80_80</t>
  </si>
  <si>
    <t>Smoke and fire cavity barriers</t>
  </si>
  <si>
    <t>Pr_25_80_81</t>
  </si>
  <si>
    <t>Smoke and fire stopping</t>
  </si>
  <si>
    <t>Pr_25_93</t>
  </si>
  <si>
    <t>Unit skin products</t>
  </si>
  <si>
    <t>Pr_25_93_45</t>
  </si>
  <si>
    <t>Kerb units</t>
  </si>
  <si>
    <t>Pr_25_93_50</t>
  </si>
  <si>
    <t>Masonry capping and coping units</t>
  </si>
  <si>
    <t xml:space="preserve">Pr_25_93_51 </t>
  </si>
  <si>
    <t>Masonry dressing units</t>
  </si>
  <si>
    <t>Pr_25_93_52</t>
  </si>
  <si>
    <t>Masonry openings units</t>
  </si>
  <si>
    <t>Pr_25_93_54</t>
  </si>
  <si>
    <t>Metal capping and coping units</t>
  </si>
  <si>
    <t>Pr_25_93_60</t>
  </si>
  <si>
    <t>Paving units</t>
  </si>
  <si>
    <t xml:space="preserve">Pr_30 </t>
  </si>
  <si>
    <t>Opening products</t>
  </si>
  <si>
    <t>Pr_30_31</t>
  </si>
  <si>
    <t>Formless openings products</t>
  </si>
  <si>
    <t xml:space="preserve">Pr_30_31_68 </t>
  </si>
  <si>
    <t>Putties and glazing compounds</t>
  </si>
  <si>
    <t>Pr_30_31_76</t>
  </si>
  <si>
    <t>Sealants</t>
  </si>
  <si>
    <t xml:space="preserve">Pr_30_36 </t>
  </si>
  <si>
    <t>Hardware products</t>
  </si>
  <si>
    <t xml:space="preserve">Pr_30_36_08 </t>
  </si>
  <si>
    <t>Bolting, latching and locking hardware</t>
  </si>
  <si>
    <t>Pr_30_59</t>
  </si>
  <si>
    <t>Openings and opening component products</t>
  </si>
  <si>
    <t>Pr_30_59_01</t>
  </si>
  <si>
    <t>Access ramps</t>
  </si>
  <si>
    <t xml:space="preserve">Pr_30_59_07 </t>
  </si>
  <si>
    <t>Blinds and shading devices</t>
  </si>
  <si>
    <t>Pr_30_59_07_05</t>
  </si>
  <si>
    <t xml:space="preserve">Awnings </t>
  </si>
  <si>
    <t xml:space="preserve">Pr_30_59_09 </t>
  </si>
  <si>
    <t>Brise-soleils and components</t>
  </si>
  <si>
    <t xml:space="preserve">Pr_30_59_23 </t>
  </si>
  <si>
    <t>Door frames and leaves</t>
  </si>
  <si>
    <t xml:space="preserve">Pr_30_59_29 </t>
  </si>
  <si>
    <t>Fixed roof ventilators, terminals and accessories</t>
  </si>
  <si>
    <t xml:space="preserve">Pr_30_59_34 </t>
  </si>
  <si>
    <t>Gates and turnstiles</t>
  </si>
  <si>
    <t>Pr_30_59_34_03</t>
  </si>
  <si>
    <t>Aluminium safety gates</t>
  </si>
  <si>
    <t>Pr_30_59_34_18</t>
  </si>
  <si>
    <t>Carbon steel safety gates</t>
  </si>
  <si>
    <t xml:space="preserve">Pr_30_59_34_90 </t>
  </si>
  <si>
    <t>Stainless steel safety gates</t>
  </si>
  <si>
    <t xml:space="preserve">Pr_30_59_36 </t>
  </si>
  <si>
    <t>Hatches and access panels</t>
  </si>
  <si>
    <t xml:space="preserve">Pr_30_59_36_76 </t>
  </si>
  <si>
    <t>Self-closing safety hatches</t>
  </si>
  <si>
    <t xml:space="preserve">Pr_30_59_46 </t>
  </si>
  <si>
    <t>Lift barriers</t>
  </si>
  <si>
    <t>Pr_30_59_48</t>
  </si>
  <si>
    <t>Louvres and components</t>
  </si>
  <si>
    <t>Pr_30_59_48_04</t>
  </si>
  <si>
    <t>Aluminium louvre panel units</t>
  </si>
  <si>
    <t xml:space="preserve">Pr_30_59_48_13 </t>
  </si>
  <si>
    <t>Carbon steel louvre panel units</t>
  </si>
  <si>
    <t>Pr_30_59_48_85</t>
  </si>
  <si>
    <t>Stainless steel louvre panel units</t>
  </si>
  <si>
    <t xml:space="preserve">Pr_30_59_48_98 </t>
  </si>
  <si>
    <t>Wood louvre panel units</t>
  </si>
  <si>
    <t>Pr_30_59_57</t>
  </si>
  <si>
    <t>Opening security and protection products</t>
  </si>
  <si>
    <t>Pr_30_59_58</t>
  </si>
  <si>
    <t>Operable roof ventilators</t>
  </si>
  <si>
    <t>Pr_30_59_58_88</t>
  </si>
  <si>
    <t>Thermostatic control glazed roof ventilators</t>
  </si>
  <si>
    <t xml:space="preserve">Pr_30_59_72 </t>
  </si>
  <si>
    <t>Rooflights</t>
  </si>
  <si>
    <t xml:space="preserve">Pr_30_59_94 </t>
  </si>
  <si>
    <t>Ventilation grilles</t>
  </si>
  <si>
    <t xml:space="preserve">Pr_30_59_96 </t>
  </si>
  <si>
    <t>Wall venting products</t>
  </si>
  <si>
    <t>Pr_30_59_97</t>
  </si>
  <si>
    <t>Window panels</t>
  </si>
  <si>
    <t xml:space="preserve">Pr_30_59_98 </t>
  </si>
  <si>
    <t>Window units</t>
  </si>
  <si>
    <t xml:space="preserve">Pr_35 </t>
  </si>
  <si>
    <t>Covering and finishing products</t>
  </si>
  <si>
    <t xml:space="preserve">Pr_35_31 </t>
  </si>
  <si>
    <t xml:space="preserve">Formless covering and finish </t>
  </si>
  <si>
    <t xml:space="preserve">Pr_35_31_05 </t>
  </si>
  <si>
    <t>Asphalt, bitumen and resin mixtures</t>
  </si>
  <si>
    <t>Pr_35_31_22</t>
  </si>
  <si>
    <t>Decorative coatings</t>
  </si>
  <si>
    <t>Pr_35_31_22_15</t>
  </si>
  <si>
    <t>Concrete finishing coats</t>
  </si>
  <si>
    <t>Pr_35_31_22_80</t>
  </si>
  <si>
    <t>Solvent-based gloss finishes</t>
  </si>
  <si>
    <t>Pr_35_31_22_95</t>
  </si>
  <si>
    <t>Water-based gloss finishes</t>
  </si>
  <si>
    <t>Pr_35_31_64</t>
  </si>
  <si>
    <t>Plasters and renders</t>
  </si>
  <si>
    <t>Pr_35_31_65</t>
  </si>
  <si>
    <t>Preparation materials, fillers and stoppers</t>
  </si>
  <si>
    <t xml:space="preserve">Pr_35_31_66 </t>
  </si>
  <si>
    <t>Preparatory coatings</t>
  </si>
  <si>
    <t>Pr_35_31_67</t>
  </si>
  <si>
    <t>Preservative, additives and fire-retardant treatments</t>
  </si>
  <si>
    <t>Pr_35_31_68</t>
  </si>
  <si>
    <t>Protective coatings</t>
  </si>
  <si>
    <t>Pr_35_31_77</t>
  </si>
  <si>
    <t>Surface sealers</t>
  </si>
  <si>
    <t>Pr_35_31_77_60</t>
  </si>
  <si>
    <t>Paving sealers and stabilizers</t>
  </si>
  <si>
    <t>Pr_35_31_85</t>
  </si>
  <si>
    <t>Specialist coatings</t>
  </si>
  <si>
    <t>Pr_35_90</t>
  </si>
  <si>
    <t>Trim products</t>
  </si>
  <si>
    <t>Pr_35_90_07</t>
  </si>
  <si>
    <t>Beads, stops and fillets</t>
  </si>
  <si>
    <t xml:space="preserve">Pr_35_90_15 </t>
  </si>
  <si>
    <t xml:space="preserve">Concrete construction joint accessories </t>
  </si>
  <si>
    <t>Pr_35_90_28</t>
  </si>
  <si>
    <t>External trims and sills</t>
  </si>
  <si>
    <t>Pr_35_90_30</t>
  </si>
  <si>
    <t>Flashings</t>
  </si>
  <si>
    <t>Pr_35_90_31</t>
  </si>
  <si>
    <t>Floor and stair trims</t>
  </si>
  <si>
    <t>Pr_35_90_31_26</t>
  </si>
  <si>
    <t>Flexible polyvinyl chloride (PVC) stair nosings</t>
  </si>
  <si>
    <t>Pr_35_90_31_27</t>
  </si>
  <si>
    <t>Flexible stair coverings</t>
  </si>
  <si>
    <t>Pr_35_90_31_37</t>
  </si>
  <si>
    <t>Hardwood stair trims</t>
  </si>
  <si>
    <t>Pr_35_90_33</t>
  </si>
  <si>
    <t>Gaskets, weatherstrips and baffles</t>
  </si>
  <si>
    <t xml:space="preserve">Pr_35_90_43 </t>
  </si>
  <si>
    <t>Interior wall and ceiling trims</t>
  </si>
  <si>
    <t>Pr_35_90_50</t>
  </si>
  <si>
    <t>Masonry walling ancillary products</t>
  </si>
  <si>
    <t xml:space="preserve">Pr_35_90_53 </t>
  </si>
  <si>
    <t>Movement joints</t>
  </si>
  <si>
    <t xml:space="preserve">Pr_35_90_60 </t>
  </si>
  <si>
    <t>Paving studs and inserts</t>
  </si>
  <si>
    <t>Pr_35_90_87</t>
  </si>
  <si>
    <t>Tapes, strips and profile fillers</t>
  </si>
  <si>
    <t>Pr_35_90_87_72</t>
  </si>
  <si>
    <t>Retroreflective self-adhesive tapes</t>
  </si>
  <si>
    <t xml:space="preserve">Pr_35_90_93 </t>
  </si>
  <si>
    <t>Unit roofing fittings</t>
  </si>
  <si>
    <t>Pr_35_93</t>
  </si>
  <si>
    <t>Unit covering and finish products</t>
  </si>
  <si>
    <t>Pr_35_93_13</t>
  </si>
  <si>
    <t>Ceiling infill units</t>
  </si>
  <si>
    <t xml:space="preserve">Pr_40 </t>
  </si>
  <si>
    <t>Signage, sanitary fittings and fittings, furnishing and equipment (FF&amp;E) products</t>
  </si>
  <si>
    <t xml:space="preserve">Pr_40_10 </t>
  </si>
  <si>
    <t>Signage products</t>
  </si>
  <si>
    <t xml:space="preserve">Pr_40_10_57 </t>
  </si>
  <si>
    <t>Notices, identification and labels</t>
  </si>
  <si>
    <t xml:space="preserve">Pr_40_10_77 </t>
  </si>
  <si>
    <t>Signs and markers</t>
  </si>
  <si>
    <t>Pr_40_20</t>
  </si>
  <si>
    <t>Sanitary fittings and accessories</t>
  </si>
  <si>
    <t>Pr_40_20_27</t>
  </si>
  <si>
    <t>Emergency shower products</t>
  </si>
  <si>
    <t xml:space="preserve">Pr_40_20_87 </t>
  </si>
  <si>
    <t>Taps and water supply outlet fittings</t>
  </si>
  <si>
    <t xml:space="preserve">Pr_40_20_93 </t>
  </si>
  <si>
    <t>Urinal and WC fittings</t>
  </si>
  <si>
    <t xml:space="preserve">Pr_40_20_96 </t>
  </si>
  <si>
    <t>Washbasins, sinks and troughs</t>
  </si>
  <si>
    <t>Pr_40_30</t>
  </si>
  <si>
    <t>Fittings</t>
  </si>
  <si>
    <t xml:space="preserve">Pr_40_30_25 </t>
  </si>
  <si>
    <t>Display and presentation fittings</t>
  </si>
  <si>
    <t xml:space="preserve">Pr_40_50 </t>
  </si>
  <si>
    <t>Furnishings</t>
  </si>
  <si>
    <t xml:space="preserve">Pr_40_50_13 </t>
  </si>
  <si>
    <t>Clocks</t>
  </si>
  <si>
    <t xml:space="preserve">Pr_40_50_28 </t>
  </si>
  <si>
    <t>Extinguishers and fire blankets</t>
  </si>
  <si>
    <t xml:space="preserve">Pr_40_50_28_11 </t>
  </si>
  <si>
    <t>Carbon dioxide fire extinguishers</t>
  </si>
  <si>
    <t xml:space="preserve">Pr_40_50_28_24 </t>
  </si>
  <si>
    <t>Dry powder fire extinguishers</t>
  </si>
  <si>
    <t xml:space="preserve">Pr_40_50_28_29 </t>
  </si>
  <si>
    <t>Fire protective blankets</t>
  </si>
  <si>
    <t>Pr_40_50_28_30</t>
  </si>
  <si>
    <t>Foam fire extinguishers</t>
  </si>
  <si>
    <t xml:space="preserve">Pr_40_50_28_47 </t>
  </si>
  <si>
    <t>Heat protective blankets</t>
  </si>
  <si>
    <t xml:space="preserve">Pr_40_50_28_96 </t>
  </si>
  <si>
    <t>Water fire extinguishers</t>
  </si>
  <si>
    <t xml:space="preserve">Pr_40_50_28_97 </t>
  </si>
  <si>
    <t>Wet chemical fire extinguishers</t>
  </si>
  <si>
    <t xml:space="preserve">Pr_40_50_83 </t>
  </si>
  <si>
    <t>Sports furnishings</t>
  </si>
  <si>
    <t>Pr_40_50_90</t>
  </si>
  <si>
    <t>Trolleys</t>
  </si>
  <si>
    <t>Pr_40_70</t>
  </si>
  <si>
    <t>Equipment</t>
  </si>
  <si>
    <t>Pr_40_70_15</t>
  </si>
  <si>
    <t>Cold water supply sources</t>
  </si>
  <si>
    <t>Pr_40_70_23</t>
  </si>
  <si>
    <t xml:space="preserve">Display and service catering products </t>
  </si>
  <si>
    <t>Pr_40_70_75</t>
  </si>
  <si>
    <t>Safety equipment</t>
  </si>
  <si>
    <t>Pr_45</t>
  </si>
  <si>
    <t>Flora and fauna products</t>
  </si>
  <si>
    <t>Pr_45_31</t>
  </si>
  <si>
    <t>Formless flora and fauna products</t>
  </si>
  <si>
    <t>Pr_45_31_52</t>
  </si>
  <si>
    <t>Microbial biocides</t>
  </si>
  <si>
    <t>Pr_60</t>
  </si>
  <si>
    <t>Services source products</t>
  </si>
  <si>
    <t xml:space="preserve">Pr_60_45 </t>
  </si>
  <si>
    <t>Water filtration and treatment products</t>
  </si>
  <si>
    <t xml:space="preserve">Pr_60_45_34 </t>
  </si>
  <si>
    <t>Grit classifier products</t>
  </si>
  <si>
    <t>Pr_60_50</t>
  </si>
  <si>
    <t>Tank, cylinder and vessel products</t>
  </si>
  <si>
    <t>Pr_60_50_10</t>
  </si>
  <si>
    <t>Bulk storage tanks</t>
  </si>
  <si>
    <t>Pr_60_50_20</t>
  </si>
  <si>
    <t>Cylinders and buffer vessels</t>
  </si>
  <si>
    <t xml:space="preserve">Pr_60_50_20_10 </t>
  </si>
  <si>
    <t>Buffer vessels</t>
  </si>
  <si>
    <t xml:space="preserve">Pr_60_50_20_28 </t>
  </si>
  <si>
    <t>Expansion vessels</t>
  </si>
  <si>
    <t>Pr_60_50_33</t>
  </si>
  <si>
    <t>Gas storage cylinders</t>
  </si>
  <si>
    <t>Pr_60_50_67</t>
  </si>
  <si>
    <t>Pressure storage vessels</t>
  </si>
  <si>
    <t>Pr_60_50_67_52</t>
  </si>
  <si>
    <t>Metal liquid or gas pressure vessels</t>
  </si>
  <si>
    <t>Pr_60_50_67_70</t>
  </si>
  <si>
    <t>Refrigerant recovery storage vessels</t>
  </si>
  <si>
    <t xml:space="preserve">Pr_60_50_96 </t>
  </si>
  <si>
    <t>Water tanks and cisterns</t>
  </si>
  <si>
    <t>Pr_60_55</t>
  </si>
  <si>
    <t>Liquid and gas source products</t>
  </si>
  <si>
    <t>Pr_60_55_31</t>
  </si>
  <si>
    <t>Inlet connections and fill connections</t>
  </si>
  <si>
    <t xml:space="preserve">Pr_60_55_96 </t>
  </si>
  <si>
    <t>Water treatment chemicals</t>
  </si>
  <si>
    <t>Pr_60_55_96_15</t>
  </si>
  <si>
    <t>Corrosion inhibitor chemicals</t>
  </si>
  <si>
    <t>Pr_60_55_96_16</t>
  </si>
  <si>
    <t>Corrosion inhibitor chemicals for closed circuits</t>
  </si>
  <si>
    <t>Pr_60_55_96_77</t>
  </si>
  <si>
    <t>Scale inhibitor chemicals</t>
  </si>
  <si>
    <t xml:space="preserve">Pr_60_55_97 </t>
  </si>
  <si>
    <t>Water treatment products</t>
  </si>
  <si>
    <t>Pr_60_55_97_07</t>
  </si>
  <si>
    <t>Biocide dosing pots</t>
  </si>
  <si>
    <t xml:space="preserve">Pr_60_55_97_12 </t>
  </si>
  <si>
    <t>Chemical dosing pots</t>
  </si>
  <si>
    <t xml:space="preserve">Pr_60_55_97_97 </t>
  </si>
  <si>
    <t>Water treatment dosing pots</t>
  </si>
  <si>
    <t xml:space="preserve">Pr_60_60 </t>
  </si>
  <si>
    <t>Heating and cooling source products</t>
  </si>
  <si>
    <t>Pr_60_60_08</t>
  </si>
  <si>
    <t>Boilers</t>
  </si>
  <si>
    <t>Pr_60_60_13</t>
  </si>
  <si>
    <t>Chillers and cooling towers</t>
  </si>
  <si>
    <t>Pr_60_60_13_02</t>
  </si>
  <si>
    <t>Adiabatic chillers</t>
  </si>
  <si>
    <t>Pr_60_60_13_04</t>
  </si>
  <si>
    <t>Air-cooled liquid chillers</t>
  </si>
  <si>
    <t>Pr_60_60_13_27</t>
  </si>
  <si>
    <t>Electric-driven refrigerant compressors</t>
  </si>
  <si>
    <t>Pr_60_60_36</t>
  </si>
  <si>
    <t>Heat recovery distribution equipment</t>
  </si>
  <si>
    <t xml:space="preserve">Pr_60_60_36_36 </t>
  </si>
  <si>
    <t>Heat pipes</t>
  </si>
  <si>
    <t xml:space="preserve">Pr_60_60_36_62 </t>
  </si>
  <si>
    <t>Plate recuperators</t>
  </si>
  <si>
    <t xml:space="preserve">Pr_60_60_36_74 </t>
  </si>
  <si>
    <t>Run-around coils</t>
  </si>
  <si>
    <t xml:space="preserve">Pr_60_60_36_88 </t>
  </si>
  <si>
    <t>Thermal wheels</t>
  </si>
  <si>
    <t>Pr_60_60_38</t>
  </si>
  <si>
    <t>Calorifiers and plate heat exchangers</t>
  </si>
  <si>
    <t xml:space="preserve">Pr_60_60_38_36 </t>
  </si>
  <si>
    <t>Heat interface units</t>
  </si>
  <si>
    <t>Pr_60_60_38_62</t>
  </si>
  <si>
    <t>Plate heat exchangers</t>
  </si>
  <si>
    <t xml:space="preserve">Pr_60_60_81 </t>
  </si>
  <si>
    <t>Solar heat collectors</t>
  </si>
  <si>
    <t>Pr_60_60_96</t>
  </si>
  <si>
    <t>Water heaters</t>
  </si>
  <si>
    <t xml:space="preserve">Pr_60_65 </t>
  </si>
  <si>
    <t>Air and fume source products</t>
  </si>
  <si>
    <t xml:space="preserve">Pr_60_65_03 </t>
  </si>
  <si>
    <t>Air handling units</t>
  </si>
  <si>
    <t>Pr_60_65_03_86</t>
  </si>
  <si>
    <t>Supply air handling units</t>
  </si>
  <si>
    <t xml:space="preserve">Pr_60_65_03_87 </t>
  </si>
  <si>
    <t>Supply and return air handling units</t>
  </si>
  <si>
    <t xml:space="preserve">Pr_60_65_37 </t>
  </si>
  <si>
    <t>Heating and cooling coils</t>
  </si>
  <si>
    <t>Pr_60_65_37_12</t>
  </si>
  <si>
    <t>Chilled water cooling coils</t>
  </si>
  <si>
    <t>Pr_60_65_37_27</t>
  </si>
  <si>
    <t>Electric heater batteries</t>
  </si>
  <si>
    <t xml:space="preserve">Pr_60_65_37_47 </t>
  </si>
  <si>
    <t>Low temperature hot water heating coils</t>
  </si>
  <si>
    <t>Pr_60_65_37_72</t>
  </si>
  <si>
    <t>Refrigerant cooling coils</t>
  </si>
  <si>
    <t xml:space="preserve">Pr_60_65_94 </t>
  </si>
  <si>
    <t>Ventilation hoods and extract points</t>
  </si>
  <si>
    <t>Pr_60_65_94_45</t>
  </si>
  <si>
    <t>Kitchen canopies</t>
  </si>
  <si>
    <t xml:space="preserve">Pr_60_65_94_46 </t>
  </si>
  <si>
    <t>Kitchen extractor hoods</t>
  </si>
  <si>
    <t>Pr_60_70</t>
  </si>
  <si>
    <t>Power supply products</t>
  </si>
  <si>
    <t>Pr_60_70_06</t>
  </si>
  <si>
    <t>Batteries and chargers</t>
  </si>
  <si>
    <t>Pr_60_70_06_12</t>
  </si>
  <si>
    <t>Central battery supply units</t>
  </si>
  <si>
    <t xml:space="preserve">Pr_60_70_22 </t>
  </si>
  <si>
    <t>Distribution boxes and switchboards</t>
  </si>
  <si>
    <t>Pr_60_70_36</t>
  </si>
  <si>
    <t>High-voltage switchgear and transformers</t>
  </si>
  <si>
    <t xml:space="preserve">Pr_60_70_48 </t>
  </si>
  <si>
    <t>Low-voltage switchgear</t>
  </si>
  <si>
    <t xml:space="preserve">Pr_60_70_64 </t>
  </si>
  <si>
    <t>Power conditioning supply equipment</t>
  </si>
  <si>
    <t xml:space="preserve">Pr_60_70_65 </t>
  </si>
  <si>
    <t>Power generators, engines and packaged combined heat and power (CHP) units</t>
  </si>
  <si>
    <t xml:space="preserve">Pr_60_75 </t>
  </si>
  <si>
    <t>Communications source products</t>
  </si>
  <si>
    <t xml:space="preserve">Pr_60_75_01 </t>
  </si>
  <si>
    <t>Antennas and satellite dishes</t>
  </si>
  <si>
    <t xml:space="preserve">Pr_60_75_03 </t>
  </si>
  <si>
    <t>Audio and video players and recorders</t>
  </si>
  <si>
    <t xml:space="preserve">Pr_60_75_06 </t>
  </si>
  <si>
    <t>Audio input devices</t>
  </si>
  <si>
    <t>Pr_60_75_08</t>
  </si>
  <si>
    <t>Audio and visual source products</t>
  </si>
  <si>
    <t>Pr_60_75_08_04</t>
  </si>
  <si>
    <t>Automatic announcement equipment</t>
  </si>
  <si>
    <t xml:space="preserve">Pr_60_75_08_71 </t>
  </si>
  <si>
    <t>Remote microphone input points</t>
  </si>
  <si>
    <t>Pr_60_75_86</t>
  </si>
  <si>
    <t>Surveillance cameras, monitors and ancillaries</t>
  </si>
  <si>
    <t xml:space="preserve">Pr_65 </t>
  </si>
  <si>
    <t>Services distribution products</t>
  </si>
  <si>
    <t>Pr_65_50</t>
  </si>
  <si>
    <t>Gutter and fitting products</t>
  </si>
  <si>
    <t>Pr_65_50_35</t>
  </si>
  <si>
    <t>Gutters and accessories</t>
  </si>
  <si>
    <t xml:space="preserve">Pr_65_52 </t>
  </si>
  <si>
    <t>Pipe, tube and fitting products</t>
  </si>
  <si>
    <t xml:space="preserve">Pr_65_52_01 </t>
  </si>
  <si>
    <t>Access and inspection chambers and gullies</t>
  </si>
  <si>
    <t>Pr_65_52_01_02</t>
  </si>
  <si>
    <t>Access covers and frames</t>
  </si>
  <si>
    <t>Pr_65_52_01_64</t>
  </si>
  <si>
    <t>Plastics inspection chambers</t>
  </si>
  <si>
    <t>Pr_65_52_07</t>
  </si>
  <si>
    <t>Below-ground and pressure drainage pipes and fittings</t>
  </si>
  <si>
    <t xml:space="preserve">Pr_65_52_20 </t>
  </si>
  <si>
    <t>Culverts</t>
  </si>
  <si>
    <t>Pr_65_52_24</t>
  </si>
  <si>
    <t>Drainage gullies and channels</t>
  </si>
  <si>
    <t xml:space="preserve">Pr_65_52_24_59 </t>
  </si>
  <si>
    <t>Plastics composite gullies</t>
  </si>
  <si>
    <t xml:space="preserve">Pr_65_52_24_60 </t>
  </si>
  <si>
    <t>Plastics one-piece gullies</t>
  </si>
  <si>
    <t>Pr_65_52_24_64</t>
  </si>
  <si>
    <t>Polypropylene (PP) composite gullies</t>
  </si>
  <si>
    <t>Pr_65_52_24_65</t>
  </si>
  <si>
    <t>Polypropylene (PP) one-piece gullies</t>
  </si>
  <si>
    <t xml:space="preserve">Pr_65_52_25 </t>
  </si>
  <si>
    <t>Drainage traps and accessories</t>
  </si>
  <si>
    <t>Pr_65_52_34</t>
  </si>
  <si>
    <t>Gauges and sight glasses</t>
  </si>
  <si>
    <t>Pr_65_52_34_66</t>
  </si>
  <si>
    <t>Pressure gauges</t>
  </si>
  <si>
    <t xml:space="preserve">Pr_65_52_34_88 </t>
  </si>
  <si>
    <t>Temperature gauges</t>
  </si>
  <si>
    <t xml:space="preserve">Pr_65_52_38 </t>
  </si>
  <si>
    <t>Hoses, hose reels and ancillaries</t>
  </si>
  <si>
    <t xml:space="preserve">Pr_65_52_61 </t>
  </si>
  <si>
    <t>Pipe accessories</t>
  </si>
  <si>
    <t>Pr_65_52_61_04</t>
  </si>
  <si>
    <t>Anti-climb pipe covers</t>
  </si>
  <si>
    <t xml:space="preserve">Pr_65_52_62 </t>
  </si>
  <si>
    <t>Pipe jointing materials</t>
  </si>
  <si>
    <t>Pr_65_52_62_82</t>
  </si>
  <si>
    <t>Solvent-welding cements</t>
  </si>
  <si>
    <t xml:space="preserve">Pr_65_52_63 </t>
  </si>
  <si>
    <t>Pipes and fittings</t>
  </si>
  <si>
    <t>Pr_65_52_63_02</t>
  </si>
  <si>
    <t>Acrylonitrile butadiene styrene (ABS) pipes and fittings</t>
  </si>
  <si>
    <t>Pr_65_52_63_03</t>
  </si>
  <si>
    <t>Acrylonitrile butadiene styrene (ABS) fittings</t>
  </si>
  <si>
    <t>Pr_65_52_63_23</t>
  </si>
  <si>
    <t>Cross-linked polyethylene (PE-X) pipes and fittings</t>
  </si>
  <si>
    <t>Pr_65_52_63_63</t>
  </si>
  <si>
    <t>Polyethylene (PE) water pipes and fittings</t>
  </si>
  <si>
    <t xml:space="preserve">Pr_65_53 </t>
  </si>
  <si>
    <t>Pump products</t>
  </si>
  <si>
    <t>Pr_65_53_24</t>
  </si>
  <si>
    <t>Drainage pumps</t>
  </si>
  <si>
    <t xml:space="preserve">Pr_65_53_24_86 </t>
  </si>
  <si>
    <t>Submersible pumps</t>
  </si>
  <si>
    <t xml:space="preserve">Pr_65_53_65 </t>
  </si>
  <si>
    <t>Pump accessories</t>
  </si>
  <si>
    <t xml:space="preserve">Pr_65_53_86 </t>
  </si>
  <si>
    <t>Supply and exhaust pumps</t>
  </si>
  <si>
    <t>Pr_65_53_86_05</t>
  </si>
  <si>
    <t>Automatic condensate pumps</t>
  </si>
  <si>
    <t xml:space="preserve">Pr_65_53_86_11 </t>
  </si>
  <si>
    <t>Canned rotor pumps</t>
  </si>
  <si>
    <t>Pr_65_53_86_12</t>
  </si>
  <si>
    <t>Centrifugal pumps</t>
  </si>
  <si>
    <t>Pr_65_53_86_13</t>
  </si>
  <si>
    <t>Close-coupled end suction pumps</t>
  </si>
  <si>
    <t xml:space="preserve">Pr_65_53_86_15 </t>
  </si>
  <si>
    <t>Close-coupled in line pumps</t>
  </si>
  <si>
    <t xml:space="preserve">Pr_65_53_86_24 </t>
  </si>
  <si>
    <t>Dosing pump units</t>
  </si>
  <si>
    <t xml:space="preserve">Pr_65_53_86_51 </t>
  </si>
  <si>
    <t>Metering pumps</t>
  </si>
  <si>
    <t xml:space="preserve">Pr_65_53_86_68 </t>
  </si>
  <si>
    <t>Pressurization units</t>
  </si>
  <si>
    <t xml:space="preserve"> Pr_65_54 </t>
  </si>
  <si>
    <t>Valve products</t>
  </si>
  <si>
    <t>Pr_65_54_30</t>
  </si>
  <si>
    <t>Firefighting valves and devices</t>
  </si>
  <si>
    <t xml:space="preserve">Pr_65_54_33 </t>
  </si>
  <si>
    <t>Gas and liquid fuel valves</t>
  </si>
  <si>
    <t xml:space="preserve">Pr_65_54_40 </t>
  </si>
  <si>
    <t>Irrigation valves</t>
  </si>
  <si>
    <t xml:space="preserve">Pr_65_54_93 </t>
  </si>
  <si>
    <t>Valve accessories</t>
  </si>
  <si>
    <t>Pr_65_54_93_05</t>
  </si>
  <si>
    <t>Automatic air vents</t>
  </si>
  <si>
    <t xml:space="preserve">Pr_65_54_93_50 </t>
  </si>
  <si>
    <t>Manual air vents</t>
  </si>
  <si>
    <t xml:space="preserve">Pr_65_54_95 </t>
  </si>
  <si>
    <t>Water services valves</t>
  </si>
  <si>
    <t>Pr_65_54_95_06</t>
  </si>
  <si>
    <t>Ball valves</t>
  </si>
  <si>
    <t xml:space="preserve">Pr_65_54_95_08 </t>
  </si>
  <si>
    <t>Butterfly valves</t>
  </si>
  <si>
    <t xml:space="preserve">Pr_65_54_95_11 </t>
  </si>
  <si>
    <t>Cast iron check valves</t>
  </si>
  <si>
    <t xml:space="preserve">Pr_65_54_95_12 </t>
  </si>
  <si>
    <t>Cast iron gate valves</t>
  </si>
  <si>
    <t xml:space="preserve">Pr_65_54_95_13 </t>
  </si>
  <si>
    <t>Cast iron globe valves</t>
  </si>
  <si>
    <t>Pr_65_54_95_14</t>
  </si>
  <si>
    <t>Copper alloy check valves</t>
  </si>
  <si>
    <t xml:space="preserve">Pr_65_54_95_15 </t>
  </si>
  <si>
    <t>Copper alloy gate valves</t>
  </si>
  <si>
    <t>Pr_65_54_95_16</t>
  </si>
  <si>
    <t>Copper alloy globe valves</t>
  </si>
  <si>
    <t xml:space="preserve">Pr_65_54_95_18 </t>
  </si>
  <si>
    <t>Copper alloy service stop valves</t>
  </si>
  <si>
    <t xml:space="preserve">Pr_65_54_95_19 </t>
  </si>
  <si>
    <t>Copper alloy stop valves</t>
  </si>
  <si>
    <t xml:space="preserve">Pr_65_54_95_20 </t>
  </si>
  <si>
    <t>Copper alloy underground stop valves</t>
  </si>
  <si>
    <t xml:space="preserve">Pr_65_54_95_21 </t>
  </si>
  <si>
    <t>Commissioning manifolds</t>
  </si>
  <si>
    <t>Pr_65_54_95_23</t>
  </si>
  <si>
    <t>Draw-off taps</t>
  </si>
  <si>
    <t xml:space="preserve">Pr_65_54_95_25 </t>
  </si>
  <si>
    <t>Differential pressure control valves</t>
  </si>
  <si>
    <t xml:space="preserve">Pr_65_54_95_26 </t>
  </si>
  <si>
    <t>Double regulating valves</t>
  </si>
  <si>
    <t xml:space="preserve">Pr_65_54_95_27 </t>
  </si>
  <si>
    <t>Draining taps</t>
  </si>
  <si>
    <t xml:space="preserve">Pr_65_54_95_28 </t>
  </si>
  <si>
    <t>Excess pressure valves</t>
  </si>
  <si>
    <t>Pr_65_54_95_29</t>
  </si>
  <si>
    <t>Float-operated valves</t>
  </si>
  <si>
    <t xml:space="preserve">Pr_65_54_95_30 </t>
  </si>
  <si>
    <t>Flow measuring valves</t>
  </si>
  <si>
    <t xml:space="preserve">Pr_65_54_95_53 </t>
  </si>
  <si>
    <t>Motorized valves</t>
  </si>
  <si>
    <t xml:space="preserve">Pr_65_54_95_63 </t>
  </si>
  <si>
    <t>Pressure independent control valves</t>
  </si>
  <si>
    <t xml:space="preserve">Pr_65_54_95_65 </t>
  </si>
  <si>
    <t>Pressure relief valves</t>
  </si>
  <si>
    <t>Pr_65_54_95_67</t>
  </si>
  <si>
    <t>Pressure surplussing valves</t>
  </si>
  <si>
    <t>Pr_65_54_95_70</t>
  </si>
  <si>
    <t>Radiator valves</t>
  </si>
  <si>
    <t xml:space="preserve">Pr_65_54_95_75 </t>
  </si>
  <si>
    <t>Safety valves</t>
  </si>
  <si>
    <t xml:space="preserve">Pr_65_54_95_89 </t>
  </si>
  <si>
    <t>Thermostatic radiator valves</t>
  </si>
  <si>
    <t>Pr_65_54_95_90</t>
  </si>
  <si>
    <t>Three-way vent cocks</t>
  </si>
  <si>
    <t>Pr_65_54_95_92</t>
  </si>
  <si>
    <t>Underfloor heating and cooling manifolds</t>
  </si>
  <si>
    <t xml:space="preserve">Pr_65_57 </t>
  </si>
  <si>
    <t>Filter products</t>
  </si>
  <si>
    <t xml:space="preserve">Pr_65_57_02 </t>
  </si>
  <si>
    <t>Air filters</t>
  </si>
  <si>
    <t xml:space="preserve">Pr_65_57_02_02 </t>
  </si>
  <si>
    <t>Activated carbon air filters</t>
  </si>
  <si>
    <t xml:space="preserve">Pr_65_57_02_06 </t>
  </si>
  <si>
    <t>Baffle grease air filters</t>
  </si>
  <si>
    <t>Pr_65_57_02_07</t>
  </si>
  <si>
    <t>Bag air filters</t>
  </si>
  <si>
    <t>Pr_65_57_02_11</t>
  </si>
  <si>
    <t>Cartridge grease air filters</t>
  </si>
  <si>
    <t>Pr_65_57_02_15</t>
  </si>
  <si>
    <t>Cold water mist grease air filters</t>
  </si>
  <si>
    <t>Pr_65_57_02_25</t>
  </si>
  <si>
    <t>Duct-mounted modular electrostatic air filters</t>
  </si>
  <si>
    <t xml:space="preserve">Pr_65_57_02_26 </t>
  </si>
  <si>
    <t>Efficient particulate arrestor (EPA) air filters</t>
  </si>
  <si>
    <t xml:space="preserve">Pr_65_57_02_28 </t>
  </si>
  <si>
    <t>Electrostatic precipitators</t>
  </si>
  <si>
    <t>Pr_65_57_02_52</t>
  </si>
  <si>
    <t>Mesh air filters</t>
  </si>
  <si>
    <t xml:space="preserve">Pr_65_57_02_66 </t>
  </si>
  <si>
    <t>Panel air filters</t>
  </si>
  <si>
    <t xml:space="preserve">Pr_65_57_02_93 </t>
  </si>
  <si>
    <t>Ultraviolet light grease filters</t>
  </si>
  <si>
    <t>Pr_65_57_02_96</t>
  </si>
  <si>
    <t>Water wash grease air filters</t>
  </si>
  <si>
    <t xml:space="preserve">Pr_65_57_96 </t>
  </si>
  <si>
    <t>Water filters and strainers</t>
  </si>
  <si>
    <t>Pr_65_57_96_04</t>
  </si>
  <si>
    <t>Angle water strainers</t>
  </si>
  <si>
    <t xml:space="preserve">Pr_65_57_96_08 </t>
  </si>
  <si>
    <t>Basket water strainers</t>
  </si>
  <si>
    <t xml:space="preserve">Pr_65_57_96_77 </t>
  </si>
  <si>
    <t>Side stream water filters</t>
  </si>
  <si>
    <t>Pr_65_57_96_99</t>
  </si>
  <si>
    <t>Y-type water strainers</t>
  </si>
  <si>
    <t>Pr_65_65</t>
  </si>
  <si>
    <t>Ductwork products</t>
  </si>
  <si>
    <t>Pr_65_65_23</t>
  </si>
  <si>
    <t>Ductwork accessories</t>
  </si>
  <si>
    <t xml:space="preserve">Pr_65_65_24 </t>
  </si>
  <si>
    <t>Duct dampers</t>
  </si>
  <si>
    <t>Pr_65_65_24_16</t>
  </si>
  <si>
    <t>Constant volume boxes</t>
  </si>
  <si>
    <t xml:space="preserve">Pr_65_65_24_29 </t>
  </si>
  <si>
    <t>Fire and smoke dampers</t>
  </si>
  <si>
    <t>Pr_65_65_24_42</t>
  </si>
  <si>
    <t>Intumescent fire and smoke dampers</t>
  </si>
  <si>
    <t xml:space="preserve">Pr_65_65_24_56 </t>
  </si>
  <si>
    <t>Non-return dampers</t>
  </si>
  <si>
    <t xml:space="preserve">Pr_65_65_24_66 </t>
  </si>
  <si>
    <t>Pressure control flaps</t>
  </si>
  <si>
    <t xml:space="preserve">Pr_65_65_24_68 </t>
  </si>
  <si>
    <t>Pressure relief dampers</t>
  </si>
  <si>
    <t>Pr_65_65_24_78</t>
  </si>
  <si>
    <t>Shut off dampers</t>
  </si>
  <si>
    <t xml:space="preserve">Pr_65_65_24_80 </t>
  </si>
  <si>
    <t>Smoke dampers</t>
  </si>
  <si>
    <t xml:space="preserve">Pr_65_65_24_93 </t>
  </si>
  <si>
    <t>Variable air volume boxes</t>
  </si>
  <si>
    <t xml:space="preserve">Pr_65_65_24_95 </t>
  </si>
  <si>
    <t>Volume control dampers</t>
  </si>
  <si>
    <t xml:space="preserve">Pr_65_65_25 </t>
  </si>
  <si>
    <t>Ductwork and fittings</t>
  </si>
  <si>
    <t>Pr_65_65_25_30</t>
  </si>
  <si>
    <t>Fire resisting ductwork and fittings</t>
  </si>
  <si>
    <t xml:space="preserve">Pr_65_67 </t>
  </si>
  <si>
    <t>Air and fume distribution products</t>
  </si>
  <si>
    <t>Pr_65_67_28</t>
  </si>
  <si>
    <t>Expansion compensators</t>
  </si>
  <si>
    <t>Pr_65_67_29</t>
  </si>
  <si>
    <t>Fans</t>
  </si>
  <si>
    <t>Pr_65_67_29_05</t>
  </si>
  <si>
    <t>Axial flow fans</t>
  </si>
  <si>
    <t xml:space="preserve">Pr_65_67_29_09 </t>
  </si>
  <si>
    <t>Bifurcated fans</t>
  </si>
  <si>
    <t xml:space="preserve">Pr_65_67_29_12 </t>
  </si>
  <si>
    <t>Centrifugal fans</t>
  </si>
  <si>
    <t xml:space="preserve">Pr_65_67_29_23 </t>
  </si>
  <si>
    <t>Domestic fan units</t>
  </si>
  <si>
    <t xml:space="preserve">Pr_65_67_29_44 </t>
  </si>
  <si>
    <t>Jet fans</t>
  </si>
  <si>
    <t xml:space="preserve">Pr_65_67_29_52 </t>
  </si>
  <si>
    <t>Mixed flow fans</t>
  </si>
  <si>
    <t xml:space="preserve">Pr_65_67_29_62 </t>
  </si>
  <si>
    <t>Plug fans</t>
  </si>
  <si>
    <t xml:space="preserve">Pr_65_67_29_64 </t>
  </si>
  <si>
    <t>Powered smoke and heat exhaust ventilators</t>
  </si>
  <si>
    <t xml:space="preserve">Pr_65_67_29_67 </t>
  </si>
  <si>
    <t>Propeller fans</t>
  </si>
  <si>
    <t xml:space="preserve">Pr_65_67_29_72 </t>
  </si>
  <si>
    <t>Roof mounted fans</t>
  </si>
  <si>
    <t xml:space="preserve">Pr_65_67_29_80 </t>
  </si>
  <si>
    <t>Smoke extract fans</t>
  </si>
  <si>
    <t>Pr_65_67_78</t>
  </si>
  <si>
    <t>Sound attenuators</t>
  </si>
  <si>
    <t>Pr_65_67_78_05</t>
  </si>
  <si>
    <t>Air transfer and cross talk attenuators</t>
  </si>
  <si>
    <t xml:space="preserve">Pr_65_67_78_07 </t>
  </si>
  <si>
    <t>Attenuated openings</t>
  </si>
  <si>
    <t xml:space="preserve">Pr_65_67_78_12 </t>
  </si>
  <si>
    <t>Circular attenuators</t>
  </si>
  <si>
    <t xml:space="preserve">Pr_65_67_78_72 </t>
  </si>
  <si>
    <t>Rectangular attenuators</t>
  </si>
  <si>
    <t>Pr_65_70</t>
  </si>
  <si>
    <t>Cables, conductors and fittings products</t>
  </si>
  <si>
    <t>Pr_65_70_11</t>
  </si>
  <si>
    <t>Cable management and accessories</t>
  </si>
  <si>
    <t xml:space="preserve">Pr_65_70_12 </t>
  </si>
  <si>
    <t>Cable protection products</t>
  </si>
  <si>
    <t xml:space="preserve">Pr_65_70_15 </t>
  </si>
  <si>
    <t>Communications cables and accessories</t>
  </si>
  <si>
    <t>Pr_65_70_46</t>
  </si>
  <si>
    <t>Lightning protection and earthing components</t>
  </si>
  <si>
    <t xml:space="preserve">Pr_65_70_48 </t>
  </si>
  <si>
    <t>Low-voltage cables</t>
  </si>
  <si>
    <t xml:space="preserve">Pr_65_72 </t>
  </si>
  <si>
    <t>Electrical power products and wiring accessories</t>
  </si>
  <si>
    <t>Pr_65_72_27</t>
  </si>
  <si>
    <t>Electrical protective devices</t>
  </si>
  <si>
    <t xml:space="preserve">Pr_65_72_43 </t>
  </si>
  <si>
    <t>Power conditioning equipment</t>
  </si>
  <si>
    <t xml:space="preserve">Pr_65_72_43_01 </t>
  </si>
  <si>
    <t>Active electrical filters</t>
  </si>
  <si>
    <t xml:space="preserve">Pr_65_72_97 </t>
  </si>
  <si>
    <t>Wiring accessories</t>
  </si>
  <si>
    <t xml:space="preserve">Pr_65_80 </t>
  </si>
  <si>
    <t>Transport distribution products</t>
  </si>
  <si>
    <t>Pr_65_80_28</t>
  </si>
  <si>
    <t>Escalator and moving walk products</t>
  </si>
  <si>
    <t xml:space="preserve">Pr_65_80_47 </t>
  </si>
  <si>
    <t>Lifting platforms and hoists</t>
  </si>
  <si>
    <t xml:space="preserve">Pr_70 </t>
  </si>
  <si>
    <t>Services outlet products</t>
  </si>
  <si>
    <t>Pr_70_55</t>
  </si>
  <si>
    <t>Liquid and gas outlet products</t>
  </si>
  <si>
    <t>Pr_70_55_33</t>
  </si>
  <si>
    <t>Gas and foam nozzles and sprinklers</t>
  </si>
  <si>
    <t>Pr_70_55_62</t>
  </si>
  <si>
    <t>Phase change outlet products</t>
  </si>
  <si>
    <t xml:space="preserve">Pr_70_55_97 </t>
  </si>
  <si>
    <t>Water fire extinguishing outlets</t>
  </si>
  <si>
    <t xml:space="preserve">Pr_70_60 </t>
  </si>
  <si>
    <t>Space heating and cooling products</t>
  </si>
  <si>
    <t>Pr_70_60_14</t>
  </si>
  <si>
    <t>Climatic beams and ceilings</t>
  </si>
  <si>
    <t xml:space="preserve">Pr_70_60_14_02 </t>
  </si>
  <si>
    <t>Active climatic beams</t>
  </si>
  <si>
    <t xml:space="preserve">Pr_70_60_14_10 </t>
  </si>
  <si>
    <t>Bulkhead active climatic beams</t>
  </si>
  <si>
    <t>Pr_70_60_14_47</t>
  </si>
  <si>
    <t>Linear active climatic beams</t>
  </si>
  <si>
    <t>Pr_70_60_14_53</t>
  </si>
  <si>
    <t>Modular or cassette active climatic beams</t>
  </si>
  <si>
    <t>Pr_70_60_14_55</t>
  </si>
  <si>
    <t>Multi-service climatic beams</t>
  </si>
  <si>
    <t xml:space="preserve">Pr_70_60_14_60 </t>
  </si>
  <si>
    <t>Passive climatic beams</t>
  </si>
  <si>
    <t xml:space="preserve">Pr_70_60_36 </t>
  </si>
  <si>
    <t>Heat emitters</t>
  </si>
  <si>
    <t xml:space="preserve">Pr_70_60_36_02 </t>
  </si>
  <si>
    <t>Air curtains</t>
  </si>
  <si>
    <t xml:space="preserve">Pr_70_60_36_30 </t>
  </si>
  <si>
    <t>Fan convectors</t>
  </si>
  <si>
    <t xml:space="preserve">Pr_70_60_36_37 </t>
  </si>
  <si>
    <t>Heat pump driven air curtains</t>
  </si>
  <si>
    <t>Pr_70_60_36_49</t>
  </si>
  <si>
    <t>Low temperature hot water (LTHW) underfloor heating</t>
  </si>
  <si>
    <t xml:space="preserve">Pr_70_60_36_56 </t>
  </si>
  <si>
    <t>Natural convectors</t>
  </si>
  <si>
    <t>Pr_70_60_36_71</t>
  </si>
  <si>
    <t>Radiant panels</t>
  </si>
  <si>
    <t xml:space="preserve">Pr_70_60_36_73 </t>
  </si>
  <si>
    <t>Radiators</t>
  </si>
  <si>
    <t xml:space="preserve">Pr_70_60_36_90 </t>
  </si>
  <si>
    <t>Trench convectors</t>
  </si>
  <si>
    <t xml:space="preserve">Pr_70_60_36_93 </t>
  </si>
  <si>
    <t>Unit heaters</t>
  </si>
  <si>
    <t xml:space="preserve">Pr_70_60_37 </t>
  </si>
  <si>
    <t>Heat pumps</t>
  </si>
  <si>
    <t xml:space="preserve">Pr_70_60_37_08 </t>
  </si>
  <si>
    <t>Brine to water heat pumps</t>
  </si>
  <si>
    <t xml:space="preserve">Pr_70_60_37_36 </t>
  </si>
  <si>
    <t>Ground source heat pumps</t>
  </si>
  <si>
    <t xml:space="preserve">Pr_70_60_37_47 </t>
  </si>
  <si>
    <t>Low temperature air to water heat pumps</t>
  </si>
  <si>
    <t>Pr_70_60_37_50</t>
  </si>
  <si>
    <t>Medium or high temperature air to water heat pumps</t>
  </si>
  <si>
    <t>Pr_70_60_37_52</t>
  </si>
  <si>
    <t>Multi-split air to air heat pumps</t>
  </si>
  <si>
    <t xml:space="preserve">Pr_70_60_37_78 </t>
  </si>
  <si>
    <t>Single split air to air heat pumps</t>
  </si>
  <si>
    <t xml:space="preserve">Pr_70_60_37_98 </t>
  </si>
  <si>
    <t>Water to water heat pumps</t>
  </si>
  <si>
    <t xml:space="preserve">Pr_70_65 </t>
  </si>
  <si>
    <t>Air and fume outlet products</t>
  </si>
  <si>
    <t>Pr_70_65_03</t>
  </si>
  <si>
    <t>Air conditioning units</t>
  </si>
  <si>
    <t>Pr_70_65_03_02</t>
  </si>
  <si>
    <t>Air cooled condensing units</t>
  </si>
  <si>
    <t xml:space="preserve">Pr_70_65_03_29 </t>
  </si>
  <si>
    <t>Fan coil units</t>
  </si>
  <si>
    <t>Pr_70_65_03_42</t>
  </si>
  <si>
    <t>Indoor refrigeration units</t>
  </si>
  <si>
    <t>Pr_70_65_03_47</t>
  </si>
  <si>
    <t>Local air conditioning units</t>
  </si>
  <si>
    <t>Pr_70_65_03_72</t>
  </si>
  <si>
    <t>Room air conditioning units</t>
  </si>
  <si>
    <t xml:space="preserve">Pr_70_65_04 </t>
  </si>
  <si>
    <t>Air terminals and diffusers</t>
  </si>
  <si>
    <t>Pr_70_65_04_02</t>
  </si>
  <si>
    <t>Air diffusers</t>
  </si>
  <si>
    <t xml:space="preserve">Pr_70_65_04_03 </t>
  </si>
  <si>
    <t>Air grilles</t>
  </si>
  <si>
    <t xml:space="preserve">Pr_70_65_04_22 </t>
  </si>
  <si>
    <t>Displacement ventilation diffusers</t>
  </si>
  <si>
    <t>Pr_70_65_04_24</t>
  </si>
  <si>
    <t>Domestic air diffusers and grilles</t>
  </si>
  <si>
    <t>Pr_70_65_04_30</t>
  </si>
  <si>
    <t>Floor linear air diffusers</t>
  </si>
  <si>
    <t xml:space="preserve">Pr_70_65_04_44 </t>
  </si>
  <si>
    <t>Jet diffusers</t>
  </si>
  <si>
    <t>Pr_70_65_04_46</t>
  </si>
  <si>
    <t>Laminar flow panels</t>
  </si>
  <si>
    <t xml:space="preserve">Pr_70_65_04_48 </t>
  </si>
  <si>
    <t>Linear air diffusers</t>
  </si>
  <si>
    <t xml:space="preserve">Pr_70_65_04_56 </t>
  </si>
  <si>
    <t>Natural smoke and heat exhaust ventilators</t>
  </si>
  <si>
    <t xml:space="preserve">Pr_70_65_04_84 </t>
  </si>
  <si>
    <t>Specialist air terminals</t>
  </si>
  <si>
    <t>Pr_70_65_04_86</t>
  </si>
  <si>
    <t>Swirl air diffusers</t>
  </si>
  <si>
    <t>Pr_70_65_04_88</t>
  </si>
  <si>
    <t>Terminal fan units</t>
  </si>
  <si>
    <t>Pr_70_65_04_94</t>
  </si>
  <si>
    <t>Variable air volume (VAV) terminal units</t>
  </si>
  <si>
    <t xml:space="preserve">Pr_70_65_30 </t>
  </si>
  <si>
    <t>Flues and chimneys</t>
  </si>
  <si>
    <t>Pr_70_70</t>
  </si>
  <si>
    <t>Power and lighting outlet products</t>
  </si>
  <si>
    <t>Pr_70_70_46</t>
  </si>
  <si>
    <t>Lamps</t>
  </si>
  <si>
    <t>Pr_70_70_47</t>
  </si>
  <si>
    <t>Lighting controls and lighting distribution products</t>
  </si>
  <si>
    <t xml:space="preserve">Pr_70_70_48 </t>
  </si>
  <si>
    <t>Luminaires, lighting track and lighting accessories</t>
  </si>
  <si>
    <t>Pr_70_75</t>
  </si>
  <si>
    <t>Communications products</t>
  </si>
  <si>
    <t>Pr_70_75_04</t>
  </si>
  <si>
    <t>Audio, data and visual outlet plates and controllers</t>
  </si>
  <si>
    <t xml:space="preserve">Pr_70_75_06 </t>
  </si>
  <si>
    <t>Audio output devices</t>
  </si>
  <si>
    <t>Pr_70_75_36</t>
  </si>
  <si>
    <t>Hearing and assisted listening products</t>
  </si>
  <si>
    <t>Pr_70_75_69</t>
  </si>
  <si>
    <t>Radio communications products</t>
  </si>
  <si>
    <t>Pr_70_75_88</t>
  </si>
  <si>
    <t>Telecoms equipment</t>
  </si>
  <si>
    <t xml:space="preserve">Pr_70_75_94 </t>
  </si>
  <si>
    <t>Visual and audible indicators</t>
  </si>
  <si>
    <t>Pr_75</t>
  </si>
  <si>
    <t>Services control products</t>
  </si>
  <si>
    <t>Pr_75_30</t>
  </si>
  <si>
    <t>Opening control products</t>
  </si>
  <si>
    <t xml:space="preserve">Pr_75_30_27 </t>
  </si>
  <si>
    <t>Electric door locking hardware</t>
  </si>
  <si>
    <t xml:space="preserve">Pr_75_50 </t>
  </si>
  <si>
    <t>Mechanical and electrical services control products</t>
  </si>
  <si>
    <t>Pr_75_50_02</t>
  </si>
  <si>
    <t>Actuators</t>
  </si>
  <si>
    <t>Pr_75_50_18</t>
  </si>
  <si>
    <t>Controllers and control panels</t>
  </si>
  <si>
    <t>Pr_75_50_18_17</t>
  </si>
  <si>
    <t>Control panels</t>
  </si>
  <si>
    <t>Pr_75_50_18_21</t>
  </si>
  <si>
    <t>Damper actuators</t>
  </si>
  <si>
    <t>Pr_75_50_18_26</t>
  </si>
  <si>
    <t>Electric trace heating control and monitoring panels</t>
  </si>
  <si>
    <t>Pr_75_50_18_32</t>
  </si>
  <si>
    <t>Fire electric pump control panels</t>
  </si>
  <si>
    <t xml:space="preserve">Pr_75_50_18_47 </t>
  </si>
  <si>
    <t>Liquid leak detection control panels</t>
  </si>
  <si>
    <t>Pr_75_50_18_80</t>
  </si>
  <si>
    <t>Smoke and heat exhaust control panels</t>
  </si>
  <si>
    <t xml:space="preserve">Pr_75_50_18_94 </t>
  </si>
  <si>
    <t>Valve actuators</t>
  </si>
  <si>
    <t>Pr_75_50_33</t>
  </si>
  <si>
    <t>Gas fire extinguishing controls</t>
  </si>
  <si>
    <t xml:space="preserve">Pr_75_50_46 </t>
  </si>
  <si>
    <t>Liquid level controllers and switches</t>
  </si>
  <si>
    <t xml:space="preserve">Pr_75_50_47 </t>
  </si>
  <si>
    <t>Liquid level sensors</t>
  </si>
  <si>
    <t xml:space="preserve">Pr_75_50_48 </t>
  </si>
  <si>
    <t>Liquid-sensing devices</t>
  </si>
  <si>
    <t>Pr_75_50_50</t>
  </si>
  <si>
    <t>Measuring and monitoring relays</t>
  </si>
  <si>
    <t xml:space="preserve">Pr_75_50_52 </t>
  </si>
  <si>
    <t>Meteorological instrumentation</t>
  </si>
  <si>
    <t>Pr_75_50_52_97</t>
  </si>
  <si>
    <t>Weather stations</t>
  </si>
  <si>
    <t>Pr_75_50_76</t>
  </si>
  <si>
    <t>Sensors and detectors</t>
  </si>
  <si>
    <t xml:space="preserve">Pr_75_51 </t>
  </si>
  <si>
    <t>Motors, motor controls, control circuit devices and timeswitches</t>
  </si>
  <si>
    <t xml:space="preserve">Pr_75_51_17 </t>
  </si>
  <si>
    <t>Control circuit devices and timeswitches</t>
  </si>
  <si>
    <t>Pr_75_51_26</t>
  </si>
  <si>
    <t>Electric motors</t>
  </si>
  <si>
    <t xml:space="preserve">Pr_75_51_26_03 </t>
  </si>
  <si>
    <t>Alternating current (a.c.) squirrel cage induction motors</t>
  </si>
  <si>
    <t xml:space="preserve">Pr_75_51_26_22 </t>
  </si>
  <si>
    <t>Direct current (d.c.) permanent magnet motors</t>
  </si>
  <si>
    <t xml:space="preserve">Pr_75_51_52 </t>
  </si>
  <si>
    <t>Motor starters, variable frequency drives and contactors</t>
  </si>
  <si>
    <t>Pr_75_75</t>
  </si>
  <si>
    <t>Communications control products</t>
  </si>
  <si>
    <t>Pr_75_75_04</t>
  </si>
  <si>
    <t>Assistance and nurse call devices and control equipment</t>
  </si>
  <si>
    <t>Pr_75_75_04_01</t>
  </si>
  <si>
    <t>Assistance call indicator units</t>
  </si>
  <si>
    <t xml:space="preserve">Pr_75_75_15 </t>
  </si>
  <si>
    <t>Computers and peripherals</t>
  </si>
  <si>
    <t xml:space="preserve">Pr_75_75_27 </t>
  </si>
  <si>
    <t>Electronic access control products</t>
  </si>
  <si>
    <t>Not in new NBS</t>
  </si>
  <si>
    <t xml:space="preserve">Pr_75_75_27_01 </t>
  </si>
  <si>
    <t>Access control digital keypads – stand-alone</t>
  </si>
  <si>
    <t xml:space="preserve">Pr_75_75_27_03 </t>
  </si>
  <si>
    <t>Access control units</t>
  </si>
  <si>
    <t>Pr_75_75_27_07</t>
  </si>
  <si>
    <t>Biometric fingerprint readers</t>
  </si>
  <si>
    <t>Pr_75_75_27_08</t>
  </si>
  <si>
    <t>Biometric hand geometry readers</t>
  </si>
  <si>
    <t xml:space="preserve">Pr_75_75_27_23 </t>
  </si>
  <si>
    <t>Door status monitoring devices</t>
  </si>
  <si>
    <t xml:space="preserve">Pr_75_75_27_27 </t>
  </si>
  <si>
    <t>Emergency door release break glass units</t>
  </si>
  <si>
    <t xml:space="preserve">Pr_75_75_27_42 </t>
  </si>
  <si>
    <t>Intercom entrance panels</t>
  </si>
  <si>
    <t>Pr_75_75_27_43</t>
  </si>
  <si>
    <t>Intercom remote handsets</t>
  </si>
  <si>
    <t>Pr_75_75_27_44</t>
  </si>
  <si>
    <t>Intercom servers</t>
  </si>
  <si>
    <t xml:space="preserve">Pr_75_75_27_55 </t>
  </si>
  <si>
    <t>Multiple-technology cards</t>
  </si>
  <si>
    <t>Pr_75_75_27_57</t>
  </si>
  <si>
    <t>Multiple-technology readers</t>
  </si>
  <si>
    <t>Pr_75_75_27_67</t>
  </si>
  <si>
    <t>Proximity card readers</t>
  </si>
  <si>
    <t xml:space="preserve">Pr_75_75_27_71 </t>
  </si>
  <si>
    <t>Request-to-exit buttons</t>
  </si>
  <si>
    <t>Pr_75_75_27_72</t>
  </si>
  <si>
    <t>Request-to-exit detectors</t>
  </si>
  <si>
    <t>Pr_75_75_30</t>
  </si>
  <si>
    <t>Fire alarm detection devices and control equipment</t>
  </si>
  <si>
    <t xml:space="preserve">Pr_75_75_30_22 </t>
  </si>
  <si>
    <t>Duct smoke detectors</t>
  </si>
  <si>
    <t xml:space="preserve">Pr_75_75_30_29 </t>
  </si>
  <si>
    <t>Fire alarm panels</t>
  </si>
  <si>
    <t xml:space="preserve">Pr_75_75_30_31 </t>
  </si>
  <si>
    <t>Fire detection and alarm power supply equipment</t>
  </si>
  <si>
    <t xml:space="preserve">Pr_75_75_30_50 </t>
  </si>
  <si>
    <t>Manual call points</t>
  </si>
  <si>
    <t>Pr_75_75_30_52</t>
  </si>
  <si>
    <t>Mimic alarm panels</t>
  </si>
  <si>
    <t xml:space="preserve">Pr_75_75_30_59 </t>
  </si>
  <si>
    <t>Optical beam smoke detectors</t>
  </si>
  <si>
    <t xml:space="preserve">Pr_75_75_30_65 </t>
  </si>
  <si>
    <t>Point smoke detectors</t>
  </si>
  <si>
    <t xml:space="preserve">Pr_75_75_30_70 </t>
  </si>
  <si>
    <t>Radio-linked interface modules</t>
  </si>
  <si>
    <t xml:space="preserve">Pr_75_75_30_77 </t>
  </si>
  <si>
    <t>Short-circuit isolators</t>
  </si>
  <si>
    <t xml:space="preserve">Pr_75_75_30_81 </t>
  </si>
  <si>
    <t>Smoke and carbon monoxide multi-sensor detectors</t>
  </si>
  <si>
    <t xml:space="preserve">Pr_75_75_30_82 </t>
  </si>
  <si>
    <t>Smoke and heat multi-sensor detectors</t>
  </si>
  <si>
    <t>Pr_75_75_30_97</t>
  </si>
  <si>
    <t>Visual alarm signal devices</t>
  </si>
  <si>
    <t xml:space="preserve">Pr_75_75_42 </t>
  </si>
  <si>
    <t>Intruder detection and alarm devices and control equipment</t>
  </si>
  <si>
    <t>Pr_75_75_47</t>
  </si>
  <si>
    <t>Lift control products</t>
  </si>
  <si>
    <t xml:space="preserve">Pr_75_75_50 </t>
  </si>
  <si>
    <t>Monitoring system control products</t>
  </si>
  <si>
    <t xml:space="preserve">Pr_75_75_90 </t>
  </si>
  <si>
    <t>Transmission control products</t>
  </si>
  <si>
    <t xml:space="preserve">Pr_75_75_94 </t>
  </si>
  <si>
    <t>Voice alarm and emergency voice communication equipment</t>
  </si>
  <si>
    <t>Pr_80</t>
  </si>
  <si>
    <t>Services general products</t>
  </si>
  <si>
    <t xml:space="preserve">Pr_80_51 </t>
  </si>
  <si>
    <t>Measuring and metering products</t>
  </si>
  <si>
    <t xml:space="preserve">Pr_80_51_46 </t>
  </si>
  <si>
    <t>Liquid flowmeters</t>
  </si>
  <si>
    <t>Pr_80_51_46_27</t>
  </si>
  <si>
    <t>Electromagnetic flow meters</t>
  </si>
  <si>
    <t xml:space="preserve">Pr_80_51_46_66 </t>
  </si>
  <si>
    <t>Primary flow differential pressure flowmeters</t>
  </si>
  <si>
    <t xml:space="preserve">Pr_80_51_46_92 </t>
  </si>
  <si>
    <t>Ultrasonic flowmeters</t>
  </si>
  <si>
    <t xml:space="preserve">Pr_80_51_51 </t>
  </si>
  <si>
    <t>Metering and test products</t>
  </si>
  <si>
    <t xml:space="preserve">Pr_80_51_51_37 </t>
  </si>
  <si>
    <t>Heat meters</t>
  </si>
  <si>
    <t xml:space="preserve">Pr_80_77 </t>
  </si>
  <si>
    <t>Services support and containment products</t>
  </si>
  <si>
    <t>Pr_80_77_27</t>
  </si>
  <si>
    <t>Equipment boards, racks and supports</t>
  </si>
  <si>
    <t xml:space="preserve">Pr_80_77_28 </t>
  </si>
  <si>
    <t>Equipment enclosures, cabinets, boxes and housings</t>
  </si>
  <si>
    <t>Pr_80_77_28_60</t>
  </si>
  <si>
    <t>Padlock and key cabinets</t>
  </si>
  <si>
    <t xml:space="preserve">Pr_80_77_46 </t>
  </si>
  <si>
    <t>Lift enclosures, access and supports</t>
  </si>
  <si>
    <t>Pr_80_77_48</t>
  </si>
  <si>
    <t>Lighting columns, brackets and bollards</t>
  </si>
  <si>
    <t xml:space="preserve">Pr_80_77_76 </t>
  </si>
  <si>
    <t>Services insulation and protection products</t>
  </si>
  <si>
    <t xml:space="preserve">Pr_80_77_94 </t>
  </si>
  <si>
    <t>Vibration isolation products</t>
  </si>
  <si>
    <t xml:space="preserve">SL_20 </t>
  </si>
  <si>
    <t>Administrative, commercial and protective service spaces</t>
  </si>
  <si>
    <t xml:space="preserve">SL_20_15 </t>
  </si>
  <si>
    <t>Administrative spaces</t>
  </si>
  <si>
    <t xml:space="preserve">SL_20_15_27 </t>
  </si>
  <si>
    <t>Enclosed offices</t>
  </si>
  <si>
    <t xml:space="preserve">SL_20_15_50 </t>
  </si>
  <si>
    <t>Meeting rooms</t>
  </si>
  <si>
    <t xml:space="preserve">SL_20_15_59 </t>
  </si>
  <si>
    <t>Offices</t>
  </si>
  <si>
    <t xml:space="preserve">SL_20_15_61 </t>
  </si>
  <si>
    <t>Open-plan offices</t>
  </si>
  <si>
    <t xml:space="preserve">SL_20_15_71 </t>
  </si>
  <si>
    <t>Reception areas</t>
  </si>
  <si>
    <t xml:space="preserve">SL_20_45 </t>
  </si>
  <si>
    <t>Motor vehicle maintenance and fuelling spaces</t>
  </si>
  <si>
    <t xml:space="preserve">SL_20_45_27 </t>
  </si>
  <si>
    <t>Electric motor vehicle charging points</t>
  </si>
  <si>
    <t xml:space="preserve">SL_20_45_29 </t>
  </si>
  <si>
    <t>Fuel filling station air and water points</t>
  </si>
  <si>
    <t xml:space="preserve">SL_20_50 </t>
  </si>
  <si>
    <t>Commercial spaces</t>
  </si>
  <si>
    <t xml:space="preserve">SL_20_50_32 </t>
  </si>
  <si>
    <t>Food and drink outlets</t>
  </si>
  <si>
    <t xml:space="preserve">SL_20_50_72 </t>
  </si>
  <si>
    <t>Retail kiosks</t>
  </si>
  <si>
    <t xml:space="preserve">SL_20_50_85 </t>
  </si>
  <si>
    <t>Supermarket shop floors</t>
  </si>
  <si>
    <t xml:space="preserve">SL_20_55 </t>
  </si>
  <si>
    <t>Postal communications spaces</t>
  </si>
  <si>
    <t xml:space="preserve">SL_20_55_45 </t>
  </si>
  <si>
    <t>Letter sorting offices</t>
  </si>
  <si>
    <t xml:space="preserve">SL_20_55_50 </t>
  </si>
  <si>
    <t>Mail order sorting and despatch facilities</t>
  </si>
  <si>
    <t xml:space="preserve">SL_20_55_60 </t>
  </si>
  <si>
    <t>Parcel sorting offices</t>
  </si>
  <si>
    <t xml:space="preserve">SL_20_55_65 </t>
  </si>
  <si>
    <t>Post rooms</t>
  </si>
  <si>
    <t xml:space="preserve">SL_20_65 </t>
  </si>
  <si>
    <t>Law enforcement spaces</t>
  </si>
  <si>
    <t xml:space="preserve">SL_20_65_15 </t>
  </si>
  <si>
    <t>Command and control spaces</t>
  </si>
  <si>
    <t>SL_20_65_42</t>
  </si>
  <si>
    <t>Interview rooms</t>
  </si>
  <si>
    <t xml:space="preserve">SL_20_85 </t>
  </si>
  <si>
    <t>Security spaces</t>
  </si>
  <si>
    <t xml:space="preserve">SL_20_85_63 </t>
  </si>
  <si>
    <t>Pedestrian security check points</t>
  </si>
  <si>
    <t xml:space="preserve">SL_20_85_75 </t>
  </si>
  <si>
    <t>Security control spaces</t>
  </si>
  <si>
    <t xml:space="preserve">SL_20_85_80 </t>
  </si>
  <si>
    <t>Security offices</t>
  </si>
  <si>
    <t xml:space="preserve">SL_20_90 </t>
  </si>
  <si>
    <t>Incident support spaces</t>
  </si>
  <si>
    <t xml:space="preserve">SL_20_90_25 </t>
  </si>
  <si>
    <t>Escape stairs</t>
  </si>
  <si>
    <t xml:space="preserve">SL_20_90_28 </t>
  </si>
  <si>
    <t>Firefighting stairs</t>
  </si>
  <si>
    <t xml:space="preserve">SL_20_90_30 </t>
  </si>
  <si>
    <t>Fire refuge spaces</t>
  </si>
  <si>
    <t xml:space="preserve">SL_20_90_60 </t>
  </si>
  <si>
    <t>Protected escape corridors</t>
  </si>
  <si>
    <t xml:space="preserve">SL_20_95 </t>
  </si>
  <si>
    <t>Protected zones</t>
  </si>
  <si>
    <t>SL_20_95_20</t>
  </si>
  <si>
    <t>Detection zones</t>
  </si>
  <si>
    <t>SL_20_95_28</t>
  </si>
  <si>
    <t>Evacuation zones</t>
  </si>
  <si>
    <t>SL_20_95_30</t>
  </si>
  <si>
    <t>Fire compartments</t>
  </si>
  <si>
    <t xml:space="preserve">SL_20_95_32 </t>
  </si>
  <si>
    <t>Fire suppression zones</t>
  </si>
  <si>
    <t>SL_20_95_80</t>
  </si>
  <si>
    <t>Smoke control zones</t>
  </si>
  <si>
    <t xml:space="preserve">SL_25 </t>
  </si>
  <si>
    <t>Cultural, educational, scientific and information spaces</t>
  </si>
  <si>
    <t xml:space="preserve">SL_25_90 </t>
  </si>
  <si>
    <t>Worship spaces</t>
  </si>
  <si>
    <t xml:space="preserve">SL_25_90_30 </t>
  </si>
  <si>
    <t>Faith spaces</t>
  </si>
  <si>
    <t>SL_25_90_65</t>
  </si>
  <si>
    <t>Prayer rooms</t>
  </si>
  <si>
    <t xml:space="preserve">SL_30 </t>
  </si>
  <si>
    <t>Industrial spaces</t>
  </si>
  <si>
    <t xml:space="preserve">SL_30_50 </t>
  </si>
  <si>
    <t>Manufacturing spaces</t>
  </si>
  <si>
    <t xml:space="preserve">SL_30_50_30 </t>
  </si>
  <si>
    <t>Heavy industrial spaces</t>
  </si>
  <si>
    <t xml:space="preserve">SL_30_60 </t>
  </si>
  <si>
    <t>Cleaning and maintenance spaces</t>
  </si>
  <si>
    <t>SL_30_60_11</t>
  </si>
  <si>
    <t>Caretaker rooms</t>
  </si>
  <si>
    <t xml:space="preserve">SL_30_60_50 </t>
  </si>
  <si>
    <t>Maintenance Workshops</t>
  </si>
  <si>
    <t>SL_30_60_94</t>
  </si>
  <si>
    <t>Vehicle washes</t>
  </si>
  <si>
    <t xml:space="preserve">SL_30_60_96 </t>
  </si>
  <si>
    <t>Wash up spaces</t>
  </si>
  <si>
    <t xml:space="preserve">SL_30_90 </t>
  </si>
  <si>
    <t>Warehousing and distribution spaces</t>
  </si>
  <si>
    <t>SL_30_90_33</t>
  </si>
  <si>
    <t>Goods delivery bays</t>
  </si>
  <si>
    <t xml:space="preserve">SL_30_90_48 </t>
  </si>
  <si>
    <t>Loading docks</t>
  </si>
  <si>
    <t xml:space="preserve">SL_35 </t>
  </si>
  <si>
    <t>Medical, health, welfare and sanitary spaces</t>
  </si>
  <si>
    <t xml:space="preserve">SL_35_10 </t>
  </si>
  <si>
    <t>Medical spaces</t>
  </si>
  <si>
    <t xml:space="preserve">SL_35_10_30 </t>
  </si>
  <si>
    <t>First aid posts</t>
  </si>
  <si>
    <t xml:space="preserve">SL_35_10_31 </t>
  </si>
  <si>
    <t>First aid rooms</t>
  </si>
  <si>
    <t xml:space="preserve">SL_35_50 </t>
  </si>
  <si>
    <t>Welfare spaces</t>
  </si>
  <si>
    <t xml:space="preserve">SL_35_50_60 </t>
  </si>
  <si>
    <t>Parent and baby rooms</t>
  </si>
  <si>
    <t xml:space="preserve">SL_35_60 </t>
  </si>
  <si>
    <t>Food management spaces</t>
  </si>
  <si>
    <t xml:space="preserve">SL_35_60_16 </t>
  </si>
  <si>
    <t>Cooking spaces</t>
  </si>
  <si>
    <t xml:space="preserve">SL_35_60_30 </t>
  </si>
  <si>
    <t>Food preparation areas</t>
  </si>
  <si>
    <t xml:space="preserve">SL_35_60_56 </t>
  </si>
  <si>
    <t>Non-domestic kitchens</t>
  </si>
  <si>
    <t xml:space="preserve">SL_35_80 </t>
  </si>
  <si>
    <t>Sanitary spaces</t>
  </si>
  <si>
    <t xml:space="preserve">SL_35_80_06 </t>
  </si>
  <si>
    <t>Baby changing rooms</t>
  </si>
  <si>
    <t xml:space="preserve">SL_35_80_08 </t>
  </si>
  <si>
    <t>Bathrooms</t>
  </si>
  <si>
    <t xml:space="preserve">SL_35_80_68 </t>
  </si>
  <si>
    <t>Public toilets</t>
  </si>
  <si>
    <t xml:space="preserve">SL_35_80_80 </t>
  </si>
  <si>
    <t>Showers</t>
  </si>
  <si>
    <t xml:space="preserve">SL_35_80_89 </t>
  </si>
  <si>
    <t>Toilets</t>
  </si>
  <si>
    <t xml:space="preserve">SL_35_85 </t>
  </si>
  <si>
    <t>Animal Spaces</t>
  </si>
  <si>
    <t xml:space="preserve">SL_40 </t>
  </si>
  <si>
    <t>Recreational spaces</t>
  </si>
  <si>
    <t xml:space="preserve">SL_40_05 </t>
  </si>
  <si>
    <t>Amusement spaces</t>
  </si>
  <si>
    <t xml:space="preserve">SL_40_05_03 </t>
  </si>
  <si>
    <t>Amusement arcades</t>
  </si>
  <si>
    <t xml:space="preserve">SL_40_05_43 </t>
  </si>
  <si>
    <t>Indoor play spaces</t>
  </si>
  <si>
    <t xml:space="preserve">SL_40_05_61 </t>
  </si>
  <si>
    <t>Outdoor playgrounds</t>
  </si>
  <si>
    <t xml:space="preserve">SL_40_05_68 </t>
  </si>
  <si>
    <t>Public parks and gardens</t>
  </si>
  <si>
    <t xml:space="preserve">SL_40_20 </t>
  </si>
  <si>
    <t>Dining spaces</t>
  </si>
  <si>
    <t xml:space="preserve">SL_40_20_06 </t>
  </si>
  <si>
    <t>Bars</t>
  </si>
  <si>
    <t xml:space="preserve">SL_40_20_09 </t>
  </si>
  <si>
    <t>Beverage stations</t>
  </si>
  <si>
    <t xml:space="preserve">SL_40_20_27 </t>
  </si>
  <si>
    <t>Enclosed dining areas</t>
  </si>
  <si>
    <t xml:space="preserve">SL_40_20_28 </t>
  </si>
  <si>
    <t>Food courts</t>
  </si>
  <si>
    <t xml:space="preserve">SL_40_20_59 </t>
  </si>
  <si>
    <t>Outdoor dining areas</t>
  </si>
  <si>
    <t xml:space="preserve">SL_45 </t>
  </si>
  <si>
    <t>Residential Spaces</t>
  </si>
  <si>
    <t xml:space="preserve">SL_45_10 </t>
  </si>
  <si>
    <t>Living spaces</t>
  </si>
  <si>
    <t xml:space="preserve">SL_45_10_93 </t>
  </si>
  <si>
    <t>Utility rooms</t>
  </si>
  <si>
    <t xml:space="preserve">SL_50 </t>
  </si>
  <si>
    <t>Waste disposal spaces and locations</t>
  </si>
  <si>
    <t xml:space="preserve">SL_50_20 </t>
  </si>
  <si>
    <t>Wet waste collection spaces</t>
  </si>
  <si>
    <t xml:space="preserve">SL_50_20_10 </t>
  </si>
  <si>
    <t xml:space="preserve">SL_50_30 </t>
  </si>
  <si>
    <t>Drainage collection spaces</t>
  </si>
  <si>
    <t xml:space="preserve">SL_50_35 </t>
  </si>
  <si>
    <t>Drainage collection locations</t>
  </si>
  <si>
    <t xml:space="preserve">SL_50_40 </t>
  </si>
  <si>
    <t>Dry waste collection spaces</t>
  </si>
  <si>
    <t xml:space="preserve">SL_50_40_72 </t>
  </si>
  <si>
    <t>Refuse storage space</t>
  </si>
  <si>
    <t xml:space="preserve">SL_50_70 </t>
  </si>
  <si>
    <t>Drainage treatment and disposal spaces</t>
  </si>
  <si>
    <t xml:space="preserve">SL_50_75 </t>
  </si>
  <si>
    <t>Wastewater treatment and disposal spaces</t>
  </si>
  <si>
    <t xml:space="preserve">SL_50_75_40 </t>
  </si>
  <si>
    <t>Wastewater treatment spaces</t>
  </si>
  <si>
    <t xml:space="preserve">SL_50_75_70 </t>
  </si>
  <si>
    <t>Wastewater disposal spaces</t>
  </si>
  <si>
    <t xml:space="preserve">SL_50_80 </t>
  </si>
  <si>
    <t>Dry waste treatment and disposal spaces</t>
  </si>
  <si>
    <t xml:space="preserve">SL_50_80_40 </t>
  </si>
  <si>
    <t>Dry waste treatment spaces</t>
  </si>
  <si>
    <t xml:space="preserve">SL_50_80_70 </t>
  </si>
  <si>
    <t>Dry waste disposal spaces</t>
  </si>
  <si>
    <t xml:space="preserve">SL_55 </t>
  </si>
  <si>
    <t>Piped supply spaces</t>
  </si>
  <si>
    <t xml:space="preserve">SL_55_15 </t>
  </si>
  <si>
    <t>Water extraction and treatment spaces</t>
  </si>
  <si>
    <t xml:space="preserve">SL_55_15_50 </t>
  </si>
  <si>
    <t>Water treatment spaces</t>
  </si>
  <si>
    <t>SL_55_20</t>
  </si>
  <si>
    <t>Gas supply spaces</t>
  </si>
  <si>
    <t>SL_55_20_34</t>
  </si>
  <si>
    <t>Gas storage spaces</t>
  </si>
  <si>
    <t>SL_55_20_65</t>
  </si>
  <si>
    <t>Service gas supply pipes</t>
  </si>
  <si>
    <t xml:space="preserve">SL_55_30 </t>
  </si>
  <si>
    <t>Fire extinguishing supply spaces</t>
  </si>
  <si>
    <t>SL_55_40</t>
  </si>
  <si>
    <t>Steam supply spaces</t>
  </si>
  <si>
    <t xml:space="preserve">SL_55_50 </t>
  </si>
  <si>
    <t>Liquid fuel supply spaces</t>
  </si>
  <si>
    <t>SL_55_60</t>
  </si>
  <si>
    <t>Process liquid supply spaces</t>
  </si>
  <si>
    <t xml:space="preserve">SL_55_65 </t>
  </si>
  <si>
    <t>Ventilation and air conditioning spaces</t>
  </si>
  <si>
    <t xml:space="preserve">SL_55_70 </t>
  </si>
  <si>
    <t>Water supply spaces</t>
  </si>
  <si>
    <t>SL_55_70_65</t>
  </si>
  <si>
    <t>Private water supply pipes</t>
  </si>
  <si>
    <t xml:space="preserve">SL_60 </t>
  </si>
  <si>
    <t>Heating, cooling and refrigeration spaces</t>
  </si>
  <si>
    <t>SL_60_30</t>
  </si>
  <si>
    <t>Rail and paving heating spaces</t>
  </si>
  <si>
    <t xml:space="preserve">SL_60_40 </t>
  </si>
  <si>
    <t>Space heating and cooling spaces</t>
  </si>
  <si>
    <t>SL_60_60</t>
  </si>
  <si>
    <t>Refrigeration spaces</t>
  </si>
  <si>
    <t xml:space="preserve">SL_60_80 </t>
  </si>
  <si>
    <t>Drying spaces</t>
  </si>
  <si>
    <t xml:space="preserve">SL_60_80_25 </t>
  </si>
  <si>
    <t>Drying rooms</t>
  </si>
  <si>
    <t xml:space="preserve">SL_70 </t>
  </si>
  <si>
    <t>Electrical power generation and lighting spaces</t>
  </si>
  <si>
    <t xml:space="preserve">SL_70_10 </t>
  </si>
  <si>
    <t>Electrical Power Generation Spaces</t>
  </si>
  <si>
    <t xml:space="preserve">SL_70_30 </t>
  </si>
  <si>
    <t>Electricity distribution and transmission spaces</t>
  </si>
  <si>
    <t xml:space="preserve">SL_70_30_35 </t>
  </si>
  <si>
    <t>High-voltage electricity substation chambers</t>
  </si>
  <si>
    <t xml:space="preserve">SL_70_30_45 </t>
  </si>
  <si>
    <t>Low-voltage electricity substation chambers</t>
  </si>
  <si>
    <t xml:space="preserve">SL_75 </t>
  </si>
  <si>
    <t>Communications, security, safety and protection spaces</t>
  </si>
  <si>
    <t xml:space="preserve">SL_75_10 </t>
  </si>
  <si>
    <t>Communications spaces</t>
  </si>
  <si>
    <t xml:space="preserve">SL_75_10_21 </t>
  </si>
  <si>
    <t>Communications equipment rooms</t>
  </si>
  <si>
    <t xml:space="preserve">SL_75_10_23 </t>
  </si>
  <si>
    <t>Digital data transmission networks</t>
  </si>
  <si>
    <t xml:space="preserve">SL_75_10_70 </t>
  </si>
  <si>
    <t>Radio broadcast control booths</t>
  </si>
  <si>
    <t>SL_75_10_73</t>
  </si>
  <si>
    <t>Radio studios</t>
  </si>
  <si>
    <t xml:space="preserve">SL_75_10_88 </t>
  </si>
  <si>
    <t>Telecommunications control spaces</t>
  </si>
  <si>
    <t>SL_75_10_89</t>
  </si>
  <si>
    <t>Telephone boxes and booths</t>
  </si>
  <si>
    <t xml:space="preserve">SL_75_10_90 </t>
  </si>
  <si>
    <t>Telephone exchange spaces</t>
  </si>
  <si>
    <t xml:space="preserve">SL_75_30 </t>
  </si>
  <si>
    <t>Signalling spaces</t>
  </si>
  <si>
    <t xml:space="preserve">SL_75_30_80 </t>
  </si>
  <si>
    <t>Signal boxes</t>
  </si>
  <si>
    <t xml:space="preserve">SL_75_40 </t>
  </si>
  <si>
    <t>Electronic security spaces</t>
  </si>
  <si>
    <t xml:space="preserve">SL_75_40_28 </t>
  </si>
  <si>
    <t>Electronic security control rooms</t>
  </si>
  <si>
    <t xml:space="preserve">SL_75_50 </t>
  </si>
  <si>
    <t>Safety and protection spaces</t>
  </si>
  <si>
    <t>SL_75_60</t>
  </si>
  <si>
    <t>Environmental safety</t>
  </si>
  <si>
    <t xml:space="preserve">SL_75_70 </t>
  </si>
  <si>
    <t>Control and management spaces</t>
  </si>
  <si>
    <t xml:space="preserve">SL_75_80 </t>
  </si>
  <si>
    <t>Protection spaces</t>
  </si>
  <si>
    <t xml:space="preserve">SL_80 </t>
  </si>
  <si>
    <t>Transport spaces</t>
  </si>
  <si>
    <t xml:space="preserve">SL_80_10 </t>
  </si>
  <si>
    <t>Loading and embarkation spaces</t>
  </si>
  <si>
    <t>SL_80_10_10</t>
  </si>
  <si>
    <t>Bus stops</t>
  </si>
  <si>
    <t xml:space="preserve">SL_80_10_16 </t>
  </si>
  <si>
    <t>Concourses</t>
  </si>
  <si>
    <t xml:space="preserve">SL_80_10_55 </t>
  </si>
  <si>
    <t>Passenger Gates</t>
  </si>
  <si>
    <t xml:space="preserve">SL_80_20 </t>
  </si>
  <si>
    <t>Cableways</t>
  </si>
  <si>
    <t xml:space="preserve">SL_80_20_13 </t>
  </si>
  <si>
    <t xml:space="preserve">SL_80_35 </t>
  </si>
  <si>
    <t>Road spaces</t>
  </si>
  <si>
    <t xml:space="preserve">SL_80_35_08 </t>
  </si>
  <si>
    <t>Bus manoeuvring areas</t>
  </si>
  <si>
    <t xml:space="preserve">SL_80_35_11 </t>
  </si>
  <si>
    <t>Car manoeuvring areas</t>
  </si>
  <si>
    <t>SL_80_35_46</t>
  </si>
  <si>
    <t>Lay-bys and passing places</t>
  </si>
  <si>
    <t xml:space="preserve">SL_80_35_71 </t>
  </si>
  <si>
    <t>Refuge Areas</t>
  </si>
  <si>
    <t xml:space="preserve">SL_80_35_87 </t>
  </si>
  <si>
    <t>Taxi ranks</t>
  </si>
  <si>
    <t xml:space="preserve">SL_80_45 </t>
  </si>
  <si>
    <t>Highway storage and maintenance spaces</t>
  </si>
  <si>
    <t xml:space="preserve">SL_80_45_09 </t>
  </si>
  <si>
    <t>Bus standing spaces</t>
  </si>
  <si>
    <t xml:space="preserve">SL_80_45_13 </t>
  </si>
  <si>
    <t>Car park ramps</t>
  </si>
  <si>
    <t xml:space="preserve">SL_80_45_15 </t>
  </si>
  <si>
    <t>Cycle parking spaces</t>
  </si>
  <si>
    <t xml:space="preserve">SL_80_45_40 </t>
  </si>
  <si>
    <t>Indoor vehicle parking spaces</t>
  </si>
  <si>
    <t xml:space="preserve">SL_80_45_59 </t>
  </si>
  <si>
    <t>Outdoor vehicle parking spaces</t>
  </si>
  <si>
    <t xml:space="preserve">SL_80_50 </t>
  </si>
  <si>
    <t>Railway Spaces</t>
  </si>
  <si>
    <t>SL_80_50_11</t>
  </si>
  <si>
    <t>Carriage cleaning spaces</t>
  </si>
  <si>
    <t xml:space="preserve">SL_80_50_24 </t>
  </si>
  <si>
    <t>Double Sided Platforms</t>
  </si>
  <si>
    <t>SL_80_50_26</t>
  </si>
  <si>
    <t>Engine fuelling areas</t>
  </si>
  <si>
    <t>SL_80_50_27</t>
  </si>
  <si>
    <t>Engine inspection pits</t>
  </si>
  <si>
    <t>SL_80_50_28</t>
  </si>
  <si>
    <t>Engine servicing areas</t>
  </si>
  <si>
    <t>SL_80_50_29</t>
  </si>
  <si>
    <t>Engine wash areas</t>
  </si>
  <si>
    <t>SL_80_50_47</t>
  </si>
  <si>
    <t>Light rail stops</t>
  </si>
  <si>
    <t>SL_80_50_50</t>
  </si>
  <si>
    <t>Marshalling yards</t>
  </si>
  <si>
    <t xml:space="preserve">SL_80_50_58 </t>
  </si>
  <si>
    <t>Railway overpasses</t>
  </si>
  <si>
    <t>SL_80_50_70</t>
  </si>
  <si>
    <t>Rail repair spaces</t>
  </si>
  <si>
    <t>SL_80_50_71</t>
  </si>
  <si>
    <t>Railway side reservations</t>
  </si>
  <si>
    <t>SL_80_50_72</t>
  </si>
  <si>
    <t>Railway lines</t>
  </si>
  <si>
    <t>SL_80_50_74</t>
  </si>
  <si>
    <t>Railway sections</t>
  </si>
  <si>
    <t>SL_80_50_77</t>
  </si>
  <si>
    <t>Railway signal control spaces</t>
  </si>
  <si>
    <t xml:space="preserve">SL_80_50_79 </t>
  </si>
  <si>
    <t>Signalling equipment room</t>
  </si>
  <si>
    <t xml:space="preserve">SL_80_50_80 </t>
  </si>
  <si>
    <t>Single sided platforms</t>
  </si>
  <si>
    <t>SL_80_50_85</t>
  </si>
  <si>
    <t>Stabling yards</t>
  </si>
  <si>
    <t>SL_80_50_88</t>
  </si>
  <si>
    <t>Track paralleling huts</t>
  </si>
  <si>
    <t>SL_80_50_90</t>
  </si>
  <si>
    <t>Train stops</t>
  </si>
  <si>
    <t xml:space="preserve">SL_80_50_92 </t>
  </si>
  <si>
    <t>Railway Underpasses</t>
  </si>
  <si>
    <t>SL_80_50_97</t>
  </si>
  <si>
    <t>Wagon maintenance spaces</t>
  </si>
  <si>
    <t xml:space="preserve">SL_80_60 </t>
  </si>
  <si>
    <t>Rail maintenance spaces</t>
  </si>
  <si>
    <t xml:space="preserve">SL_80_60_11 </t>
  </si>
  <si>
    <t xml:space="preserve">SL_80_60_26 </t>
  </si>
  <si>
    <t xml:space="preserve">SL_80_60_27 </t>
  </si>
  <si>
    <t xml:space="preserve">SL_80_60_28 </t>
  </si>
  <si>
    <t xml:space="preserve">SL_80_60_29 </t>
  </si>
  <si>
    <t xml:space="preserve">SL_80_60_70 </t>
  </si>
  <si>
    <t xml:space="preserve">SL_80_90 </t>
  </si>
  <si>
    <t>Transport Hubs</t>
  </si>
  <si>
    <t xml:space="preserve">SL_80_96 </t>
  </si>
  <si>
    <t>Tunnel and shaft spaces</t>
  </si>
  <si>
    <t>SL_80_96_15</t>
  </si>
  <si>
    <t>Concourse tunnels</t>
  </si>
  <si>
    <t>SL_80_96_18</t>
  </si>
  <si>
    <t>Crossover tunnels</t>
  </si>
  <si>
    <t>SL_80_96_64</t>
  </si>
  <si>
    <t>Platform tunnels</t>
  </si>
  <si>
    <t xml:space="preserve">SL_80_98 </t>
  </si>
  <si>
    <t>Transport kinematic envelopes</t>
  </si>
  <si>
    <t xml:space="preserve">SL_80_98_01 </t>
  </si>
  <si>
    <t>Access spaces</t>
  </si>
  <si>
    <t xml:space="preserve">SL_90 </t>
  </si>
  <si>
    <t>Circulation and storage spaces</t>
  </si>
  <si>
    <t xml:space="preserve">SL_90_10 </t>
  </si>
  <si>
    <t>Circulation spaces</t>
  </si>
  <si>
    <t xml:space="preserve">SL_90_10_15 </t>
  </si>
  <si>
    <t>Corridors</t>
  </si>
  <si>
    <t xml:space="preserve">SL_90_10_16 </t>
  </si>
  <si>
    <t>Covered walkways and internal bridges</t>
  </si>
  <si>
    <t xml:space="preserve">SL_90_10_24 </t>
  </si>
  <si>
    <t>Drop-off and collection areas</t>
  </si>
  <si>
    <t>SL_90_10_27</t>
  </si>
  <si>
    <t>Entrance halls</t>
  </si>
  <si>
    <t xml:space="preserve">SL_90_10_28 </t>
  </si>
  <si>
    <t>Escalators and travellators</t>
  </si>
  <si>
    <t xml:space="preserve">SL_90_10_30 </t>
  </si>
  <si>
    <t>Fire stairways</t>
  </si>
  <si>
    <t xml:space="preserve">SL_90_10_36 </t>
  </si>
  <si>
    <t>Hallways</t>
  </si>
  <si>
    <t xml:space="preserve">SL_90_10_46 </t>
  </si>
  <si>
    <t>Landings</t>
  </si>
  <si>
    <t xml:space="preserve">SL_90_10_47 </t>
  </si>
  <si>
    <t>Lift cars</t>
  </si>
  <si>
    <t xml:space="preserve">SL_90_10_51 </t>
  </si>
  <si>
    <t>Lobbies</t>
  </si>
  <si>
    <t xml:space="preserve">SL_90_10_64 </t>
  </si>
  <si>
    <t>Porches</t>
  </si>
  <si>
    <t xml:space="preserve">SL_90_10_68 </t>
  </si>
  <si>
    <t>Public squares</t>
  </si>
  <si>
    <t xml:space="preserve">SL_90_10_71 </t>
  </si>
  <si>
    <t>Retail circulation spaces</t>
  </si>
  <si>
    <t xml:space="preserve">SL_90_10_77 </t>
  </si>
  <si>
    <t>Shelters</t>
  </si>
  <si>
    <t xml:space="preserve">SL_90_10_87 </t>
  </si>
  <si>
    <t>Stairways</t>
  </si>
  <si>
    <t xml:space="preserve">SL_90_10_94 </t>
  </si>
  <si>
    <t>Vestibules</t>
  </si>
  <si>
    <t xml:space="preserve">SL_90_10_95 </t>
  </si>
  <si>
    <t>Walkways</t>
  </si>
  <si>
    <t xml:space="preserve">SL_90_10_96 </t>
  </si>
  <si>
    <t>Wheelchair circulation spaces</t>
  </si>
  <si>
    <t xml:space="preserve">SL_90_20 </t>
  </si>
  <si>
    <t>Common spaces</t>
  </si>
  <si>
    <t xml:space="preserve">SL_90_20_01 </t>
  </si>
  <si>
    <t>Accident and emergency waiting rooms</t>
  </si>
  <si>
    <t>SL_90_20_02</t>
  </si>
  <si>
    <t>Air spaces</t>
  </si>
  <si>
    <t xml:space="preserve">SL_90_20_08 </t>
  </si>
  <si>
    <t>Breakout spaces</t>
  </si>
  <si>
    <t xml:space="preserve">SL_90_20_13 </t>
  </si>
  <si>
    <t>Changing rooms</t>
  </si>
  <si>
    <t>SL_90_20_14</t>
  </si>
  <si>
    <t>Cloakrooms</t>
  </si>
  <si>
    <t xml:space="preserve">SL_90_20_16 </t>
  </si>
  <si>
    <t>Customer service counter areas</t>
  </si>
  <si>
    <t xml:space="preserve">SL_90_20_69 </t>
  </si>
  <si>
    <t>Queuing areas</t>
  </si>
  <si>
    <t xml:space="preserve">SL_90_20_89 </t>
  </si>
  <si>
    <t>Ticket offices</t>
  </si>
  <si>
    <t xml:space="preserve">SL_90_20_96 </t>
  </si>
  <si>
    <t>Waiting rooms</t>
  </si>
  <si>
    <t>SL_90_30</t>
  </si>
  <si>
    <t>Construction voids</t>
  </si>
  <si>
    <t>SL_90_30_25</t>
  </si>
  <si>
    <t>Excavation volumes</t>
  </si>
  <si>
    <t>SL_90_30_30</t>
  </si>
  <si>
    <t>Finishes allowances</t>
  </si>
  <si>
    <t>SL_90_30_80</t>
  </si>
  <si>
    <t>Space proofing envelopes</t>
  </si>
  <si>
    <t>SL_90_30_90</t>
  </si>
  <si>
    <t>Tolerance zones</t>
  </si>
  <si>
    <t xml:space="preserve">SL_90_40 </t>
  </si>
  <si>
    <t>General levels</t>
  </si>
  <si>
    <t xml:space="preserve">SL_90_40_46 </t>
  </si>
  <si>
    <t>Levels</t>
  </si>
  <si>
    <t xml:space="preserve">SL_90_50 </t>
  </si>
  <si>
    <t>Storage spaces</t>
  </si>
  <si>
    <t xml:space="preserve">SL_90_50_06 </t>
  </si>
  <si>
    <t>Baggage storage areas</t>
  </si>
  <si>
    <t xml:space="preserve">SL_90_50_07 </t>
  </si>
  <si>
    <t>Battery stores</t>
  </si>
  <si>
    <t>SL_90_50_15</t>
  </si>
  <si>
    <t>Cold stores</t>
  </si>
  <si>
    <t xml:space="preserve">SL_90_50_17 </t>
  </si>
  <si>
    <t>Cycle storage spaces</t>
  </si>
  <si>
    <t xml:space="preserve">SL_90_50_24 </t>
  </si>
  <si>
    <t>Dry waste storage spaces</t>
  </si>
  <si>
    <t xml:space="preserve">SL_90_50_26 </t>
  </si>
  <si>
    <t>Effluent tanks</t>
  </si>
  <si>
    <t xml:space="preserve">SL_90_50_27 </t>
  </si>
  <si>
    <t>Equipment stores</t>
  </si>
  <si>
    <t>SL_90_50_31</t>
  </si>
  <si>
    <t>Flammable chemical stores</t>
  </si>
  <si>
    <t xml:space="preserve">SL_90_50_32 </t>
  </si>
  <si>
    <t>Fuel storage areas</t>
  </si>
  <si>
    <t xml:space="preserve">SL_90_50_35 </t>
  </si>
  <si>
    <t>General storerooms</t>
  </si>
  <si>
    <t xml:space="preserve">SL_90_50_36 </t>
  </si>
  <si>
    <t>Goods stores</t>
  </si>
  <si>
    <t xml:space="preserve">SL_90_50_38 </t>
  </si>
  <si>
    <t>Hazardous waste storage spaces</t>
  </si>
  <si>
    <t xml:space="preserve">SL_90_50_44 </t>
  </si>
  <si>
    <t>Janitor stores</t>
  </si>
  <si>
    <t xml:space="preserve">SL_90_50_46 </t>
  </si>
  <si>
    <t>Larders and pantries</t>
  </si>
  <si>
    <t xml:space="preserve">SL_90_50_47 </t>
  </si>
  <si>
    <t>Left luggage stores</t>
  </si>
  <si>
    <t xml:space="preserve">SL_90_50_48 </t>
  </si>
  <si>
    <t>Locker rooms</t>
  </si>
  <si>
    <t xml:space="preserve">SL_90_50_77 </t>
  </si>
  <si>
    <t>Secure storerooms</t>
  </si>
  <si>
    <t>SL_90_50_80</t>
  </si>
  <si>
    <t>Solid fuel storerooms</t>
  </si>
  <si>
    <t xml:space="preserve">SL_90_50_84 </t>
  </si>
  <si>
    <t>Storage rooms</t>
  </si>
  <si>
    <t xml:space="preserve">SL_90_50_97 </t>
  </si>
  <si>
    <t>Wet waste storage spaces</t>
  </si>
  <si>
    <t xml:space="preserve">SL_90_60 </t>
  </si>
  <si>
    <t>Unoccupied voids</t>
  </si>
  <si>
    <t xml:space="preserve">SL_90_60_01 </t>
  </si>
  <si>
    <t xml:space="preserve">SL_90_60_02 </t>
  </si>
  <si>
    <t>Air shafts</t>
  </si>
  <si>
    <t xml:space="preserve">SL_90_60_10 </t>
  </si>
  <si>
    <t>Cavities</t>
  </si>
  <si>
    <t xml:space="preserve">SL_90_60_13 </t>
  </si>
  <si>
    <t>Chutes</t>
  </si>
  <si>
    <t xml:space="preserve">SL_90_60_18 </t>
  </si>
  <si>
    <t>Crawl spaces</t>
  </si>
  <si>
    <t xml:space="preserve">SL_90_60_49 </t>
  </si>
  <si>
    <t>Lift pits</t>
  </si>
  <si>
    <t xml:space="preserve">SL_90_60_50 </t>
  </si>
  <si>
    <t>Lift shafts</t>
  </si>
  <si>
    <t xml:space="preserve">SL_90_60_51 </t>
  </si>
  <si>
    <t>Light wells</t>
  </si>
  <si>
    <t>SL_90_60_64</t>
  </si>
  <si>
    <t>Platform voids</t>
  </si>
  <si>
    <t xml:space="preserve">SL_90_60_72 </t>
  </si>
  <si>
    <t>Roof surface spaces</t>
  </si>
  <si>
    <t xml:space="preserve">SL_90_60_74 </t>
  </si>
  <si>
    <t>Roof voids</t>
  </si>
  <si>
    <t xml:space="preserve">SL_90_90 </t>
  </si>
  <si>
    <t>Plant and control spaces</t>
  </si>
  <si>
    <t xml:space="preserve">SL_90_90_01 </t>
  </si>
  <si>
    <t>Access floor voids</t>
  </si>
  <si>
    <t xml:space="preserve">SL_90_90_08 </t>
  </si>
  <si>
    <t>Boiler rooms</t>
  </si>
  <si>
    <t xml:space="preserve">SL_90_90_13 </t>
  </si>
  <si>
    <t>Ceiling voids</t>
  </si>
  <si>
    <t xml:space="preserve">SL_90_90_15 </t>
  </si>
  <si>
    <t>Control rooms</t>
  </si>
  <si>
    <t xml:space="preserve">SL_90_90_48 </t>
  </si>
  <si>
    <t>Lift machine rooms</t>
  </si>
  <si>
    <t xml:space="preserve">SL_90_90_64 </t>
  </si>
  <si>
    <t>Plant rooms</t>
  </si>
  <si>
    <t xml:space="preserve">SL_90_90_77 </t>
  </si>
  <si>
    <t>Server rooms</t>
  </si>
  <si>
    <t xml:space="preserve">SL_90_90_78 </t>
  </si>
  <si>
    <t>Services shafts</t>
  </si>
  <si>
    <t xml:space="preserve">SL_90_90_85 </t>
  </si>
  <si>
    <t>Switch rooms</t>
  </si>
  <si>
    <t xml:space="preserve">SL_90_90_87 </t>
  </si>
  <si>
    <t>Tank rooms</t>
  </si>
  <si>
    <t xml:space="preserve">SL_90_90_90 </t>
  </si>
  <si>
    <t>Transformer rooms</t>
  </si>
  <si>
    <t xml:space="preserve">SL_90_90_96 </t>
  </si>
  <si>
    <t>Wall services voids</t>
  </si>
  <si>
    <t xml:space="preserve">Ss_15 </t>
  </si>
  <si>
    <t>Earthworks, remediation and temporary systems</t>
  </si>
  <si>
    <t xml:space="preserve">Ss_15_10 </t>
  </si>
  <si>
    <t>Groundworks and earthworks systems</t>
  </si>
  <si>
    <t xml:space="preserve">Ss_15_10_80 </t>
  </si>
  <si>
    <t>Stabilization systems</t>
  </si>
  <si>
    <t xml:space="preserve">Ss_15_10_80_80 </t>
  </si>
  <si>
    <t>Soil nailing systems</t>
  </si>
  <si>
    <t>Ss_15_30</t>
  </si>
  <si>
    <t>Remediation, repair and renovation systems</t>
  </si>
  <si>
    <t xml:space="preserve">Ss_15_30_17 </t>
  </si>
  <si>
    <t>Concrete repair and renovation systems</t>
  </si>
  <si>
    <t xml:space="preserve">Ss_15_30_17_14 </t>
  </si>
  <si>
    <t>Concrete mortar or overlay systems</t>
  </si>
  <si>
    <t xml:space="preserve">Ss_15_30_17_16 </t>
  </si>
  <si>
    <t>Concrete protective coating systems</t>
  </si>
  <si>
    <t xml:space="preserve">Ss_15_95 </t>
  </si>
  <si>
    <t>Temporary works systems</t>
  </si>
  <si>
    <t>Ss_15_95_20</t>
  </si>
  <si>
    <t>Temporary whole entity structural works systems</t>
  </si>
  <si>
    <t>Ss_20</t>
  </si>
  <si>
    <t>Structural systems</t>
  </si>
  <si>
    <t xml:space="preserve">Ss_20_05 </t>
  </si>
  <si>
    <t>Substructure systems</t>
  </si>
  <si>
    <t xml:space="preserve">Ss_20_05_15 </t>
  </si>
  <si>
    <t>Concrete foundation systems</t>
  </si>
  <si>
    <t>Ss_20_05_15_70</t>
  </si>
  <si>
    <t>Reinforced concrete pad and strip foundation systems</t>
  </si>
  <si>
    <t>Ss_20_05_15_71</t>
  </si>
  <si>
    <t>Reinforced concrete pilecap and ground beam foundation systems</t>
  </si>
  <si>
    <t>Ss_20_05_15_72</t>
  </si>
  <si>
    <t>Reinforced concrete raft foundation systems</t>
  </si>
  <si>
    <t>Ss_20_05_15_80</t>
  </si>
  <si>
    <t>Steel ground beam foundation systems</t>
  </si>
  <si>
    <t>Ss_20_05_50</t>
  </si>
  <si>
    <t>Minor concrete substructure systems</t>
  </si>
  <si>
    <t>Ss_20_05_50_70</t>
  </si>
  <si>
    <t>Reinforced concrete base or foundation systems</t>
  </si>
  <si>
    <t xml:space="preserve">Ss_20_05_65 </t>
  </si>
  <si>
    <t>Piling systems</t>
  </si>
  <si>
    <t>Ss_20_05_65_24</t>
  </si>
  <si>
    <t>Driven precast or prestressed concrete piling systems</t>
  </si>
  <si>
    <t>Ss_20_05_65_40</t>
  </si>
  <si>
    <t>In situ concrete augered piling systems</t>
  </si>
  <si>
    <t>Ss_20_05_65_41</t>
  </si>
  <si>
    <t>In situ concrete bored piling systems</t>
  </si>
  <si>
    <t xml:space="preserve">Ss_20_05_65_42 </t>
  </si>
  <si>
    <t>In situ concrete cased displacement piling systems</t>
  </si>
  <si>
    <t xml:space="preserve">Ss_20_05_65_43 </t>
  </si>
  <si>
    <t>In situ concrete displacement piling systems</t>
  </si>
  <si>
    <t xml:space="preserve">Ss_20_05_65_44 </t>
  </si>
  <si>
    <t>In situ concrete mini-piling or micro-piling systems</t>
  </si>
  <si>
    <t xml:space="preserve">Ss_20_05_65_84 </t>
  </si>
  <si>
    <t>Steel bearing pile systems</t>
  </si>
  <si>
    <t xml:space="preserve">Ss_20_05_80 </t>
  </si>
  <si>
    <t>Structural grouting systems</t>
  </si>
  <si>
    <t xml:space="preserve">Ss_20_05_80_12 </t>
  </si>
  <si>
    <t>Cementitious grout systems</t>
  </si>
  <si>
    <t xml:space="preserve">Ss_20_05_80_40 </t>
  </si>
  <si>
    <t>Interstitial grouting systems</t>
  </si>
  <si>
    <t>Ss_20_05_90</t>
  </si>
  <si>
    <t>Underpinning systems</t>
  </si>
  <si>
    <t xml:space="preserve">Ss_20_05_90_10 </t>
  </si>
  <si>
    <t>Beam and pier unreinforced concrete underpinning systems</t>
  </si>
  <si>
    <t xml:space="preserve">Ss_20_05_90_50 </t>
  </si>
  <si>
    <t>Mass concrete underpinning systems</t>
  </si>
  <si>
    <t xml:space="preserve">Ss_20_10 </t>
  </si>
  <si>
    <t>Structural frame systems</t>
  </si>
  <si>
    <t xml:space="preserve">Ss_20_10_60 </t>
  </si>
  <si>
    <t>Prefabricated framed and panelled structures</t>
  </si>
  <si>
    <t>Ss_20_10_60_34</t>
  </si>
  <si>
    <t>Glazed enclosure systems</t>
  </si>
  <si>
    <t xml:space="preserve">Ss_20_10_60_60 </t>
  </si>
  <si>
    <t>Panelled and framed modular systems</t>
  </si>
  <si>
    <t>Ss_20_10_60_84</t>
  </si>
  <si>
    <t>Structural insulated panel systems</t>
  </si>
  <si>
    <t>Ss_20_10_75</t>
  </si>
  <si>
    <t>Structural framing systems</t>
  </si>
  <si>
    <t xml:space="preserve">Ss_20_10_75_45 </t>
  </si>
  <si>
    <t>Light steel framing systems</t>
  </si>
  <si>
    <t xml:space="preserve">Ss_20_10_75_70 </t>
  </si>
  <si>
    <t>In situ reinforced concrete framing systems</t>
  </si>
  <si>
    <t>Ss_20_20</t>
  </si>
  <si>
    <t>Structural beams</t>
  </si>
  <si>
    <t>Ss_20_20_75</t>
  </si>
  <si>
    <t>Structural beam systems</t>
  </si>
  <si>
    <t xml:space="preserve">Ss_20_20_75_15 </t>
  </si>
  <si>
    <t>Concrete beam systems</t>
  </si>
  <si>
    <t>Ss_20_20_75_80</t>
  </si>
  <si>
    <t>Steel beam systems</t>
  </si>
  <si>
    <t xml:space="preserve">Ss_20_20_75_85 </t>
  </si>
  <si>
    <t>Timber beam systems</t>
  </si>
  <si>
    <t xml:space="preserve">Ss_20_30 </t>
  </si>
  <si>
    <t>Structural columns</t>
  </si>
  <si>
    <t>Ss_20_30_75</t>
  </si>
  <si>
    <t>Structural column systems</t>
  </si>
  <si>
    <t>Ss_20_30_75_15</t>
  </si>
  <si>
    <t>Concrete column systems</t>
  </si>
  <si>
    <t xml:space="preserve">Ss_20_30_75_50 </t>
  </si>
  <si>
    <t>Masonry column systems</t>
  </si>
  <si>
    <t xml:space="preserve">Ss_20_30_75_80 </t>
  </si>
  <si>
    <t>Steel column systems</t>
  </si>
  <si>
    <t xml:space="preserve">Ss_20_30_75_85 </t>
  </si>
  <si>
    <t>Timber column systems</t>
  </si>
  <si>
    <t xml:space="preserve">Ss_20_60 </t>
  </si>
  <si>
    <t>Retaining wall systems</t>
  </si>
  <si>
    <t xml:space="preserve">Ss_20_60_30 </t>
  </si>
  <si>
    <t>Embedded retaining wall systems</t>
  </si>
  <si>
    <t xml:space="preserve">Ss_20_60_30_03 </t>
  </si>
  <si>
    <t>Anchored steel sheet pile retaining wall systems</t>
  </si>
  <si>
    <t xml:space="preserve">Ss_20_60_30_15 </t>
  </si>
  <si>
    <t>Contiguous pile retaining wall systems</t>
  </si>
  <si>
    <t xml:space="preserve">Ss_20_60_35 </t>
  </si>
  <si>
    <t>Gravity retaining wall systems</t>
  </si>
  <si>
    <t xml:space="preserve">Ss_20_60_35_70 </t>
  </si>
  <si>
    <t>Reinforced concrete retaining wall systems</t>
  </si>
  <si>
    <t xml:space="preserve">Ss_20_95 </t>
  </si>
  <si>
    <t>Temporary structural systems</t>
  </si>
  <si>
    <t xml:space="preserve">Ss_25 </t>
  </si>
  <si>
    <t>Wall and barrier systems</t>
  </si>
  <si>
    <t xml:space="preserve">Ss_25_10 </t>
  </si>
  <si>
    <t>Framed wall systems</t>
  </si>
  <si>
    <t xml:space="preserve">Ss_25_10_30 </t>
  </si>
  <si>
    <t>Framed partition systems</t>
  </si>
  <si>
    <t xml:space="preserve">Ss_25_10_30_35 </t>
  </si>
  <si>
    <t>Gypsum board partition systems</t>
  </si>
  <si>
    <t xml:space="preserve">Ss_25_10_32 </t>
  </si>
  <si>
    <t>Framed wall structure systems</t>
  </si>
  <si>
    <t>Ss_25_10_32_45</t>
  </si>
  <si>
    <t>Light steel wall framing systems</t>
  </si>
  <si>
    <t xml:space="preserve">Ss_25_11 </t>
  </si>
  <si>
    <t>Monolithic wall structure systems</t>
  </si>
  <si>
    <t>Ss_25_11_15</t>
  </si>
  <si>
    <t>Concrete form masonry unit wall systems</t>
  </si>
  <si>
    <t xml:space="preserve">Ss_25_11_16 </t>
  </si>
  <si>
    <t>Concrete wall systems</t>
  </si>
  <si>
    <t>Ss_25_11_16_70</t>
  </si>
  <si>
    <t>Reinforced concrete wall structure systems</t>
  </si>
  <si>
    <t>Ss_25_11_90</t>
  </si>
  <si>
    <t>Timber wall systems</t>
  </si>
  <si>
    <t>Ss_25_11_90_15</t>
  </si>
  <si>
    <t>Cross-laminated timber wall systems</t>
  </si>
  <si>
    <t>Ss_25_12</t>
  </si>
  <si>
    <t>Panel wall structure systems</t>
  </si>
  <si>
    <t>Ss_25_12_10</t>
  </si>
  <si>
    <t>Brick panel wall systems</t>
  </si>
  <si>
    <t>Ss_25_12_15</t>
  </si>
  <si>
    <t>Concrete panel wall systems</t>
  </si>
  <si>
    <t xml:space="preserve">Ss_25_12_80 </t>
  </si>
  <si>
    <t>Structural glass wall systems</t>
  </si>
  <si>
    <t xml:space="preserve">Ss_25_12_80_65 </t>
  </si>
  <si>
    <t>Point-fixed structural glass wall systems</t>
  </si>
  <si>
    <t>Ss_25_12_80_83</t>
  </si>
  <si>
    <t>Stacked structural glass wall systems</t>
  </si>
  <si>
    <t xml:space="preserve">Ss_25_12_80_85 </t>
  </si>
  <si>
    <t>Suspended structural glass wall systems</t>
  </si>
  <si>
    <t xml:space="preserve">Ss_25_13 </t>
  </si>
  <si>
    <t>Unit wall structure systems</t>
  </si>
  <si>
    <t>Ss_25_13_50</t>
  </si>
  <si>
    <t>Masonry wall systems</t>
  </si>
  <si>
    <t xml:space="preserve">Ss_25_13_50_54 </t>
  </si>
  <si>
    <t>Masonry free-standing wall leaf systems</t>
  </si>
  <si>
    <t>Ss_25_13_50_56</t>
  </si>
  <si>
    <t>Masonry internal partition systems</t>
  </si>
  <si>
    <t xml:space="preserve">Ss_25_13_70 </t>
  </si>
  <si>
    <t>Reinforced masonry wall systems</t>
  </si>
  <si>
    <t>Ss_25_13_70_71</t>
  </si>
  <si>
    <t>Reinforced masonry wall leaf systems</t>
  </si>
  <si>
    <t>Ss_25_13_70_74</t>
  </si>
  <si>
    <t>Reinforced masonry free-standing wall leaf systems</t>
  </si>
  <si>
    <t xml:space="preserve">Ss_25_13_70_76 </t>
  </si>
  <si>
    <t>Reinforced masonry internal partition systems</t>
  </si>
  <si>
    <t>Ss_25_14</t>
  </si>
  <si>
    <t>Fence systems</t>
  </si>
  <si>
    <t xml:space="preserve">Ss_25_14_63 </t>
  </si>
  <si>
    <t>Post, rail and board fence systems</t>
  </si>
  <si>
    <t xml:space="preserve">Ss_25_14_63_06 </t>
  </si>
  <si>
    <t>Bespoke fencing systems</t>
  </si>
  <si>
    <t xml:space="preserve">Ss_25_14_63_08 </t>
  </si>
  <si>
    <t>Board or palisade fencing systems</t>
  </si>
  <si>
    <t xml:space="preserve">Ss_25_14_63_11 </t>
  </si>
  <si>
    <t>Carbon steel continuous bar fencing systems</t>
  </si>
  <si>
    <t xml:space="preserve">Ss_25_14_63_51 </t>
  </si>
  <si>
    <t>Metal post and rail fencing systems</t>
  </si>
  <si>
    <t>Ss_25_14_63_52</t>
  </si>
  <si>
    <t>Metal vertical pale fencing systems</t>
  </si>
  <si>
    <t xml:space="preserve">Ss_25_14_63_56 </t>
  </si>
  <si>
    <t>Natural hurdle fencing systems</t>
  </si>
  <si>
    <t xml:space="preserve">Ss_25_14_63_62 </t>
  </si>
  <si>
    <t>Post and panel fencing systems</t>
  </si>
  <si>
    <t xml:space="preserve">Ss_25_14_63_63 </t>
  </si>
  <si>
    <t>Post and rail fencing systems</t>
  </si>
  <si>
    <t xml:space="preserve">Ss_25_14_63_64 </t>
  </si>
  <si>
    <t>Precast concrete palisade fencing systems</t>
  </si>
  <si>
    <t xml:space="preserve">Ss_25_14_63_65 </t>
  </si>
  <si>
    <t>Precast concrete post and panel fencing systems</t>
  </si>
  <si>
    <t xml:space="preserve">Ss_25_14_63_66 </t>
  </si>
  <si>
    <t>Precast concrete post and rail fencing systems</t>
  </si>
  <si>
    <t xml:space="preserve">Ss_25_14_63_67 </t>
  </si>
  <si>
    <t>Prefabricated wood or plastics panel fencing systems</t>
  </si>
  <si>
    <t xml:space="preserve">Ss_25_14_63_84 </t>
  </si>
  <si>
    <t>Steel hurdle fencing systems</t>
  </si>
  <si>
    <t xml:space="preserve">Ss_25_14_63_85 </t>
  </si>
  <si>
    <t>Steel palisade panel fencing systems</t>
  </si>
  <si>
    <t xml:space="preserve">Ss_25_14_63_86 </t>
  </si>
  <si>
    <t>Steel vertical bar fencing systems</t>
  </si>
  <si>
    <t xml:space="preserve">Ss_25_14_63_95 </t>
  </si>
  <si>
    <t>Wood close boarded fencing systems</t>
  </si>
  <si>
    <t xml:space="preserve">Ss_25_14_63_96 </t>
  </si>
  <si>
    <t>Wood palisade fencing systems</t>
  </si>
  <si>
    <t xml:space="preserve">Ss_25_14_63_97 </t>
  </si>
  <si>
    <t>Wood post and rail fencing systems</t>
  </si>
  <si>
    <t xml:space="preserve">Ss_25_14_63_98 </t>
  </si>
  <si>
    <t>Wrought iron panel fencing systems</t>
  </si>
  <si>
    <t xml:space="preserve">Ss_25_15 </t>
  </si>
  <si>
    <t>Fixed pedestrian barrier systems</t>
  </si>
  <si>
    <t xml:space="preserve">Ss_25_15_60 </t>
  </si>
  <si>
    <t>Pedestrian safety barrier and guarding systems</t>
  </si>
  <si>
    <t xml:space="preserve">Ss_25_15_60_05 </t>
  </si>
  <si>
    <t>Balustrade and guarding systems</t>
  </si>
  <si>
    <t xml:space="preserve">Ss_25_15_60_35 </t>
  </si>
  <si>
    <t>Handrail systems</t>
  </si>
  <si>
    <t xml:space="preserve">Ss_25_15_60_60 </t>
  </si>
  <si>
    <t>Pedestrian parapet systems</t>
  </si>
  <si>
    <t xml:space="preserve">Ss_25_16 </t>
  </si>
  <si>
    <t>Fixed traffic and protective barrier systems</t>
  </si>
  <si>
    <t xml:space="preserve">Ss_25_16_94 </t>
  </si>
  <si>
    <t>Vehicle restraint systems</t>
  </si>
  <si>
    <t xml:space="preserve">Ss_25_16_94_10 </t>
  </si>
  <si>
    <t>Bollard systems</t>
  </si>
  <si>
    <t xml:space="preserve">Ss_25_16_94_95 </t>
  </si>
  <si>
    <t>Vehicle safety control systems</t>
  </si>
  <si>
    <t xml:space="preserve">Ss_25_20 </t>
  </si>
  <si>
    <t>Wall cladding systems</t>
  </si>
  <si>
    <t xml:space="preserve">Ss_25_20_90 </t>
  </si>
  <si>
    <t>Unit cladding systems</t>
  </si>
  <si>
    <t xml:space="preserve">Ss_25_20_90_13 </t>
  </si>
  <si>
    <t>Clay plain tile cladding systems</t>
  </si>
  <si>
    <t xml:space="preserve">Ss_25_25 </t>
  </si>
  <si>
    <t>Wall lining systems</t>
  </si>
  <si>
    <t xml:space="preserve">Ss_25_25_45 </t>
  </si>
  <si>
    <t>Lining and casing systems</t>
  </si>
  <si>
    <t xml:space="preserve">Ss_25_25_45_33 </t>
  </si>
  <si>
    <t>Gypsum board casing systems</t>
  </si>
  <si>
    <t xml:space="preserve">Ss_25_25_45_50 </t>
  </si>
  <si>
    <t>Metal framed wall lining systems</t>
  </si>
  <si>
    <t xml:space="preserve">Ss_25_25_45_68 </t>
  </si>
  <si>
    <t>Rigid sheet casing systems</t>
  </si>
  <si>
    <t xml:space="preserve">Ss_25_25_45_70 </t>
  </si>
  <si>
    <t>Rigid sheet wall lining systems</t>
  </si>
  <si>
    <t xml:space="preserve">Ss_25_30 </t>
  </si>
  <si>
    <t>Door and window systems</t>
  </si>
  <si>
    <t xml:space="preserve">Ss_25_30_29 </t>
  </si>
  <si>
    <t>Fire and smoke curtain systems</t>
  </si>
  <si>
    <t xml:space="preserve">Ss_25_30_29_30 </t>
  </si>
  <si>
    <t>Fire curtain systems</t>
  </si>
  <si>
    <t xml:space="preserve">Ss_25_30_29_80 </t>
  </si>
  <si>
    <t>Smoke curtain systems</t>
  </si>
  <si>
    <t xml:space="preserve">Ss_25_45 </t>
  </si>
  <si>
    <t>Wall covering and finish systems</t>
  </si>
  <si>
    <t xml:space="preserve">Ss_25_45_12 </t>
  </si>
  <si>
    <t>Cavity wall insulation systems</t>
  </si>
  <si>
    <t xml:space="preserve">Ss_25_60 </t>
  </si>
  <si>
    <t>Wall and barrier accessory systems</t>
  </si>
  <si>
    <t xml:space="preserve">Ss_25_60_05 </t>
  </si>
  <si>
    <t>Balustrade and handrail systems</t>
  </si>
  <si>
    <t xml:space="preserve">Ss_25_60_30 </t>
  </si>
  <si>
    <t>Fire stopping systems</t>
  </si>
  <si>
    <t xml:space="preserve">Ss_25_60_30_40 </t>
  </si>
  <si>
    <t>Individual services penetrations fire stopping systems</t>
  </si>
  <si>
    <t xml:space="preserve">Ss_25_60_30_45 </t>
  </si>
  <si>
    <t>Linear gap fire stopping systems</t>
  </si>
  <si>
    <t xml:space="preserve">Ss_25_60_30_48 </t>
  </si>
  <si>
    <t>Loose fire stopping systems</t>
  </si>
  <si>
    <t xml:space="preserve">Ss_25_60_30_55 </t>
  </si>
  <si>
    <t>Multiple services penetrations fire stopping systems</t>
  </si>
  <si>
    <t xml:space="preserve">Ss_25_60_30_62 </t>
  </si>
  <si>
    <t>Pipe collar fire stopping systems</t>
  </si>
  <si>
    <t xml:space="preserve">Ss_25_60_35 </t>
  </si>
  <si>
    <t>Glazing systems</t>
  </si>
  <si>
    <t xml:space="preserve">Ss_25_60_35_30 </t>
  </si>
  <si>
    <t>Fire-resistant glazing systems</t>
  </si>
  <si>
    <t xml:space="preserve">Ss_30 </t>
  </si>
  <si>
    <t>Roof, floor and paving systems</t>
  </si>
  <si>
    <t xml:space="preserve">Ss_30_10 </t>
  </si>
  <si>
    <t>Roof structure systems</t>
  </si>
  <si>
    <t xml:space="preserve">Ss_30_10_50 </t>
  </si>
  <si>
    <t>Monolithic roof structure systems</t>
  </si>
  <si>
    <t xml:space="preserve">Ss_30_10_50_70 </t>
  </si>
  <si>
    <t>Sprayed concrete roof systems</t>
  </si>
  <si>
    <t xml:space="preserve">Ss_30_10_60 </t>
  </si>
  <si>
    <t>Air-pressurized panel roof structure systems</t>
  </si>
  <si>
    <t xml:space="preserve">Ss_30_10_90 </t>
  </si>
  <si>
    <t>Unit roof structure systems</t>
  </si>
  <si>
    <t xml:space="preserve">Ss_30_10_90_50 </t>
  </si>
  <si>
    <t>Masonry roof systems</t>
  </si>
  <si>
    <t xml:space="preserve">Ss_30_12 </t>
  </si>
  <si>
    <t>Floor and deck structure systems</t>
  </si>
  <si>
    <t xml:space="preserve">Ss_30_12_05 </t>
  </si>
  <si>
    <t>Beam and block floor systems</t>
  </si>
  <si>
    <t xml:space="preserve">Ss_30_12_15 </t>
  </si>
  <si>
    <t>Concrete plank floor systems</t>
  </si>
  <si>
    <t xml:space="preserve">Ss_30_12_20 </t>
  </si>
  <si>
    <t>Deck systems</t>
  </si>
  <si>
    <t xml:space="preserve">Ss_30_12_33 </t>
  </si>
  <si>
    <t>Framed floor systems</t>
  </si>
  <si>
    <t xml:space="preserve">Ss_30_12_34 </t>
  </si>
  <si>
    <t>Framed mezzanine systems</t>
  </si>
  <si>
    <t xml:space="preserve">Ss_30_12_85 </t>
  </si>
  <si>
    <t>Structural deck systems</t>
  </si>
  <si>
    <t xml:space="preserve">Ss_30_12_85_15 </t>
  </si>
  <si>
    <t>Composite concrete floor, roof or balcony deck systems</t>
  </si>
  <si>
    <t xml:space="preserve">Ss_30_12_85_16 </t>
  </si>
  <si>
    <t>Composite steel and concrete floor, roof or balcony deck systems</t>
  </si>
  <si>
    <t xml:space="preserve">Ss_30_12_85_17 </t>
  </si>
  <si>
    <t>Concrete beam and block floor or roof deck systems</t>
  </si>
  <si>
    <t xml:space="preserve">Ss_30_12_85_18 </t>
  </si>
  <si>
    <t>Concrete floor or roof deck systems</t>
  </si>
  <si>
    <t xml:space="preserve">Ss_30_12_85_70 </t>
  </si>
  <si>
    <t>Reinforced concrete floor, roof or balcony deck systems</t>
  </si>
  <si>
    <t xml:space="preserve">Ss_30_25 </t>
  </si>
  <si>
    <t>Ceiling and soffit systems</t>
  </si>
  <si>
    <t xml:space="preserve">Ss_30_25_10 </t>
  </si>
  <si>
    <t>Board and sheet ceiling systems</t>
  </si>
  <si>
    <t xml:space="preserve">Ss_30_25_10_10 </t>
  </si>
  <si>
    <t>Board suspended ceiling systems</t>
  </si>
  <si>
    <t xml:space="preserve">Ss_30_30 </t>
  </si>
  <si>
    <t>Roof and floor opening systems</t>
  </si>
  <si>
    <t xml:space="preserve">Ss_30_30_73 </t>
  </si>
  <si>
    <t>Roof ventilator systems</t>
  </si>
  <si>
    <t xml:space="preserve">Ss_30_30_73_72 </t>
  </si>
  <si>
    <t>Roof smoke ventilator systems</t>
  </si>
  <si>
    <t xml:space="preserve">Ss_30_40 </t>
  </si>
  <si>
    <t>Roof and balcony covering and finish systems</t>
  </si>
  <si>
    <t xml:space="preserve">Ss_30_40_30 </t>
  </si>
  <si>
    <t>Flat roof covering systems</t>
  </si>
  <si>
    <t xml:space="preserve">Ss_30_40_30_40 </t>
  </si>
  <si>
    <t>Liquid-applied cold roof covering systems</t>
  </si>
  <si>
    <t xml:space="preserve">Ss_30_40_30_43 </t>
  </si>
  <si>
    <t>Liquid-applied warm roof covering systems</t>
  </si>
  <si>
    <t xml:space="preserve">Ss_30_40_65 </t>
  </si>
  <si>
    <t>Profiled sheet self-supporting roof covering systems</t>
  </si>
  <si>
    <t xml:space="preserve">Ss_30_40_65_50 </t>
  </si>
  <si>
    <t>Metal profiled sheet self-supporting roof covering systems</t>
  </si>
  <si>
    <t xml:space="preserve">Ss_32 </t>
  </si>
  <si>
    <t>Damp-proofing, waterproofing and plaster-finishing systems</t>
  </si>
  <si>
    <t xml:space="preserve">Ss_32_20 </t>
  </si>
  <si>
    <t>Damp-proofing systems</t>
  </si>
  <si>
    <t xml:space="preserve">Ss_32_20_20 </t>
  </si>
  <si>
    <t>Damp-proof course renewal and insertion systems</t>
  </si>
  <si>
    <t xml:space="preserve">Ss_32_20_20_15 </t>
  </si>
  <si>
    <t>Chemical injection damp-proof course systems</t>
  </si>
  <si>
    <t>Ss_32_20_20_62</t>
  </si>
  <si>
    <t>Physical insertion horizontal damp-proof course systems</t>
  </si>
  <si>
    <t>Ss_32_20_20_63</t>
  </si>
  <si>
    <t>Physical insertion horizontal or stepped cavity tray systems</t>
  </si>
  <si>
    <t xml:space="preserve">Ss_32_20_20_64 </t>
  </si>
  <si>
    <t>Physical insertion proprietary rising damp remedial systems</t>
  </si>
  <si>
    <t xml:space="preserve">Ss_32_20_20_65 </t>
  </si>
  <si>
    <t>Physical insertion vertical damp-proof course systems</t>
  </si>
  <si>
    <t xml:space="preserve">Ss_32_80 </t>
  </si>
  <si>
    <t>Waterproofing and tanking systems</t>
  </si>
  <si>
    <t xml:space="preserve">Ss_32_80_03 </t>
  </si>
  <si>
    <t>Applied waterproofing and tanking systems</t>
  </si>
  <si>
    <t xml:space="preserve">Ss_32_80_03_08 </t>
  </si>
  <si>
    <t>Bridge deck liquid sprayed systems</t>
  </si>
  <si>
    <t xml:space="preserve">Ss_32_80_03_10 </t>
  </si>
  <si>
    <t>Cementitious proprietary mortar slurry tanking systems</t>
  </si>
  <si>
    <t xml:space="preserve">Ss_32_80_03_12 </t>
  </si>
  <si>
    <t>Cementitious site-batched-and-mixed mortar tanking systems</t>
  </si>
  <si>
    <t xml:space="preserve">Ss_32_80_03_14 </t>
  </si>
  <si>
    <t>Cold-applied liquid external tanking systems</t>
  </si>
  <si>
    <t xml:space="preserve">Ss_32_80_03_16 </t>
  </si>
  <si>
    <t>Cold-applied liquid sandwiched tanking systems</t>
  </si>
  <si>
    <t xml:space="preserve">Ss_32_80_03_50 </t>
  </si>
  <si>
    <t>Mastic asphalt external tanking systems</t>
  </si>
  <si>
    <t xml:space="preserve">Ss_32_80_03_52 </t>
  </si>
  <si>
    <t>Mastic asphalt sandwiched tanking systems</t>
  </si>
  <si>
    <t xml:space="preserve">Ss_32_80_03_54 </t>
  </si>
  <si>
    <t>Mastic asphalt tank lining systems</t>
  </si>
  <si>
    <t xml:space="preserve">Ss_32_80_03_90 </t>
  </si>
  <si>
    <t>Tunnel spray-applied membrane systems</t>
  </si>
  <si>
    <t xml:space="preserve">Ss_32_80_79 </t>
  </si>
  <si>
    <t>Sheeted waterproofing and tanking systems</t>
  </si>
  <si>
    <t xml:space="preserve">Ss_32_80_79_08 </t>
  </si>
  <si>
    <t>Bridge deck sheet systems</t>
  </si>
  <si>
    <t xml:space="preserve">Ss_32_80_79_30 </t>
  </si>
  <si>
    <t>Fully bonded bitumen membrane external tanking systems</t>
  </si>
  <si>
    <t xml:space="preserve">Ss_32_80_79_32 </t>
  </si>
  <si>
    <t>Fully bonded bitumen membrane sandwiched tanking systems</t>
  </si>
  <si>
    <t xml:space="preserve">Ss_32_80_79_33 </t>
  </si>
  <si>
    <t>Fully bonded flexible sheet membrane waterproofing systems</t>
  </si>
  <si>
    <t xml:space="preserve">Ss_32_80_79_36 </t>
  </si>
  <si>
    <t>Hard rigid plastics sheet membrane waterproofing systems</t>
  </si>
  <si>
    <t xml:space="preserve">Ss_32_80_79_40 </t>
  </si>
  <si>
    <t>High-density plastics studded membrane cavity drain waterproofing systems</t>
  </si>
  <si>
    <t xml:space="preserve">Ss_32_80_79_45 </t>
  </si>
  <si>
    <t>Loose-laid bentonite membrane external or sandwiched tanking systems</t>
  </si>
  <si>
    <t xml:space="preserve">Ss_32_80_79_75 </t>
  </si>
  <si>
    <t>Self-adhesive bitumen membrane external tanking systems</t>
  </si>
  <si>
    <t xml:space="preserve">Ss_32_80_79_77 </t>
  </si>
  <si>
    <t>Self-adhesive bitumen membrane sandwiched tanking systems</t>
  </si>
  <si>
    <t xml:space="preserve">Ss_32_80_79_84 </t>
  </si>
  <si>
    <t>Steel membrane waterproofing systems</t>
  </si>
  <si>
    <t xml:space="preserve">Ss_32_80_79_90 </t>
  </si>
  <si>
    <t>Tunnel sheet membrane systems</t>
  </si>
  <si>
    <t xml:space="preserve">Ss_32_80_79_92 </t>
  </si>
  <si>
    <t>Unbonded flexible sheet membrane waterproofing systems</t>
  </si>
  <si>
    <t xml:space="preserve">Ss_32_80_90 </t>
  </si>
  <si>
    <t>Water feature and pond sheet-lining systems</t>
  </si>
  <si>
    <t xml:space="preserve">Ss_32_80_90_35 </t>
  </si>
  <si>
    <t>Ground-supported water retention sheet-lining systems</t>
  </si>
  <si>
    <t xml:space="preserve">Ss_32_80_90_85 </t>
  </si>
  <si>
    <t>Structure-supported water retention sheet-lining systems</t>
  </si>
  <si>
    <t xml:space="preserve">Ss_35 </t>
  </si>
  <si>
    <t>Stair and ramp systems</t>
  </si>
  <si>
    <t xml:space="preserve">Ss_35_10 </t>
  </si>
  <si>
    <t>Stair and ramp structure systems</t>
  </si>
  <si>
    <t xml:space="preserve">Ss_35_10_25 </t>
  </si>
  <si>
    <t>External stair and ramp systems</t>
  </si>
  <si>
    <t xml:space="preserve">Ss_35_10_25_34 </t>
  </si>
  <si>
    <t>Ground bearing external ramp systems</t>
  </si>
  <si>
    <t xml:space="preserve">Ss_35_10_25_35 </t>
  </si>
  <si>
    <t>Ground bearing external stair systems</t>
  </si>
  <si>
    <t xml:space="preserve">Ss_35_10_25_83 </t>
  </si>
  <si>
    <t>Suspended external ramp systems</t>
  </si>
  <si>
    <t xml:space="preserve">Ss_35_10_25_85 </t>
  </si>
  <si>
    <t>Suspended external stair systems</t>
  </si>
  <si>
    <t xml:space="preserve">Ss_35_10_30 </t>
  </si>
  <si>
    <t>Fixed utilitarian access systems</t>
  </si>
  <si>
    <t xml:space="preserve">Ss_35_10_30_40 </t>
  </si>
  <si>
    <t>Industrial stair systems</t>
  </si>
  <si>
    <t xml:space="preserve">Ss_35_10_30_60 </t>
  </si>
  <si>
    <t>Permanently-fixed roof ladder systems</t>
  </si>
  <si>
    <t xml:space="preserve">Ss_35_10_30_62 </t>
  </si>
  <si>
    <t>Permanently-fixed vertical ladder systems</t>
  </si>
  <si>
    <t xml:space="preserve">Ss_35_10_30_95 </t>
  </si>
  <si>
    <t>Working platform and walkway systems</t>
  </si>
  <si>
    <t xml:space="preserve">Ss_35_10_40 </t>
  </si>
  <si>
    <t>Internal stair and ramp systems</t>
  </si>
  <si>
    <t xml:space="preserve">Ss_35_10_40_20 </t>
  </si>
  <si>
    <t>Curved internal stair systems</t>
  </si>
  <si>
    <t xml:space="preserve">Ss_35_10_40_42 </t>
  </si>
  <si>
    <t>Internal stair systems</t>
  </si>
  <si>
    <t xml:space="preserve">Ss_35_10_40_84 </t>
  </si>
  <si>
    <t>Straight internal stair systems</t>
  </si>
  <si>
    <t xml:space="preserve">Ss_35_10_85 </t>
  </si>
  <si>
    <t>Structural stair and ramp systems</t>
  </si>
  <si>
    <t xml:space="preserve">Ss_35_10_85_15 </t>
  </si>
  <si>
    <t>Concrete stair or ramp systems</t>
  </si>
  <si>
    <t xml:space="preserve">Ss_35_10_85_65 </t>
  </si>
  <si>
    <t>Precast concrete stair or ramp systems</t>
  </si>
  <si>
    <t xml:space="preserve">Ss_37 </t>
  </si>
  <si>
    <t>Tunnel, shaft, vessel and tower systems</t>
  </si>
  <si>
    <t xml:space="preserve">Ss_37_50 </t>
  </si>
  <si>
    <t>Shaft and tunnel structural systems</t>
  </si>
  <si>
    <t xml:space="preserve">Ss_37_50_80 </t>
  </si>
  <si>
    <t>Shaft structure systems</t>
  </si>
  <si>
    <t xml:space="preserve">Ss_37_50_80_71 </t>
  </si>
  <si>
    <t>Reinforced concrete shaft structure systems</t>
  </si>
  <si>
    <t xml:space="preserve">Ss_37_50_92 </t>
  </si>
  <si>
    <t>Tunnel structure systems</t>
  </si>
  <si>
    <t xml:space="preserve">Ss_37_50_92_71 </t>
  </si>
  <si>
    <t>Reinforced concrete tunnel structure systems</t>
  </si>
  <si>
    <t xml:space="preserve">Ss_40 </t>
  </si>
  <si>
    <t>Signage, fittings, furnishings and equipment (FF&amp;E) and general finishing systems</t>
  </si>
  <si>
    <t xml:space="preserve">Ss_40_10 </t>
  </si>
  <si>
    <t>Signage systems</t>
  </si>
  <si>
    <t xml:space="preserve">Ss_40_10_20 </t>
  </si>
  <si>
    <t>Direction signage systems</t>
  </si>
  <si>
    <t xml:space="preserve">Ss_40_10_20_96 </t>
  </si>
  <si>
    <t>Wayfinding signage systems</t>
  </si>
  <si>
    <t xml:space="preserve">Ss_40_10_30 </t>
  </si>
  <si>
    <t>Fire and safety signage systems</t>
  </si>
  <si>
    <t xml:space="preserve">Ss_40_10_30_20 </t>
  </si>
  <si>
    <t>Emergency do not enter signage systems</t>
  </si>
  <si>
    <t xml:space="preserve">Ss_40_10_30_25 </t>
  </si>
  <si>
    <t>Evacuation and safe condition signage systems</t>
  </si>
  <si>
    <t xml:space="preserve">Ss_40_10_30_27 </t>
  </si>
  <si>
    <t>Evacuation and safety way guidance systems</t>
  </si>
  <si>
    <t xml:space="preserve">Ss_40_10_30_30 </t>
  </si>
  <si>
    <t>Fire signage systems</t>
  </si>
  <si>
    <t xml:space="preserve">Ss_40_10_30_36 </t>
  </si>
  <si>
    <t>Hazard signage systems</t>
  </si>
  <si>
    <t xml:space="preserve">Ss_40_10_30_75 </t>
  </si>
  <si>
    <t>Safety signage systems</t>
  </si>
  <si>
    <t xml:space="preserve">Ss_40_10_30_93 </t>
  </si>
  <si>
    <t>Warning signage systems</t>
  </si>
  <si>
    <t xml:space="preserve">Ss_40_90 </t>
  </si>
  <si>
    <t>General finishing systems</t>
  </si>
  <si>
    <t xml:space="preserve">Ss_40_90_40 </t>
  </si>
  <si>
    <t>Intumescent systems</t>
  </si>
  <si>
    <t xml:space="preserve">Ss_40_90_60 </t>
  </si>
  <si>
    <t>Painting and clear finishing systems</t>
  </si>
  <si>
    <t xml:space="preserve">Ss_40_90_60_80 </t>
  </si>
  <si>
    <t>Solvent-borne paint systems</t>
  </si>
  <si>
    <t xml:space="preserve">Ss_40_90_60_85 </t>
  </si>
  <si>
    <t>Special coating systems</t>
  </si>
  <si>
    <t xml:space="preserve">Ss_40_90_60_95 </t>
  </si>
  <si>
    <t>Waterborne paint systems</t>
  </si>
  <si>
    <t xml:space="preserve">Ss_40_90_95 </t>
  </si>
  <si>
    <t>Wood preservative and fire retardant treatment systems</t>
  </si>
  <si>
    <t xml:space="preserve">Ss_40_90_95_30 </t>
  </si>
  <si>
    <t>Fire retardant treatment systems</t>
  </si>
  <si>
    <t xml:space="preserve">Ss_50 </t>
  </si>
  <si>
    <t>Disposal systems</t>
  </si>
  <si>
    <t xml:space="preserve">Ss_50_30 </t>
  </si>
  <si>
    <t>Above-ground drainage collection systems</t>
  </si>
  <si>
    <t xml:space="preserve">Ss_50_30_02 </t>
  </si>
  <si>
    <t>Rainwater drainage systems</t>
  </si>
  <si>
    <t xml:space="preserve">Ss_50_30_02_28 </t>
  </si>
  <si>
    <t>External gravity rainwater drainage systems</t>
  </si>
  <si>
    <t xml:space="preserve">Ss_50_30_02_40 </t>
  </si>
  <si>
    <t>Internal gravity rainwater drainage systems</t>
  </si>
  <si>
    <t xml:space="preserve">Ss_50_30_02_80 </t>
  </si>
  <si>
    <t>Siphonic full bore rainwater drainage systems</t>
  </si>
  <si>
    <t xml:space="preserve">Ss_50_30_04 </t>
  </si>
  <si>
    <t>Above-ground wastewater drainage systems</t>
  </si>
  <si>
    <t xml:space="preserve">Ss_50_30_04_05 </t>
  </si>
  <si>
    <t>Basement waste water drainage systems</t>
  </si>
  <si>
    <t xml:space="preserve">Ss_50_30_04_15 </t>
  </si>
  <si>
    <t>Commercial catering waste water drainage systems</t>
  </si>
  <si>
    <t xml:space="preserve">Ss_50_30_04_95 </t>
  </si>
  <si>
    <t>Above-ground external stack wastewater drainage systems</t>
  </si>
  <si>
    <t xml:space="preserve">Ss_50_30_04_97 </t>
  </si>
  <si>
    <t>Above-ground internal stack wastewater drainage systems</t>
  </si>
  <si>
    <t xml:space="preserve">Ss_50_35 </t>
  </si>
  <si>
    <t>Surface and wastewater drainage collection systems</t>
  </si>
  <si>
    <t xml:space="preserve">Ss_50_35_08 </t>
  </si>
  <si>
    <t>Below-ground gravity drainage systems</t>
  </si>
  <si>
    <t xml:space="preserve">Ss_50_35_08_15 </t>
  </si>
  <si>
    <t>Combined below-ground drainage pipeline systems</t>
  </si>
  <si>
    <t xml:space="preserve">Ss_50_35_08_30 </t>
  </si>
  <si>
    <t>Foul wastewater below-ground drainage pipeline systems</t>
  </si>
  <si>
    <t xml:space="preserve">Ss_50_35_08_85 </t>
  </si>
  <si>
    <t>Surface water below-ground drainage pipeline systems</t>
  </si>
  <si>
    <t xml:space="preserve">Ss_50_35_10 </t>
  </si>
  <si>
    <t>Below-ground pumped drainage systems</t>
  </si>
  <si>
    <t xml:space="preserve">Ss_50_35_10_06 </t>
  </si>
  <si>
    <t>Below-ground private packaged pumping station and pressure pipeline drainage systems</t>
  </si>
  <si>
    <t xml:space="preserve">Ss_50_70 </t>
  </si>
  <si>
    <t>Water waste (drainage) storage, treatment and disposal systems</t>
  </si>
  <si>
    <t xml:space="preserve">Ss_50_70_05 </t>
  </si>
  <si>
    <t>Below-ground private drainage disposal systems</t>
  </si>
  <si>
    <t xml:space="preserve">Ss_50_70_05_22 </t>
  </si>
  <si>
    <t>Below-ground drainage packaged grease trap systems</t>
  </si>
  <si>
    <t xml:space="preserve">Ss_50_70_05_86 </t>
  </si>
  <si>
    <t>Below-ground drainage wet well systems</t>
  </si>
  <si>
    <t xml:space="preserve">Ss_50_70_05_95 </t>
  </si>
  <si>
    <t>Below-ground drainage outfall systems</t>
  </si>
  <si>
    <t xml:space="preserve">Ss_50_70_85 </t>
  </si>
  <si>
    <t>Sustainable drainage systems (SuDS)</t>
  </si>
  <si>
    <t xml:space="preserve">Ss_50_70_85_06 </t>
  </si>
  <si>
    <t>Below-ground surface water storage tank systems</t>
  </si>
  <si>
    <t xml:space="preserve">Ss_50_70_85_70 </t>
  </si>
  <si>
    <t>Rainwater harvesting systems</t>
  </si>
  <si>
    <t xml:space="preserve">Ss_55 </t>
  </si>
  <si>
    <t>Piped supply systems</t>
  </si>
  <si>
    <t xml:space="preserve">Ss_55_15 </t>
  </si>
  <si>
    <t>Water extraction, treatment and storage systems</t>
  </si>
  <si>
    <t xml:space="preserve">Ss_55_15_65 </t>
  </si>
  <si>
    <t>Potable water storage tank systems</t>
  </si>
  <si>
    <t xml:space="preserve">Ss_55_15_65_65 </t>
  </si>
  <si>
    <t>Plastics potable water storage systems</t>
  </si>
  <si>
    <t xml:space="preserve">Ss_55_15_65_72 </t>
  </si>
  <si>
    <t>Reinforced concrete potable water storage systems</t>
  </si>
  <si>
    <t xml:space="preserve">Ss_55_15_65_84 </t>
  </si>
  <si>
    <t>Steel framed potable water storage systems</t>
  </si>
  <si>
    <t xml:space="preserve">Ss_55_30 </t>
  </si>
  <si>
    <t>Fire-extinguishing systems</t>
  </si>
  <si>
    <t xml:space="preserve">Ss_55_30_35 </t>
  </si>
  <si>
    <t>Gaseous and foam fire-extinguishing systems</t>
  </si>
  <si>
    <t xml:space="preserve">Ss_55_30_35_10 </t>
  </si>
  <si>
    <t>Carbon dioxide fire-extinguishing systems</t>
  </si>
  <si>
    <t xml:space="preserve">Ss_55_30_35_31 </t>
  </si>
  <si>
    <t>Foam fire-extinguishing systems</t>
  </si>
  <si>
    <t xml:space="preserve">Ss_55_30_35_35 </t>
  </si>
  <si>
    <t>Halocarbon gas total flooding fire-extinguishing systems</t>
  </si>
  <si>
    <t xml:space="preserve">Ss_55_30_35_40 </t>
  </si>
  <si>
    <t>Inert gas total flooding fire-extinguishing systems</t>
  </si>
  <si>
    <t xml:space="preserve">Ss_55_30_65 </t>
  </si>
  <si>
    <t>Portable fire-extinguishing systems</t>
  </si>
  <si>
    <t xml:space="preserve">Ss_55_30_65_30 </t>
  </si>
  <si>
    <t>Fire blanket systems</t>
  </si>
  <si>
    <t xml:space="preserve">Ss_55_30_65_65 </t>
  </si>
  <si>
    <t>Portable fire extinguisher systems</t>
  </si>
  <si>
    <t xml:space="preserve">Ss_55_30_96 </t>
  </si>
  <si>
    <t>Water firefighting systems</t>
  </si>
  <si>
    <t xml:space="preserve">Ss_55_30_96_24 </t>
  </si>
  <si>
    <t>Dry dropper systems</t>
  </si>
  <si>
    <t xml:space="preserve">Ss_55_30_96_25 </t>
  </si>
  <si>
    <t>Dry riser systems</t>
  </si>
  <si>
    <t xml:space="preserve">Ss_55_30_96_29 </t>
  </si>
  <si>
    <t>Fire hose reel systems</t>
  </si>
  <si>
    <t xml:space="preserve">Ss_55_30_96_30 </t>
  </si>
  <si>
    <t>Fire hydrant systems</t>
  </si>
  <si>
    <t xml:space="preserve">Ss_55_30_96_97 </t>
  </si>
  <si>
    <t>Wet riser systems</t>
  </si>
  <si>
    <t xml:space="preserve">Ss_55_30_98 </t>
  </si>
  <si>
    <t>Water fire suppression systems</t>
  </si>
  <si>
    <t xml:space="preserve">Ss_55_30_98_21 </t>
  </si>
  <si>
    <t>Deluge systems</t>
  </si>
  <si>
    <t xml:space="preserve">Ss_55_30_98_85 </t>
  </si>
  <si>
    <t>Sprinkler systems</t>
  </si>
  <si>
    <t xml:space="preserve">Ss_55_30_98_96 </t>
  </si>
  <si>
    <t>Water mist systems</t>
  </si>
  <si>
    <t xml:space="preserve">Ss_55_70 </t>
  </si>
  <si>
    <t>Water distribution and supply systems</t>
  </si>
  <si>
    <t xml:space="preserve">Ss_55_70_38 </t>
  </si>
  <si>
    <t>Hot and cold water supply systems</t>
  </si>
  <si>
    <t xml:space="preserve">Ss_55_70_38_15 </t>
  </si>
  <si>
    <t>Cold water supply systems</t>
  </si>
  <si>
    <t xml:space="preserve">Ss_55_70_38_20 </t>
  </si>
  <si>
    <t>Direct hot water storage supply systems</t>
  </si>
  <si>
    <t xml:space="preserve">Ss_55_70_38_40 </t>
  </si>
  <si>
    <t>Incoming water supply systems</t>
  </si>
  <si>
    <t xml:space="preserve">Ss_55_70_38_42 </t>
  </si>
  <si>
    <t>Indirect hot water storage supply systems</t>
  </si>
  <si>
    <t xml:space="preserve">Ss_55_70_38_45 </t>
  </si>
  <si>
    <t>Instantaneous hot water supply systems</t>
  </si>
  <si>
    <t xml:space="preserve">Ss_55_70_38_65 </t>
  </si>
  <si>
    <t>Pumped cold water supply systems</t>
  </si>
  <si>
    <t xml:space="preserve">Ss_55_70_97 </t>
  </si>
  <si>
    <t>Water reclamation systems</t>
  </si>
  <si>
    <t xml:space="preserve">Ss_55_70_97_35 </t>
  </si>
  <si>
    <t>Grey water reclamation systems</t>
  </si>
  <si>
    <t xml:space="preserve">Ss_60 </t>
  </si>
  <si>
    <t>Heating, cooling and refrigeration systems</t>
  </si>
  <si>
    <t xml:space="preserve">Ss_60_40 </t>
  </si>
  <si>
    <t>Space heating and cooling systems</t>
  </si>
  <si>
    <t xml:space="preserve">Ss_60_40_13 </t>
  </si>
  <si>
    <t>Climatic ceiling and beam systems</t>
  </si>
  <si>
    <t xml:space="preserve">Ss_60_40_13_13 </t>
  </si>
  <si>
    <t>Climatic beam systems</t>
  </si>
  <si>
    <t xml:space="preserve">Ss_60_40_17 </t>
  </si>
  <si>
    <t>Cooling systems</t>
  </si>
  <si>
    <t xml:space="preserve">Ss_60_40_17_12 </t>
  </si>
  <si>
    <t>Chilled water systems</t>
  </si>
  <si>
    <t xml:space="preserve">Ss_60_40_17_71 </t>
  </si>
  <si>
    <t>Refrigerant cooling systems</t>
  </si>
  <si>
    <t xml:space="preserve">Ss_60_40_17_94 </t>
  </si>
  <si>
    <t>Variable refrigerant flow systems</t>
  </si>
  <si>
    <t xml:space="preserve">Ss_60_40_17_96 </t>
  </si>
  <si>
    <t>Water cooling systems</t>
  </si>
  <si>
    <t xml:space="preserve">Ss_60_40_36 </t>
  </si>
  <si>
    <t>Heat pump systems</t>
  </si>
  <si>
    <t xml:space="preserve">Ss_60_40_36_05 </t>
  </si>
  <si>
    <t>Air source heat pump systems</t>
  </si>
  <si>
    <t xml:space="preserve">Ss_60_40_36_35 </t>
  </si>
  <si>
    <t>Ground source heat pump systems</t>
  </si>
  <si>
    <t xml:space="preserve">Ss_60_40_36_96 </t>
  </si>
  <si>
    <t>Water source heat pump systems</t>
  </si>
  <si>
    <t xml:space="preserve">Ss_60_40_37 </t>
  </si>
  <si>
    <t>Heating systems</t>
  </si>
  <si>
    <t xml:space="preserve">Ss_60_40_37_26 </t>
  </si>
  <si>
    <t>Electric heating systems</t>
  </si>
  <si>
    <t xml:space="preserve">Ss_60_40_37_28 </t>
  </si>
  <si>
    <t>Electrical resistance trace heating systems</t>
  </si>
  <si>
    <t xml:space="preserve">Ss_60_40_37_48 </t>
  </si>
  <si>
    <t>Low temperature hot water heating systems</t>
  </si>
  <si>
    <t xml:space="preserve">Ss_60_40_37_94 </t>
  </si>
  <si>
    <t>Underfloor low temperature hot water heating systems</t>
  </si>
  <si>
    <t xml:space="preserve">Ss_60_60 </t>
  </si>
  <si>
    <t>Refrigeration systems</t>
  </si>
  <si>
    <t xml:space="preserve">Ss_60_60_15 </t>
  </si>
  <si>
    <t>Cold room systems</t>
  </si>
  <si>
    <t xml:space="preserve">Ss_60_60_15_10 </t>
  </si>
  <si>
    <t>Catering cold room systems</t>
  </si>
  <si>
    <t xml:space="preserve">Ss_65 </t>
  </si>
  <si>
    <t>Ventilation and air conditioning systems</t>
  </si>
  <si>
    <t xml:space="preserve">Ss_65_40 </t>
  </si>
  <si>
    <t>Ventilation systems</t>
  </si>
  <si>
    <t xml:space="preserve">Ss_65_40_33 </t>
  </si>
  <si>
    <t>General space ventilation systems</t>
  </si>
  <si>
    <t xml:space="preserve">Ss_65_40_33_45 </t>
  </si>
  <si>
    <t>Kitchen extract ventilation systems</t>
  </si>
  <si>
    <t xml:space="preserve">Ss_65_40_33_51 </t>
  </si>
  <si>
    <t>Mechanical supply ventilation systems</t>
  </si>
  <si>
    <t xml:space="preserve">Ss_65_40_33_52 </t>
  </si>
  <si>
    <t>Mechanical and whole building ventilation systems</t>
  </si>
  <si>
    <t xml:space="preserve">Ss_65_40_33_90 </t>
  </si>
  <si>
    <t>Toilet extract ventilation systems</t>
  </si>
  <si>
    <t xml:space="preserve">Ss_65_40_80 </t>
  </si>
  <si>
    <t>Smoke extract and control systems</t>
  </si>
  <si>
    <t xml:space="preserve">Ss_65_40_80_65 </t>
  </si>
  <si>
    <t>Pressure differential systems</t>
  </si>
  <si>
    <t xml:space="preserve">Ss_65_40_80_80 </t>
  </si>
  <si>
    <t>Smoke and heat exhaust ventilation systems</t>
  </si>
  <si>
    <t xml:space="preserve">Ss_65_40_94 </t>
  </si>
  <si>
    <t>Vehicular space ventilation systems</t>
  </si>
  <si>
    <t xml:space="preserve">Ss_65_40_94_10 </t>
  </si>
  <si>
    <t>Car park extract systems</t>
  </si>
  <si>
    <t xml:space="preserve">Ss_65_40_94_11 </t>
  </si>
  <si>
    <t>Car park supply systems</t>
  </si>
  <si>
    <t xml:space="preserve">Ss_65_80 </t>
  </si>
  <si>
    <t>Air conditioning systems</t>
  </si>
  <si>
    <t xml:space="preserve">Ss_65_80_05 </t>
  </si>
  <si>
    <t>Central air conditioning systems</t>
  </si>
  <si>
    <t xml:space="preserve">Ss_65_80_05_30 </t>
  </si>
  <si>
    <t>Fan coil unit air conditioning systems</t>
  </si>
  <si>
    <t xml:space="preserve">Ss_65_80_45 </t>
  </si>
  <si>
    <t>Local air conditioning systems</t>
  </si>
  <si>
    <t xml:space="preserve">Ss_65_80_45_72 </t>
  </si>
  <si>
    <t>Room air conditioning systems</t>
  </si>
  <si>
    <t xml:space="preserve">Ss_70 </t>
  </si>
  <si>
    <t>Electrical systems</t>
  </si>
  <si>
    <t xml:space="preserve">Ss_70_10 </t>
  </si>
  <si>
    <t>Electrical power generation and transmission systems</t>
  </si>
  <si>
    <t xml:space="preserve">Ss_70_10_70 </t>
  </si>
  <si>
    <t>Renewable power generation systems</t>
  </si>
  <si>
    <t xml:space="preserve">Ss_70_10_70_35 </t>
  </si>
  <si>
    <t>Grid-connected photovoltaic systems</t>
  </si>
  <si>
    <t xml:space="preserve">Ss_70_30 </t>
  </si>
  <si>
    <t>Electricity distribution systems</t>
  </si>
  <si>
    <t xml:space="preserve">Ss_70_30_25 </t>
  </si>
  <si>
    <t>Protection systems</t>
  </si>
  <si>
    <t xml:space="preserve">Ss_70_30_25_25 </t>
  </si>
  <si>
    <t>Earthing and bonding systems</t>
  </si>
  <si>
    <t xml:space="preserve">Ss_70_30_45 </t>
  </si>
  <si>
    <t>Low-voltage systems</t>
  </si>
  <si>
    <t xml:space="preserve">Ss_70_30_45_40 </t>
  </si>
  <si>
    <t>Low voltage site connection systems</t>
  </si>
  <si>
    <t xml:space="preserve">Ss_70_30_45_45 </t>
  </si>
  <si>
    <t>Low voltage distribution systems</t>
  </si>
  <si>
    <t xml:space="preserve">Ss_70_30_45_92 </t>
  </si>
  <si>
    <t>Uninterruptible power supply systems</t>
  </si>
  <si>
    <t xml:space="preserve">Ss_70_30_80 </t>
  </si>
  <si>
    <t>Small power systems</t>
  </si>
  <si>
    <t xml:space="preserve">Ss_70_30_80_35 </t>
  </si>
  <si>
    <t>Hardwired low-voltage small power systems</t>
  </si>
  <si>
    <t xml:space="preserve">Ss_70_30_80_45 </t>
  </si>
  <si>
    <t>Low-voltage small power systems with prefabricated wiring</t>
  </si>
  <si>
    <t xml:space="preserve">Ss_70_30_94 </t>
  </si>
  <si>
    <t>Vehicle charging systems</t>
  </si>
  <si>
    <t xml:space="preserve">Ss_70_30_94_27 </t>
  </si>
  <si>
    <t>Electric vehicle charging systems</t>
  </si>
  <si>
    <t xml:space="preserve">Ss_70_80 </t>
  </si>
  <si>
    <t>Lighting systems</t>
  </si>
  <si>
    <t xml:space="preserve">Ss_70_80_25 </t>
  </si>
  <si>
    <t>External lighting systems</t>
  </si>
  <si>
    <t xml:space="preserve">Ss_70_80_25_05 </t>
  </si>
  <si>
    <t>Amenity lighting systems</t>
  </si>
  <si>
    <t xml:space="preserve">Ss_70_80_25_70 </t>
  </si>
  <si>
    <t>Roadway lighting systems</t>
  </si>
  <si>
    <t xml:space="preserve">Ss_70_80_33 </t>
  </si>
  <si>
    <t>General space lighting systems</t>
  </si>
  <si>
    <t xml:space="preserve">Ss_70_80_33_12 </t>
  </si>
  <si>
    <t>Central battery supplied emergency lighting systems</t>
  </si>
  <si>
    <t xml:space="preserve">Ss_70_80_33_33 </t>
  </si>
  <si>
    <t>General lighting systems with prefabricated wiring</t>
  </si>
  <si>
    <t xml:space="preserve">Ss_70_80_33_35 </t>
  </si>
  <si>
    <t>Hardwired general lighting systems</t>
  </si>
  <si>
    <t xml:space="preserve">Ss_70_80_33_92 </t>
  </si>
  <si>
    <t>Underwater lighting systems</t>
  </si>
  <si>
    <t xml:space="preserve">Ss_75 </t>
  </si>
  <si>
    <t>Communications, security, safety, control and protection systems</t>
  </si>
  <si>
    <t xml:space="preserve">Ss_75_10 </t>
  </si>
  <si>
    <t>Communications systems</t>
  </si>
  <si>
    <t xml:space="preserve">Ss_75_10_46 </t>
  </si>
  <si>
    <t>Listening systems</t>
  </si>
  <si>
    <t xml:space="preserve">Ss_75_10_46_05 </t>
  </si>
  <si>
    <t>Audio-frequency induction-loop systems</t>
  </si>
  <si>
    <t xml:space="preserve">Ss_75_10_68 </t>
  </si>
  <si>
    <t>Public communications systems</t>
  </si>
  <si>
    <t xml:space="preserve">Ss_75_10_68_42 </t>
  </si>
  <si>
    <t>Customer information system</t>
  </si>
  <si>
    <t xml:space="preserve">Ss_75_10_68_68 </t>
  </si>
  <si>
    <t>Public address systems</t>
  </si>
  <si>
    <t xml:space="preserve">Ss_75_10_72 </t>
  </si>
  <si>
    <t>Emergency communication systems</t>
  </si>
  <si>
    <t xml:space="preserve">Ss_75_10_72_30 </t>
  </si>
  <si>
    <t>Firefighting intercom systems</t>
  </si>
  <si>
    <t xml:space="preserve">Ss_75_40 </t>
  </si>
  <si>
    <t>Security systems</t>
  </si>
  <si>
    <t xml:space="preserve">Ss_75_40_02 </t>
  </si>
  <si>
    <t>Access control systems</t>
  </si>
  <si>
    <t xml:space="preserve">Ss_75_40_02_05 </t>
  </si>
  <si>
    <t>Audio intercom systems</t>
  </si>
  <si>
    <t xml:space="preserve">Ss_75_40_02_11 </t>
  </si>
  <si>
    <t>Card access control systems</t>
  </si>
  <si>
    <t xml:space="preserve">Ss_75_40_53 </t>
  </si>
  <si>
    <t>Monitoring systems</t>
  </si>
  <si>
    <t xml:space="preserve">Ss_75_40_53_86 </t>
  </si>
  <si>
    <t>Surveillance CCTV systems</t>
  </si>
  <si>
    <t xml:space="preserve">Ss_75_40_53_90 </t>
  </si>
  <si>
    <t>Train dispatch CCTV systems</t>
  </si>
  <si>
    <t xml:space="preserve">Ss_75_40_75 </t>
  </si>
  <si>
    <t>Security detection alarm systems</t>
  </si>
  <si>
    <t xml:space="preserve">Ss_75_40_75_40 </t>
  </si>
  <si>
    <t>Ss_75_40_75_40</t>
  </si>
  <si>
    <t xml:space="preserve">Ss_75_50 </t>
  </si>
  <si>
    <t>Safety and protection systems</t>
  </si>
  <si>
    <t xml:space="preserve">Ss_75_50_11 </t>
  </si>
  <si>
    <t>Call and alarm systems</t>
  </si>
  <si>
    <t xml:space="preserve">Ss_75_50_11_27 </t>
  </si>
  <si>
    <t>Emergency voice communication systems</t>
  </si>
  <si>
    <t xml:space="preserve">Ss_75_50_11_95 </t>
  </si>
  <si>
    <t>Voice alarm systems</t>
  </si>
  <si>
    <t xml:space="preserve">Ss_75_50_28 </t>
  </si>
  <si>
    <t>Fire and smoke detection and alarm systems</t>
  </si>
  <si>
    <t xml:space="preserve">Ss_75_50_28_05 </t>
  </si>
  <si>
    <t>Aspirating detection systems</t>
  </si>
  <si>
    <t xml:space="preserve">Ss_75_50_28_24 </t>
  </si>
  <si>
    <t>Duct smoke detector systems</t>
  </si>
  <si>
    <t xml:space="preserve">Ss_75_50_28_29 </t>
  </si>
  <si>
    <t>Fire detection and alarm systems</t>
  </si>
  <si>
    <t xml:space="preserve">Ss_75_50_33 </t>
  </si>
  <si>
    <t>Gas and liquid detection and alarm systems</t>
  </si>
  <si>
    <t xml:space="preserve">Ss_75_50_33_71 </t>
  </si>
  <si>
    <t>Refrigerant leak detection and alarm systems</t>
  </si>
  <si>
    <t xml:space="preserve">Ss_75_50_33_96 </t>
  </si>
  <si>
    <t>Water leak detection and alarm systems</t>
  </si>
  <si>
    <t xml:space="preserve">Ss_75_50_45 </t>
  </si>
  <si>
    <t>Electrical protection systems</t>
  </si>
  <si>
    <t xml:space="preserve">Ss_75_50_45_45 </t>
  </si>
  <si>
    <t>Lightning protection systems</t>
  </si>
  <si>
    <t xml:space="preserve">Ss_75_60 </t>
  </si>
  <si>
    <t>Environmental safety systems</t>
  </si>
  <si>
    <t xml:space="preserve">Ss_75_60_52 </t>
  </si>
  <si>
    <t>Meteorological instrumentation systems</t>
  </si>
  <si>
    <t xml:space="preserve">Ss_75_60_52_95 </t>
  </si>
  <si>
    <t>Weather observation systems</t>
  </si>
  <si>
    <t xml:space="preserve">Ss_75_70 </t>
  </si>
  <si>
    <t>Control and management systems</t>
  </si>
  <si>
    <t xml:space="preserve">Ss_75_70_52 </t>
  </si>
  <si>
    <t>Mechanical engineering services control and management systems</t>
  </si>
  <si>
    <t xml:space="preserve">Ss_75_70_52_03 </t>
  </si>
  <si>
    <t>Air-to-air heat pump control systems</t>
  </si>
  <si>
    <t xml:space="preserve">Ss_75_70_52_16 </t>
  </si>
  <si>
    <t>Constant volume air conditioning control systems</t>
  </si>
  <si>
    <t xml:space="preserve">Ss_75_70_52_17 </t>
  </si>
  <si>
    <t>Cooling system control systems</t>
  </si>
  <si>
    <t xml:space="preserve">Ss_75_70_52_28 </t>
  </si>
  <si>
    <t>Extract ventilation control systems</t>
  </si>
  <si>
    <t xml:space="preserve">Ss_75_70_52_29 </t>
  </si>
  <si>
    <t>Fan coil unit air conditioning control systems</t>
  </si>
  <si>
    <t xml:space="preserve">Ss_75_70_52_36 </t>
  </si>
  <si>
    <t>Heating system control systems</t>
  </si>
  <si>
    <t xml:space="preserve">Ss_75_70_52_38 </t>
  </si>
  <si>
    <t>Heat pump control systems</t>
  </si>
  <si>
    <t xml:space="preserve">Ss_75_70_52_52 </t>
  </si>
  <si>
    <t>Mixed mode ventilation control systems</t>
  </si>
  <si>
    <t xml:space="preserve">Ss_75_70_52_56 </t>
  </si>
  <si>
    <t>Natural ventilation control systems</t>
  </si>
  <si>
    <t xml:space="preserve">Ss_75_70_52_80 </t>
  </si>
  <si>
    <t>Smoke and heat detection extract control systems</t>
  </si>
  <si>
    <t xml:space="preserve">Ss_75_70_52_81 </t>
  </si>
  <si>
    <t>Smoke and heat detection shut down control systems</t>
  </si>
  <si>
    <t xml:space="preserve">Ss_75_70_52_93 </t>
  </si>
  <si>
    <t>Variable volume air conditioning control systems</t>
  </si>
  <si>
    <t xml:space="preserve">Ss_75_70_52_97 </t>
  </si>
  <si>
    <t>Water to air heat pump control systems</t>
  </si>
  <si>
    <t xml:space="preserve">Ss_75_70_54 </t>
  </si>
  <si>
    <t>Metering, monitoring and management systems</t>
  </si>
  <si>
    <t xml:space="preserve">Ss_75_70_54_10 </t>
  </si>
  <si>
    <t>Building monitoring and management systems</t>
  </si>
  <si>
    <t xml:space="preserve">Ss_75_70_54_25 </t>
  </si>
  <si>
    <t>Electricity metering systems</t>
  </si>
  <si>
    <t xml:space="preserve">Ss_75_70_85 </t>
  </si>
  <si>
    <t>Structural Monitoring Systems</t>
  </si>
  <si>
    <t xml:space="preserve">Ss_75_90 </t>
  </si>
  <si>
    <t>Ticket management systems</t>
  </si>
  <si>
    <t xml:space="preserve">Ss_75_90_93 </t>
  </si>
  <si>
    <t>Ticket validation systems</t>
  </si>
  <si>
    <t xml:space="preserve">Ss_75_90_93_11 </t>
  </si>
  <si>
    <t>Card reading systems</t>
  </si>
  <si>
    <t xml:space="preserve">Ss_80 </t>
  </si>
  <si>
    <t>Transport systems</t>
  </si>
  <si>
    <t xml:space="preserve">Ss_80_50 </t>
  </si>
  <si>
    <t>Lift systems</t>
  </si>
  <si>
    <t xml:space="preserve">Ss_80_50_60 </t>
  </si>
  <si>
    <t>Passenger and goods lift systems</t>
  </si>
  <si>
    <t xml:space="preserve">Ss_80_50_60_26 </t>
  </si>
  <si>
    <t>Electric lift systems</t>
  </si>
  <si>
    <t xml:space="preserve">Ss_80_50_60_39 </t>
  </si>
  <si>
    <t>Hydraulic lift systems</t>
  </si>
  <si>
    <t xml:space="preserve">SL_20_65_42 </t>
  </si>
  <si>
    <t xml:space="preserve">SL_20_95_20 </t>
  </si>
  <si>
    <t xml:space="preserve">SL_20_95_28 </t>
  </si>
  <si>
    <t xml:space="preserve">SL_20_95_30 </t>
  </si>
  <si>
    <t xml:space="preserve">SL_20_95_80 </t>
  </si>
  <si>
    <t xml:space="preserve">SL_25_90_65 </t>
  </si>
  <si>
    <t xml:space="preserve">SL_30_60_94 </t>
  </si>
  <si>
    <t xml:space="preserve">SL_55_20 </t>
  </si>
  <si>
    <t xml:space="preserve">SL_55_20_65 </t>
  </si>
  <si>
    <t xml:space="preserve">SL_55_40 </t>
  </si>
  <si>
    <t xml:space="preserve">SL_55_60 </t>
  </si>
  <si>
    <t xml:space="preserve">SL_60_30 </t>
  </si>
  <si>
    <t xml:space="preserve">SL_60_60 </t>
  </si>
  <si>
    <t xml:space="preserve">SL_75_60 </t>
  </si>
  <si>
    <t xml:space="preserve">SL_80_10_22 </t>
  </si>
  <si>
    <t xml:space="preserve">SL_80_50_27 </t>
  </si>
  <si>
    <t xml:space="preserve">SL_80_50_28 </t>
  </si>
  <si>
    <t xml:space="preserve">SL_80_50_47 </t>
  </si>
  <si>
    <t xml:space="preserve">SL_80_50_50 </t>
  </si>
  <si>
    <t xml:space="preserve">SL_80_50_70 </t>
  </si>
  <si>
    <t xml:space="preserve">SL_80_50_71 </t>
  </si>
  <si>
    <t xml:space="preserve">SL_80_50_72 </t>
  </si>
  <si>
    <t xml:space="preserve">SL_80_50_85 </t>
  </si>
  <si>
    <t xml:space="preserve">SL_80_50_90 </t>
  </si>
  <si>
    <t xml:space="preserve">SL_80_50_95 </t>
  </si>
  <si>
    <t xml:space="preserve">SL_80_50_97 </t>
  </si>
  <si>
    <t xml:space="preserve">SL_80_96_15 </t>
  </si>
  <si>
    <t xml:space="preserve">SL_80_96_64 </t>
  </si>
  <si>
    <t xml:space="preserve">SL_90_20_14 </t>
  </si>
  <si>
    <t xml:space="preserve">SL_90_30 </t>
  </si>
  <si>
    <t xml:space="preserve">SL_90_30_30 </t>
  </si>
  <si>
    <t xml:space="preserve">SL_90_30_80 </t>
  </si>
  <si>
    <t xml:space="preserve">SL_90_30_90 </t>
  </si>
  <si>
    <t xml:space="preserve">SL_90_50_80 </t>
  </si>
  <si>
    <t xml:space="preserve">strAttr Reference Number </t>
  </si>
  <si>
    <t xml:space="preserve">numAttr Width Average (m) </t>
  </si>
  <si>
    <t xml:space="preserve">strAttr Third Party Name </t>
  </si>
  <si>
    <t xml:space="preserve">strAttr Thickness of Lining (mm) </t>
  </si>
  <si>
    <t>Pr_35_57_71_75 Rubber tiles</t>
  </si>
  <si>
    <t>Pr_15_57_30 Geomembranes</t>
  </si>
  <si>
    <t>Pr_25_71_80_23-Fibre-reinforced calcium silicate boards</t>
  </si>
  <si>
    <t>Pr_25_80_80_43-Intumescent sheet cavity barriers</t>
  </si>
  <si>
    <t>CV</t>
  </si>
  <si>
    <t>BR</t>
  </si>
  <si>
    <t>FB</t>
  </si>
  <si>
    <t xml:space="preserve">numAttr Volume (m³) </t>
  </si>
  <si>
    <t xml:space="preserve">strAttr Height (m) </t>
  </si>
  <si>
    <t xml:space="preserve">numAttr Height (max) (m) </t>
  </si>
  <si>
    <t xml:space="preserve">numAttr Maximum Permitted Weight </t>
  </si>
  <si>
    <t xml:space="preserve">numAttr Rebar Density (kg/m³) </t>
  </si>
  <si>
    <t xml:space="preserve">numAttr Rebar Volume (m³) </t>
  </si>
  <si>
    <t xml:space="preserve">strAttr Structure Type
(Unique type identifier) </t>
  </si>
  <si>
    <t xml:space="preserve">strAttr External Perimeter </t>
  </si>
  <si>
    <t xml:space="preserve">strAttr Fire Rating </t>
  </si>
  <si>
    <t xml:space="preserve">strAttr Infiltration Potential </t>
  </si>
  <si>
    <t xml:space="preserve">numAttr Thickness (max) (M) </t>
  </si>
  <si>
    <t xml:space="preserve">numAttr Wet Well Volume </t>
  </si>
  <si>
    <t xml:space="preserve">numAttr Depth (m) </t>
  </si>
  <si>
    <t xml:space="preserve">numAttr Finish Invert Level </t>
  </si>
  <si>
    <t xml:space="preserve">numAttr Lowest Level (mAOD) </t>
  </si>
  <si>
    <t xml:space="preserve">strAttr Surround Material </t>
  </si>
  <si>
    <t xml:space="preserve">numAttr Nominal Diameter (m)
(Smallest dia. of asset) </t>
  </si>
  <si>
    <t xml:space="preserve">numAttr Maximum Loading (Tonnes/m²) </t>
  </si>
  <si>
    <t xml:space="preserve">strAttr Mounting </t>
  </si>
  <si>
    <t xml:space="preserve">intAttr Diameter (External) (mm) </t>
  </si>
  <si>
    <t xml:space="preserve">strAttr Design Flow Basis </t>
  </si>
  <si>
    <t xml:space="preserve">intAttr Total Flood Storage Volume estimate (m3) </t>
  </si>
  <si>
    <t xml:space="preserve">strAttr Flow Direction </t>
  </si>
  <si>
    <t xml:space="preserve">numAttr Inlet Level (m AoD) </t>
  </si>
  <si>
    <t xml:space="preserve">strAttr Inlet Point
(Osgb Coordinates) </t>
  </si>
  <si>
    <t xml:space="preserve">numAttr Internal Perimeter (m) </t>
  </si>
  <si>
    <t xml:space="preserve">numAttr Invert Level (mAoD) </t>
  </si>
  <si>
    <t xml:space="preserve">strAttr Material (Pipe) </t>
  </si>
  <si>
    <t xml:space="preserve">numAttr Maximum depth of flow </t>
  </si>
  <si>
    <t xml:space="preserve">numAttr Outflow Rate (l/s) </t>
  </si>
  <si>
    <t xml:space="preserve">numAttr Pump Duties (l/s) </t>
  </si>
  <si>
    <t xml:space="preserve">numAttr Pumping Head (m) </t>
  </si>
  <si>
    <t xml:space="preserve">strAttr Pump Type </t>
  </si>
  <si>
    <t xml:space="preserve">numAttr Pipe Size (cm) </t>
  </si>
  <si>
    <t xml:space="preserve">strAttr Pipe Type </t>
  </si>
  <si>
    <t xml:space="preserve">strAttr BS EN 124 class for gully top </t>
  </si>
  <si>
    <t xml:space="preserve">strAttr Gully Material </t>
  </si>
  <si>
    <t xml:space="preserve">strAttr Gully Top Material </t>
  </si>
  <si>
    <t xml:space="preserve">numAttr Depth (Min) m </t>
  </si>
  <si>
    <t xml:space="preserve">strAttr Depth (max) (m) </t>
  </si>
  <si>
    <t xml:space="preserve">strAttr Area (sq.m) </t>
  </si>
  <si>
    <t xml:space="preserve">numAttr Design Flow (l/s) </t>
  </si>
  <si>
    <t xml:space="preserve">strAttr Pile Section Details </t>
  </si>
  <si>
    <t xml:space="preserve">intAttr Retained Height (m) </t>
  </si>
  <si>
    <t xml:space="preserve">strAttr Diameter (Internal) (mm) </t>
  </si>
  <si>
    <t xml:space="preserve">numAttr Nominal Surface Area </t>
  </si>
  <si>
    <t xml:space="preserve">strAttr Finishing – Formwork </t>
  </si>
  <si>
    <t xml:space="preserve">strAttr Finishing – Top Surface </t>
  </si>
  <si>
    <t xml:space="preserve">intAttr Embedded Length (m)
(Vertical embedded length) </t>
  </si>
  <si>
    <t xml:space="preserve">numAttr Net Plan Area (external)(m²) </t>
  </si>
  <si>
    <t xml:space="preserve">numAttr Gross Surface Area (internal) (m²) </t>
  </si>
  <si>
    <t xml:space="preserve">numAttr Net Surface Area (external) (m²) </t>
  </si>
  <si>
    <t xml:space="preserve">numAttr Net Surface Area (internal) (m²) </t>
  </si>
  <si>
    <t xml:space="preserve">numAttr Plane formwork class (Angle of inclination in deg) </t>
  </si>
  <si>
    <t>B125</t>
  </si>
  <si>
    <t>1MC07-CEK-BR-DMB-CS07_CL26-000009</t>
  </si>
  <si>
    <t>1MC07-CEK-BR-DM3-CS07_CL26-000005</t>
  </si>
  <si>
    <t>Bridleway AG9 Overbridge</t>
  </si>
  <si>
    <t>1MC06-CEK-DR-REP-C002-000030</t>
  </si>
  <si>
    <t>HS2-00002H0KP</t>
  </si>
  <si>
    <t>Bridleway AG9 Overbridge-ABT-A01-0001</t>
  </si>
  <si>
    <t>HS2-00002H0KQ</t>
  </si>
  <si>
    <t>Bridleway AG9 Overbridge-ABT-A02-0001</t>
  </si>
  <si>
    <t>HS2-00002H0QG</t>
  </si>
  <si>
    <t>Bridleway AG9 Overbridge-BEM-A01-0001</t>
  </si>
  <si>
    <t>HS2-00002H0QH</t>
  </si>
  <si>
    <t>Bridleway AG9 Overbridge-BEM-A01-0002</t>
  </si>
  <si>
    <t>HS2-00002H0QJ</t>
  </si>
  <si>
    <t>Bridleway AG9 Overbridge-BEM-A01-0004</t>
  </si>
  <si>
    <t>HS2-00002H0QK</t>
  </si>
  <si>
    <t>Bridleway AG9 Overbridge-BEM-A02-0001</t>
  </si>
  <si>
    <t>HS2-00002H0QL</t>
  </si>
  <si>
    <t>Bridleway AG9 Overbridge-BEM-A02-0002</t>
  </si>
  <si>
    <t>HS2-00002H0QM</t>
  </si>
  <si>
    <t>Bridleway AG9 Overbridge-BEM-A02-0004</t>
  </si>
  <si>
    <t>HS2-00002H0QN</t>
  </si>
  <si>
    <t>Bridleway AG9 Overbridge-BEM-CLM-0001</t>
  </si>
  <si>
    <t>HS2-00002H0KX</t>
  </si>
  <si>
    <t>Bridleway AG9 Overbridge-BER-A01-0001</t>
  </si>
  <si>
    <t>HS2-00002H0KY</t>
  </si>
  <si>
    <t>Bridleway AG9 Overbridge-BER-A01-0002</t>
  </si>
  <si>
    <t>HS2-00002H0KZ</t>
  </si>
  <si>
    <t>Bridleway AG9 Overbridge-BER-A02-0001</t>
  </si>
  <si>
    <t>HS2-00002H0L0</t>
  </si>
  <si>
    <t>Bridleway AG9 Overbridge-BER-A02-0002</t>
  </si>
  <si>
    <t>HS2-00002H0KT</t>
  </si>
  <si>
    <t>Bridleway AG9 Overbridge-DRF-A01-0001</t>
  </si>
  <si>
    <t>HS2-00002H0KU</t>
  </si>
  <si>
    <t>Bridleway AG9 Overbridge-DRF-A01-0002</t>
  </si>
  <si>
    <t>HS2-00002H0KV</t>
  </si>
  <si>
    <t>Bridleway AG9 Overbridge-DRF-A01-0003</t>
  </si>
  <si>
    <t>HS2-00002H0LB</t>
  </si>
  <si>
    <t>Bridleway AG9 Overbridge-DRF-A01-0004</t>
  </si>
  <si>
    <t>HS2-00002H0LC</t>
  </si>
  <si>
    <t>Bridleway AG9 Overbridge-DRF-A01-0005</t>
  </si>
  <si>
    <t>HS2-00002H0KW</t>
  </si>
  <si>
    <t>Bridleway AG9 Overbridge-DRF-A02-0001</t>
  </si>
  <si>
    <t>HS2-00002H0L7</t>
  </si>
  <si>
    <t>Bridleway AG9 Overbridge-DRF-A02-0002</t>
  </si>
  <si>
    <t>HS2-00002H0L8</t>
  </si>
  <si>
    <t>Bridleway AG9 Overbridge-DRF-A02-0003</t>
  </si>
  <si>
    <t>HS2-00002H0L9</t>
  </si>
  <si>
    <t>Bridleway AG9 Overbridge-DRF-A02-0004</t>
  </si>
  <si>
    <t>HS2-00002H0LA</t>
  </si>
  <si>
    <t>Bridleway AG9 Overbridge-DRF-A02-0005</t>
  </si>
  <si>
    <t>HS2-000031VEY</t>
  </si>
  <si>
    <t>Bridleway AG9 Overbridge-GLY-A01-0001</t>
  </si>
  <si>
    <t>HS2-000031VEZ</t>
  </si>
  <si>
    <t>Bridleway AG9 Overbridge-GLY-A02-0001</t>
  </si>
  <si>
    <t>HS2-00002H0LG</t>
  </si>
  <si>
    <t>Bridleway AG9 Overbridge-GSL-A01-0001</t>
  </si>
  <si>
    <t>HS2-00002H0LH</t>
  </si>
  <si>
    <t>Bridleway AG9 Overbridge-GSL-A01-0002</t>
  </si>
  <si>
    <t>HS2-000031VF0</t>
  </si>
  <si>
    <t>Bridleway AG9 Overbridge-GSL-A01-0003</t>
  </si>
  <si>
    <t>HS2-000031VF1</t>
  </si>
  <si>
    <t>Bridleway AG9 Overbridge-GSL-A01-0004</t>
  </si>
  <si>
    <t>HS2-000032243</t>
  </si>
  <si>
    <t>Bridleway AG9 Overbridge-GSL-A01-0005</t>
  </si>
  <si>
    <t>HS2-000032244</t>
  </si>
  <si>
    <t>Bridleway AG9 Overbridge-GSL-A01-0006</t>
  </si>
  <si>
    <t>HS2-000031Q1E</t>
  </si>
  <si>
    <t>Bridleway AG9 Overbridge-GSL-A02-0001</t>
  </si>
  <si>
    <t>HS2-000031Q1L</t>
  </si>
  <si>
    <t>Bridleway AG9 Overbridge-GSL-A02-0002</t>
  </si>
  <si>
    <t>HS2-000031VF2</t>
  </si>
  <si>
    <t>Bridleway AG9 Overbridge-GSL-A02-0003</t>
  </si>
  <si>
    <t>HS2-000031VF3</t>
  </si>
  <si>
    <t>Bridleway AG9 Overbridge-GSL-A02-0004</t>
  </si>
  <si>
    <t>HS2-000032245</t>
  </si>
  <si>
    <t>Bridleway AG9 Overbridge-GSL-A02-0005</t>
  </si>
  <si>
    <t>HS2-000032246</t>
  </si>
  <si>
    <t>Bridleway AG9 Overbridge-GSL-A02-0006</t>
  </si>
  <si>
    <t>HS2-000031Q2Q</t>
  </si>
  <si>
    <t>Bridleway AG9 Overbridge-PPE-A01-0001</t>
  </si>
  <si>
    <t>HS2-000031VF4</t>
  </si>
  <si>
    <t>Bridleway AG9 Overbridge-PPE-A01-0002</t>
  </si>
  <si>
    <t>HS2-000031Q2V</t>
  </si>
  <si>
    <t>Bridleway AG9 Overbridge-PPE-A02-0001</t>
  </si>
  <si>
    <t>HS2-000031VF5</t>
  </si>
  <si>
    <t>Bridleway AG9 Overbridge-PPE-A02-0002</t>
  </si>
  <si>
    <t>HS2-00002H0LN</t>
  </si>
  <si>
    <t>Bridleway AG9 Overbridge-PRP-A01-0001</t>
  </si>
  <si>
    <t>HS2-00002H0LQ</t>
  </si>
  <si>
    <t>Bridleway AG9 Overbridge-PRP-A01-0002</t>
  </si>
  <si>
    <t>HS2-00002H0LP</t>
  </si>
  <si>
    <t>Bridleway AG9 Overbridge-PRP-A02-0001</t>
  </si>
  <si>
    <t>HS2-00002H0LR</t>
  </si>
  <si>
    <t>Bridleway AG9 Overbridge-PRP-A02-0002</t>
  </si>
  <si>
    <t>HS2-00002H0M8</t>
  </si>
  <si>
    <t>Bridleway AG9 Overbridge-PRP-CLL-0017</t>
  </si>
  <si>
    <t>HS2-00002H0M7</t>
  </si>
  <si>
    <t>Bridleway AG9 Overbridge-PRP-CLL-0016</t>
  </si>
  <si>
    <t>HS2-00002H0M6</t>
  </si>
  <si>
    <t>Bridleway AG9 Overbridge-PRP-CLL-0015</t>
  </si>
  <si>
    <t>HS2-00002H0M5</t>
  </si>
  <si>
    <t>Bridleway AG9 Overbridge-PRP-CLL-0014</t>
  </si>
  <si>
    <t>HS2-00002H0M4</t>
  </si>
  <si>
    <t>Bridleway AG9 Overbridge-PRP-CLL-0013</t>
  </si>
  <si>
    <t>HS2-00002H0M3</t>
  </si>
  <si>
    <t>Bridleway AG9 Overbridge-PRP-CLL-0012</t>
  </si>
  <si>
    <t>HS2-00002H0M2</t>
  </si>
  <si>
    <t>Bridleway AG9 Overbridge-PRP-CLL-0011</t>
  </si>
  <si>
    <t>HS2-00002H0M1</t>
  </si>
  <si>
    <t>Bridleway AG9 Overbridge-PRP-CLL-0010</t>
  </si>
  <si>
    <t>HS2-00002H0M0</t>
  </si>
  <si>
    <t>Bridleway AG9 Overbridge-PRP-CLL-0009</t>
  </si>
  <si>
    <t>HS2-00002H0LZ</t>
  </si>
  <si>
    <t>Bridleway AG9 Overbridge-PRP-CLL-0008</t>
  </si>
  <si>
    <t>HS2-00002H0LY</t>
  </si>
  <si>
    <t>Bridleway AG9 Overbridge-PRP-CLL-0007</t>
  </si>
  <si>
    <t>HS2-00002H0LX</t>
  </si>
  <si>
    <t>Bridleway AG9 Overbridge-PRP-CLL-0006</t>
  </si>
  <si>
    <t>HS2-00002H0LW</t>
  </si>
  <si>
    <t>Bridleway AG9 Overbridge-PRP-CLL-0005</t>
  </si>
  <si>
    <t>HS2-00002H0LV</t>
  </si>
  <si>
    <t>Bridleway AG9 Overbridge-PRP-CLL-0004</t>
  </si>
  <si>
    <t>HS2-00002H0LU</t>
  </si>
  <si>
    <t>Bridleway AG9 Overbridge-PRP-CLL-0003</t>
  </si>
  <si>
    <t>HS2-00002H0LT</t>
  </si>
  <si>
    <t>Bridleway AG9 Overbridge-PRP-CLL-0002</t>
  </si>
  <si>
    <t>HS2-00002H0LS</t>
  </si>
  <si>
    <t>Bridleway AG9 Overbridge-PRP-CLL-0001</t>
  </si>
  <si>
    <t>HS2-00002H0MS</t>
  </si>
  <si>
    <t>Bridleway AG9 Overbridge-PRP-CLR-0017</t>
  </si>
  <si>
    <t>HS2-00002H0MR</t>
  </si>
  <si>
    <t>Bridleway AG9 Overbridge-PRP-CLR-0016</t>
  </si>
  <si>
    <t>HS2-00002H0MQ</t>
  </si>
  <si>
    <t>Bridleway AG9 Overbridge-PRP-CLR-0015</t>
  </si>
  <si>
    <t>HS2-00002H0MP</t>
  </si>
  <si>
    <t>Bridleway AG9 Overbridge-PRP-CLR-0014</t>
  </si>
  <si>
    <t>HS2-00002H0MN</t>
  </si>
  <si>
    <t>Bridleway AG9 Overbridge-PRP-CLR-0013</t>
  </si>
  <si>
    <t>HS2-00002H0MM</t>
  </si>
  <si>
    <t>Bridleway AG9 Overbridge-PRP-CLR-0012</t>
  </si>
  <si>
    <t>HS2-00002H0ML</t>
  </si>
  <si>
    <t>Bridleway AG9 Overbridge-PRP-CLR-0011</t>
  </si>
  <si>
    <t>HS2-00002H0MK</t>
  </si>
  <si>
    <t>Bridleway AG9 Overbridge-PRP-CLR-0010</t>
  </si>
  <si>
    <t>HS2-00002H0MJ</t>
  </si>
  <si>
    <t>Bridleway AG9 Overbridge-PRP-CLR-0009</t>
  </si>
  <si>
    <t>HS2-00002H0MH</t>
  </si>
  <si>
    <t>Bridleway AG9 Overbridge-PRP-CLR-0008</t>
  </si>
  <si>
    <t>HS2-00002H0MF</t>
  </si>
  <si>
    <t>Bridleway AG9 Overbridge-PRP-CLR-0007</t>
  </si>
  <si>
    <t>HS2-00002H0ME</t>
  </si>
  <si>
    <t>Bridleway AG9 Overbridge-PRP-CLR-0006</t>
  </si>
  <si>
    <t>HS2-00002H0MD</t>
  </si>
  <si>
    <t>Bridleway AG9 Overbridge-PRP-CLR-0005</t>
  </si>
  <si>
    <t>HS2-00002H0MC</t>
  </si>
  <si>
    <t>Bridleway AG9 Overbridge-PRP-CLR-0004</t>
  </si>
  <si>
    <t>HS2-00002H0MB</t>
  </si>
  <si>
    <t>Bridleway AG9 Overbridge-PRP-CLR-0003</t>
  </si>
  <si>
    <t>HS2-00002H0MA</t>
  </si>
  <si>
    <t>Bridleway AG9 Overbridge-PRP-CLR-0002</t>
  </si>
  <si>
    <t>HS2-00002H0M9</t>
  </si>
  <si>
    <t>Bridleway AG9 Overbridge-PRP-CLR-0001</t>
  </si>
  <si>
    <t>HS2-00002H0QC</t>
  </si>
  <si>
    <t>Bridleway AG9 Overbridge-STR-A01-0001</t>
  </si>
  <si>
    <t>HS2-00002H0QD</t>
  </si>
  <si>
    <t>Bridleway AG9 Overbridge-STR-A02-0001</t>
  </si>
  <si>
    <t>HS2-00003218D</t>
  </si>
  <si>
    <t>Bridleway AG9 Overbridge-STR-TLD-0006</t>
  </si>
  <si>
    <t>HS2-000031VFF</t>
  </si>
  <si>
    <t>Bridleway AG9 Overbridge-STR-TLD-0005</t>
  </si>
  <si>
    <t>HS2-000031VFE</t>
  </si>
  <si>
    <t>Bridleway AG9 Overbridge-STR-TLD-0004</t>
  </si>
  <si>
    <t>HS2-000031VFD</t>
  </si>
  <si>
    <t>Bridleway AG9 Overbridge-STR-TLD-0003</t>
  </si>
  <si>
    <t>HS2-000031VFC</t>
  </si>
  <si>
    <t>Bridleway AG9 Overbridge-STR-TLD-0002</t>
  </si>
  <si>
    <t>HS2-000031VFB</t>
  </si>
  <si>
    <t>Bridleway AG9 Overbridge-STR-TLD-0001</t>
  </si>
  <si>
    <t>HS2-00003218E</t>
  </si>
  <si>
    <t>Bridleway AG9 Overbridge-STR-TLU-0006</t>
  </si>
  <si>
    <t>HS2-000031VFA</t>
  </si>
  <si>
    <t>Bridleway AG9 Overbridge-STR-TLU-0005</t>
  </si>
  <si>
    <t>HS2-000031VF9</t>
  </si>
  <si>
    <t>Bridleway AG9 Overbridge-STR-TLU-0004</t>
  </si>
  <si>
    <t>HS2-000031VF8</t>
  </si>
  <si>
    <t>Bridleway AG9 Overbridge-STR-TLU-0003</t>
  </si>
  <si>
    <t>HS2-000031VF7</t>
  </si>
  <si>
    <t>Bridleway AG9 Overbridge-STR-TLU-0002</t>
  </si>
  <si>
    <t>HS2-000031VF6</t>
  </si>
  <si>
    <t>Bridleway AG9 Overbridge-STR-TLU-0001</t>
  </si>
  <si>
    <t>HS2-00002H180</t>
  </si>
  <si>
    <t>Bridleway AG9 Overbridge-STW-A01-0001</t>
  </si>
  <si>
    <t>HS2-00002H181</t>
  </si>
  <si>
    <t>Bridleway AG9 Overbridge-STW-A01-0002</t>
  </si>
  <si>
    <t>HS2-00002H187</t>
  </si>
  <si>
    <t>Bridleway AG9 Overbridge-STW-A01-0003</t>
  </si>
  <si>
    <t>HS2-00002H182</t>
  </si>
  <si>
    <t>Bridleway AG9 Overbridge-STW-A01-0004</t>
  </si>
  <si>
    <t>HS2-00002H183</t>
  </si>
  <si>
    <t>Bridleway AG9 Overbridge-STW-A02-0001</t>
  </si>
  <si>
    <t>HS2-00002H184</t>
  </si>
  <si>
    <t>Bridleway AG9 Overbridge-STW-A02-0002</t>
  </si>
  <si>
    <t>HS2-00002H186</t>
  </si>
  <si>
    <t>Bridleway AG9 Overbridge-STW-A02-0003</t>
  </si>
  <si>
    <t>HS2-00002H185</t>
  </si>
  <si>
    <t>Bridleway AG9 Overbridge-STW-A02-0004</t>
  </si>
  <si>
    <t>HS2-00002H0LJ</t>
  </si>
  <si>
    <t>Bridleway AG9 Overbridge-WLK-A01-0001</t>
  </si>
  <si>
    <t>HS2-00002H0LK</t>
  </si>
  <si>
    <t>Bridleway AG9 Overbridge-WLK-A02-0001</t>
  </si>
  <si>
    <t>HS2-000031Q2Z</t>
  </si>
  <si>
    <t>Bridleway AG9 Overbridge-WPF-CLM-0001</t>
  </si>
  <si>
    <t>106-S2</t>
  </si>
  <si>
    <t>HS2-000001343</t>
  </si>
  <si>
    <t>Ss_20_50_10_70</t>
  </si>
  <si>
    <t>452,709.23</t>
  </si>
  <si>
    <t>246,554.81</t>
  </si>
  <si>
    <t>M</t>
  </si>
  <si>
    <t>ReinforcedConcreteBridgeAbutment</t>
  </si>
  <si>
    <t>BR-Ss_20_50_10_70-M_ReinforcedConcreteBridgeAbutment</t>
  </si>
  <si>
    <t>ABT-A01-0001</t>
  </si>
  <si>
    <t>HS2-00002C5U6</t>
  </si>
  <si>
    <t>452,744.11</t>
  </si>
  <si>
    <t>246,580.59</t>
  </si>
  <si>
    <t>ABT-A02-0001</t>
  </si>
  <si>
    <t>Ss_20_50_10_95</t>
  </si>
  <si>
    <t>452,704.58</t>
  </si>
  <si>
    <t>246,554.02</t>
  </si>
  <si>
    <t>WingWall</t>
  </si>
  <si>
    <t>BR-Ss_20_50_10_95-M_WingWall</t>
  </si>
  <si>
    <t>BEM-A01-0001</t>
  </si>
  <si>
    <t>452,707.10</t>
  </si>
  <si>
    <t>246,550.61</t>
  </si>
  <si>
    <t>BEM-A01-0002</t>
  </si>
  <si>
    <t>452,708.34</t>
  </si>
  <si>
    <t>246,554.16</t>
  </si>
  <si>
    <t>BEM-A01-0004</t>
  </si>
  <si>
    <t>452,748.75</t>
  </si>
  <si>
    <t>246,581.39</t>
  </si>
  <si>
    <t>BEM-A02-0001</t>
  </si>
  <si>
    <t>452,746.24</t>
  </si>
  <si>
    <t>246,584.80</t>
  </si>
  <si>
    <t>BEM-A02-0002</t>
  </si>
  <si>
    <t>452,745.00</t>
  </si>
  <si>
    <t>246,581.25</t>
  </si>
  <si>
    <t>BEM-A02-0004</t>
  </si>
  <si>
    <t>EF_30_70</t>
  </si>
  <si>
    <t>452,726.67</t>
  </si>
  <si>
    <t>246,567.70</t>
  </si>
  <si>
    <t>BridgeDeck</t>
  </si>
  <si>
    <t>BR-EF_30_70-M_BridgeDeck</t>
  </si>
  <si>
    <t>BEM-CLM-0001</t>
  </si>
  <si>
    <t>Pr_20_85_10</t>
  </si>
  <si>
    <t>452,708.69</t>
  </si>
  <si>
    <t>246,556.71</t>
  </si>
  <si>
    <t>BridgeBearing</t>
  </si>
  <si>
    <t>BR-Pr_20_85_10-M_BridgeBearing</t>
  </si>
  <si>
    <t>BER-A01-0001</t>
  </si>
  <si>
    <t>452,710.88</t>
  </si>
  <si>
    <t>246,553.74</t>
  </si>
  <si>
    <t>BER-A01-0002</t>
  </si>
  <si>
    <t>452,742.45</t>
  </si>
  <si>
    <t>246,581.67</t>
  </si>
  <si>
    <t>BER-A02-0001</t>
  </si>
  <si>
    <t>452,744.65</t>
  </si>
  <si>
    <t>246,578.69</t>
  </si>
  <si>
    <t>BER-A02-0002</t>
  </si>
  <si>
    <t>Bridleway AG9 Overbridge-BLD-A01-0001</t>
  </si>
  <si>
    <t>HS2-000031Q0X</t>
  </si>
  <si>
    <t>Pr_20_76_08_88</t>
  </si>
  <si>
    <t>452,733.41</t>
  </si>
  <si>
    <t>246,572.68</t>
  </si>
  <si>
    <t>TimberBollard</t>
  </si>
  <si>
    <t>BR-Pr_20_76_08_88-M-TimberBollard</t>
  </si>
  <si>
    <t>BLD-A01-0001</t>
  </si>
  <si>
    <t>Bridleway AG9 Overbridge-BLD-A01-0002</t>
  </si>
  <si>
    <t>HS2-000031VES</t>
  </si>
  <si>
    <t>452,731.52</t>
  </si>
  <si>
    <t>246,571.46</t>
  </si>
  <si>
    <t>BLD-A01-0002</t>
  </si>
  <si>
    <t>Bridleway AG9 Overbridge-BLD-A01-0003</t>
  </si>
  <si>
    <t>HS2-000031VET</t>
  </si>
  <si>
    <t>452,734.78</t>
  </si>
  <si>
    <t>246,575.10</t>
  </si>
  <si>
    <t>BLD-A01-0003</t>
  </si>
  <si>
    <t>Bridleway AG9 Overbridge-BLD-A02-0001</t>
  </si>
  <si>
    <t>HS2-000031Q11</t>
  </si>
  <si>
    <t>452,714.50</t>
  </si>
  <si>
    <t>246,558.71</t>
  </si>
  <si>
    <t>BLD-A02-0001</t>
  </si>
  <si>
    <t>Bridleway AG9 Overbridge-BLD-A02-0002</t>
  </si>
  <si>
    <t>HS2-000031VEU</t>
  </si>
  <si>
    <t>452,716.66</t>
  </si>
  <si>
    <t>246,560.14</t>
  </si>
  <si>
    <t>BLD-A02-0002</t>
  </si>
  <si>
    <t>Bridleway AG9 Overbridge-BLD-A02-0003</t>
  </si>
  <si>
    <t>HS2-000031VEV</t>
  </si>
  <si>
    <t>452,712.71</t>
  </si>
  <si>
    <t>246,555.98</t>
  </si>
  <si>
    <t>BLD-A02-0003</t>
  </si>
  <si>
    <t>Ss_25_13_50_52</t>
  </si>
  <si>
    <t>452,704.48</t>
  </si>
  <si>
    <t>246,553.64</t>
  </si>
  <si>
    <t>PrecastConcreteDrainageBackOfWallHollowBlocks</t>
  </si>
  <si>
    <t>BR-Ss_25_13_50_52-M_PrecastConcreteDrainageBackOfWallHollowBlocks</t>
  </si>
  <si>
    <t>DRF-A01-0001</t>
  </si>
  <si>
    <t>452,708.01</t>
  </si>
  <si>
    <t>246,553.92</t>
  </si>
  <si>
    <t>DRF-A01-0002</t>
  </si>
  <si>
    <t>452,706.71</t>
  </si>
  <si>
    <t>246,550.62</t>
  </si>
  <si>
    <t>DRF-A01-0003</t>
  </si>
  <si>
    <t>Ss_50_30_02</t>
  </si>
  <si>
    <t>452,707.59</t>
  </si>
  <si>
    <t>246,555.66</t>
  </si>
  <si>
    <t>RainwaterDrainage</t>
  </si>
  <si>
    <t>BR-Ss_50_30_02-M_RainwaterDrainage</t>
  </si>
  <si>
    <t>DRF-A01-0004</t>
  </si>
  <si>
    <t>452707.773, 246555.794</t>
  </si>
  <si>
    <t>452,709.55</t>
  </si>
  <si>
    <t>246,553.00</t>
  </si>
  <si>
    <t>DRF-A01-0005</t>
  </si>
  <si>
    <t>452709.736, 246553.138</t>
  </si>
  <si>
    <t>452,748.86</t>
  </si>
  <si>
    <t>246,581.76</t>
  </si>
  <si>
    <t>DRF-A02-0001</t>
  </si>
  <si>
    <t>452,745.33</t>
  </si>
  <si>
    <t>246,581.48</t>
  </si>
  <si>
    <t>DRF-A02-0002</t>
  </si>
  <si>
    <t>452,746.62</t>
  </si>
  <si>
    <t>246,584.79</t>
  </si>
  <si>
    <t>DRF-A02-0003</t>
  </si>
  <si>
    <t>452,745.75</t>
  </si>
  <si>
    <t>246,579.75</t>
  </si>
  <si>
    <t>DRF-A02-0004</t>
  </si>
  <si>
    <t>452745.56, 246579.611</t>
  </si>
  <si>
    <t>452,743.78</t>
  </si>
  <si>
    <t>246,582.41</t>
  </si>
  <si>
    <t>DRF-A02-0005</t>
  </si>
  <si>
    <t>452743.597, 246582.267</t>
  </si>
  <si>
    <t>Bridleway AG9 Overbridge-EXJ-A01-0001</t>
  </si>
  <si>
    <t>HS2-000031VEW</t>
  </si>
  <si>
    <t>Ss_30_16_30</t>
  </si>
  <si>
    <t>452,708.44</t>
  </si>
  <si>
    <t>246,554.23</t>
  </si>
  <si>
    <t>BridgeExpansionJoint</t>
  </si>
  <si>
    <t>BR-Ss_30_16_30-M_BridgeExpansionJoint</t>
  </si>
  <si>
    <t>EXJ-A01-0001</t>
  </si>
  <si>
    <t>Bridleway AG9 Overbridge-EXJ-A02-0001</t>
  </si>
  <si>
    <t>HS2-000031VEX</t>
  </si>
  <si>
    <t>452,744.90</t>
  </si>
  <si>
    <t>246,581.17</t>
  </si>
  <si>
    <t>EXJ-A02-0001</t>
  </si>
  <si>
    <t>Bridleway AG9 Overbridge-FND-A01-0001</t>
  </si>
  <si>
    <t>HS2-000031Q15</t>
  </si>
  <si>
    <t>Ss_25_15_60_18</t>
  </si>
  <si>
    <t>452,705.09</t>
  </si>
  <si>
    <t>246,555.52</t>
  </si>
  <si>
    <t>ConcretePostRailBarrier</t>
  </si>
  <si>
    <t>BR-Ss_25_15_60_18-M_ConcretePostRailBarrier</t>
  </si>
  <si>
    <t>FND-A01-0001</t>
  </si>
  <si>
    <t>Bridleway AG9 Overbridge-FND-A01-0002</t>
  </si>
  <si>
    <t>HS2-000031VFG</t>
  </si>
  <si>
    <t>452,704.37</t>
  </si>
  <si>
    <t>246,556.50</t>
  </si>
  <si>
    <t>FND-A01-0002</t>
  </si>
  <si>
    <t>Bridleway AG9 Overbridge-FND-A01-0003</t>
  </si>
  <si>
    <t>HS2-000031VFH</t>
  </si>
  <si>
    <t>452,705.91</t>
  </si>
  <si>
    <t>246,556.12</t>
  </si>
  <si>
    <t>FND-A01-0003</t>
  </si>
  <si>
    <t>Bridleway AG9 Overbridge-FND-A01-0004</t>
  </si>
  <si>
    <t>HS2-000031VFJ</t>
  </si>
  <si>
    <t>452,705.18</t>
  </si>
  <si>
    <t>246,557.10</t>
  </si>
  <si>
    <t>FND-A01-0004</t>
  </si>
  <si>
    <t>Bridleway AG9 Overbridge-FND-A01-0005</t>
  </si>
  <si>
    <t>HS2-000031VFK</t>
  </si>
  <si>
    <t>452,706.63</t>
  </si>
  <si>
    <t>246,556.66</t>
  </si>
  <si>
    <t>FND-A01-0005</t>
  </si>
  <si>
    <t>Bridleway AG9 Overbridge-FND-A01-0006</t>
  </si>
  <si>
    <t>HS2-000031VFL</t>
  </si>
  <si>
    <t>246,557.64</t>
  </si>
  <si>
    <t>FND-A01-0006</t>
  </si>
  <si>
    <t>Bridleway AG9 Overbridge-FND-A01-0007</t>
  </si>
  <si>
    <t>HS2-000031VFM</t>
  </si>
  <si>
    <t>452,707.35</t>
  </si>
  <si>
    <t>246,557.19</t>
  </si>
  <si>
    <t>FND-A01-0007</t>
  </si>
  <si>
    <t>Bridleway AG9 Overbridge-FND-A01-0008</t>
  </si>
  <si>
    <t>HS2-000031VFN</t>
  </si>
  <si>
    <t>246,558.17</t>
  </si>
  <si>
    <t>FND-A01-0008</t>
  </si>
  <si>
    <t>Bridleway AG9 Overbridge-FND-A01-0009</t>
  </si>
  <si>
    <t>HS2-000031VFP</t>
  </si>
  <si>
    <t>452,708.07</t>
  </si>
  <si>
    <t>246,557.73</t>
  </si>
  <si>
    <t>FND-A01-0009</t>
  </si>
  <si>
    <t>Bridleway AG9 Overbridge-FND-A01-0010</t>
  </si>
  <si>
    <t>HS2-000031VFY</t>
  </si>
  <si>
    <t>246,558.70</t>
  </si>
  <si>
    <t>FND-A01-0010</t>
  </si>
  <si>
    <t>Bridleway AG9 Overbridge-FND-A01-0011</t>
  </si>
  <si>
    <t>HS2-000031VFZ</t>
  </si>
  <si>
    <t>452,708.76</t>
  </si>
  <si>
    <t>246,558.23</t>
  </si>
  <si>
    <t>FND-A01-0011</t>
  </si>
  <si>
    <t>Bridleway AG9 Overbridge-FND-A01-0012</t>
  </si>
  <si>
    <t>HS2-000031VG0</t>
  </si>
  <si>
    <t>452,708.27</t>
  </si>
  <si>
    <t>246,559.39</t>
  </si>
  <si>
    <t>FND-A01-0012</t>
  </si>
  <si>
    <t>Bridleway AG9 Overbridge-FND-A01-0013</t>
  </si>
  <si>
    <t>HS2-000031VG1</t>
  </si>
  <si>
    <t>452,708.62</t>
  </si>
  <si>
    <t>246,559.64</t>
  </si>
  <si>
    <t>FND-A01-0013</t>
  </si>
  <si>
    <t>Bridleway AG9 Overbridge-FND-A01-0014</t>
  </si>
  <si>
    <t>HS2-000031VG2</t>
  </si>
  <si>
    <t>452,709.13</t>
  </si>
  <si>
    <t>246,559.80</t>
  </si>
  <si>
    <t>FND-A01-0014</t>
  </si>
  <si>
    <t>Bridleway AG9 Overbridge-FND-A01-0015</t>
  </si>
  <si>
    <t>HS2-000031VG3</t>
  </si>
  <si>
    <t>452,709.78</t>
  </si>
  <si>
    <t>246,558.92</t>
  </si>
  <si>
    <t>FND-A01-0015</t>
  </si>
  <si>
    <t>Bridleway AG9 Overbridge-FND-A01-0016</t>
  </si>
  <si>
    <t>HS2-000031VG4</t>
  </si>
  <si>
    <t>452,710.43</t>
  </si>
  <si>
    <t>246,558.04</t>
  </si>
  <si>
    <t>FND-A01-0016</t>
  </si>
  <si>
    <t>Bridleway AG9 Overbridge-FND-A01-0017</t>
  </si>
  <si>
    <t>HS2-000031VG5</t>
  </si>
  <si>
    <t>452,710.82</t>
  </si>
  <si>
    <t>246,557.51</t>
  </si>
  <si>
    <t>FND-A01-0017</t>
  </si>
  <si>
    <t>Bridleway AG9 Overbridge-FND-A01-0018</t>
  </si>
  <si>
    <t>HS2-000031VG6</t>
  </si>
  <si>
    <t>452,712.39</t>
  </si>
  <si>
    <t>246,555.38</t>
  </si>
  <si>
    <t>FND-A01-0018</t>
  </si>
  <si>
    <t>Bridleway AG9 Overbridge-FND-A01-0019</t>
  </si>
  <si>
    <t>HS2-000031VG7</t>
  </si>
  <si>
    <t>452,712.96</t>
  </si>
  <si>
    <t>246,554.62</t>
  </si>
  <si>
    <t>FND-A01-0019</t>
  </si>
  <si>
    <t>Bridleway AG9 Overbridge-FND-A01-0020</t>
  </si>
  <si>
    <t>HS2-000031VG8</t>
  </si>
  <si>
    <t>452,713.18</t>
  </si>
  <si>
    <t>246,553.94</t>
  </si>
  <si>
    <t>FND-A01-0020</t>
  </si>
  <si>
    <t>Bridleway AG9 Overbridge-FND-A01-0021</t>
  </si>
  <si>
    <t>HS2-000031VG9</t>
  </si>
  <si>
    <t>452,712.69</t>
  </si>
  <si>
    <t>246,553.59</t>
  </si>
  <si>
    <t>FND-A01-0021</t>
  </si>
  <si>
    <t>Bridleway AG9 Overbridge-FND-A02-0001</t>
  </si>
  <si>
    <t>HS2-000031Q19</t>
  </si>
  <si>
    <t>452,748.24</t>
  </si>
  <si>
    <t>246,579.88</t>
  </si>
  <si>
    <t>FND-A02-0001</t>
  </si>
  <si>
    <t>Bridleway AG9 Overbridge-FND-A02-0002</t>
  </si>
  <si>
    <t>HS2-000031VFQ</t>
  </si>
  <si>
    <t>452,748.97</t>
  </si>
  <si>
    <t>246,578.90</t>
  </si>
  <si>
    <t>FND-A02-0002</t>
  </si>
  <si>
    <t>Bridleway AG9 Overbridge-FND-A02-0003</t>
  </si>
  <si>
    <t>HS2-000031VFR</t>
  </si>
  <si>
    <t>452,747.43</t>
  </si>
  <si>
    <t>246,579.28</t>
  </si>
  <si>
    <t>FND-A02-0003</t>
  </si>
  <si>
    <t>Bridleway AG9 Overbridge-FND-A02-0004</t>
  </si>
  <si>
    <t>HS2-000031VFS</t>
  </si>
  <si>
    <t>452,748.15</t>
  </si>
  <si>
    <t>246,578.30</t>
  </si>
  <si>
    <t>FND-A02-0004</t>
  </si>
  <si>
    <t>Bridleway AG9 Overbridge-FND-A02-0005</t>
  </si>
  <si>
    <t>HS2-000031VFT</t>
  </si>
  <si>
    <t>452,746.71</t>
  </si>
  <si>
    <t>246,578.75</t>
  </si>
  <si>
    <t>FND-A02-0005</t>
  </si>
  <si>
    <t>Bridleway AG9 Overbridge-FND-A02-0006</t>
  </si>
  <si>
    <t>HS2-000031VFU</t>
  </si>
  <si>
    <t>246,577.77</t>
  </si>
  <si>
    <t>FND-A02-0006</t>
  </si>
  <si>
    <t>Bridleway AG9 Overbridge-FND-A02-0007</t>
  </si>
  <si>
    <t>HS2-000031VFV</t>
  </si>
  <si>
    <t>452,745.98</t>
  </si>
  <si>
    <t>246,578.21</t>
  </si>
  <si>
    <t>FND-A02-0007</t>
  </si>
  <si>
    <t>Bridleway AG9 Overbridge-FND-A02-0008</t>
  </si>
  <si>
    <t>HS2-000031VFW</t>
  </si>
  <si>
    <t>246,577.23</t>
  </si>
  <si>
    <t>FND-A02-0008</t>
  </si>
  <si>
    <t>Bridleway AG9 Overbridge-FND-A02-0009</t>
  </si>
  <si>
    <t>HS2-000031VFX</t>
  </si>
  <si>
    <t>452,745.26</t>
  </si>
  <si>
    <t>246,577.68</t>
  </si>
  <si>
    <t>FND-A02-0009</t>
  </si>
  <si>
    <t>Bridleway AG9 Overbridge-FND-A02-0010</t>
  </si>
  <si>
    <t>HS2-000031VGD</t>
  </si>
  <si>
    <t>452,745.99</t>
  </si>
  <si>
    <t>246,576.70</t>
  </si>
  <si>
    <t>FND-A02-0010</t>
  </si>
  <si>
    <t>Bridleway AG9 Overbridge-FND-A02-0011</t>
  </si>
  <si>
    <t>HS2-000031VGE</t>
  </si>
  <si>
    <t>452,744.58</t>
  </si>
  <si>
    <t>246,577.17</t>
  </si>
  <si>
    <t>FND-A02-0011</t>
  </si>
  <si>
    <t>Bridleway AG9 Overbridge-FND-A02-0012</t>
  </si>
  <si>
    <t>HS2-000031VGF</t>
  </si>
  <si>
    <t>452,745.06</t>
  </si>
  <si>
    <t>246,576.02</t>
  </si>
  <si>
    <t>FND-A02-0012</t>
  </si>
  <si>
    <t>Bridleway AG9 Overbridge-FND-A02-0013</t>
  </si>
  <si>
    <t>HS2-000031VGG</t>
  </si>
  <si>
    <t>452,744.72</t>
  </si>
  <si>
    <t>246,575.76</t>
  </si>
  <si>
    <t>FND-A02-0013</t>
  </si>
  <si>
    <t>Bridleway AG9 Overbridge-FND-A02-0014</t>
  </si>
  <si>
    <t>HS2-000031VGH</t>
  </si>
  <si>
    <t>452,744.21</t>
  </si>
  <si>
    <t>246,575.60</t>
  </si>
  <si>
    <t>FND-A02-0014</t>
  </si>
  <si>
    <t>Bridleway AG9 Overbridge-FND-A02-0015</t>
  </si>
  <si>
    <t>HS2-000031VGJ</t>
  </si>
  <si>
    <t>452,743.56</t>
  </si>
  <si>
    <t>246,576.48</t>
  </si>
  <si>
    <t>FND-A02-0015</t>
  </si>
  <si>
    <t>Bridleway AG9 Overbridge-FND-A02-0016</t>
  </si>
  <si>
    <t>HS2-000031VGK</t>
  </si>
  <si>
    <t>452,742.90</t>
  </si>
  <si>
    <t>246,577.37</t>
  </si>
  <si>
    <t>FND-A02-0016</t>
  </si>
  <si>
    <t>Bridleway AG9 Overbridge-FND-A02-0017</t>
  </si>
  <si>
    <t>HS2-000031VGL</t>
  </si>
  <si>
    <t>452,742.55</t>
  </si>
  <si>
    <t>246,577.85</t>
  </si>
  <si>
    <t>FND-A02-0017</t>
  </si>
  <si>
    <t>Bridleway AG9 Overbridge-FND-A02-0018</t>
  </si>
  <si>
    <t>HS2-000031VGM</t>
  </si>
  <si>
    <t>452,740.97</t>
  </si>
  <si>
    <t>246,579.98</t>
  </si>
  <si>
    <t>FND-A02-0018</t>
  </si>
  <si>
    <t>Bridleway AG9 Overbridge-FND-A02-0019</t>
  </si>
  <si>
    <t>HS2-000031VGN</t>
  </si>
  <si>
    <t>452,740.38</t>
  </si>
  <si>
    <t>246,580.79</t>
  </si>
  <si>
    <t>FND-A02-0019</t>
  </si>
  <si>
    <t>Bridleway AG9 Overbridge-FND-A02-0020</t>
  </si>
  <si>
    <t>HS2-000031VGP</t>
  </si>
  <si>
    <t>452,740.16</t>
  </si>
  <si>
    <t>246,581.46</t>
  </si>
  <si>
    <t>FND-A02-0020</t>
  </si>
  <si>
    <t>Bridleway AG9 Overbridge-FND-A02-0021</t>
  </si>
  <si>
    <t>HS2-000031VGQ</t>
  </si>
  <si>
    <t>452,740.64</t>
  </si>
  <si>
    <t>246,581.82</t>
  </si>
  <si>
    <t>FND-A02-0021</t>
  </si>
  <si>
    <t>452,708.79</t>
  </si>
  <si>
    <t>246,554.43</t>
  </si>
  <si>
    <t>GLY-A01-0001</t>
  </si>
  <si>
    <t>452,744.55</t>
  </si>
  <si>
    <t>246,580.98</t>
  </si>
  <si>
    <t>GLY-A02-0001</t>
  </si>
  <si>
    <t>452,709.43</t>
  </si>
  <si>
    <t>246,554.96</t>
  </si>
  <si>
    <t>GSL-A01-0001</t>
  </si>
  <si>
    <t>452,704.46</t>
  </si>
  <si>
    <t>246,551.29</t>
  </si>
  <si>
    <t>GSL-A01-0002</t>
  </si>
  <si>
    <t>452,706.88</t>
  </si>
  <si>
    <t>246,553.08</t>
  </si>
  <si>
    <t>GSL-A01-0003</t>
  </si>
  <si>
    <t>Pr_20_31_04_09</t>
  </si>
  <si>
    <t>452,709.45</t>
  </si>
  <si>
    <t>246,554.98</t>
  </si>
  <si>
    <t>BlindingCoarseAggregate</t>
  </si>
  <si>
    <t>BR-Pr_20_31_04_09-M_BlindingCoarseAggregate</t>
  </si>
  <si>
    <t>GSL-A01-0004</t>
  </si>
  <si>
    <t>452,706.91</t>
  </si>
  <si>
    <t>246,553.10</t>
  </si>
  <si>
    <t>GSL-A01-0005</t>
  </si>
  <si>
    <t>452,704.43</t>
  </si>
  <si>
    <t>246,551.26</t>
  </si>
  <si>
    <t>GSL-A01-0006</t>
  </si>
  <si>
    <t>452,743.91</t>
  </si>
  <si>
    <t>246,580.44</t>
  </si>
  <si>
    <t>GSL-A02-0001</t>
  </si>
  <si>
    <t>452,748.88</t>
  </si>
  <si>
    <t>246,584.12</t>
  </si>
  <si>
    <t>GSL-A02-0002</t>
  </si>
  <si>
    <t>452,746.45</t>
  </si>
  <si>
    <t>246,582.32</t>
  </si>
  <si>
    <t>GSL-A02-0003</t>
  </si>
  <si>
    <t>452,743.89</t>
  </si>
  <si>
    <t>246,580.43</t>
  </si>
  <si>
    <t>GSL-A02-0004</t>
  </si>
  <si>
    <t>452,746.43</t>
  </si>
  <si>
    <t>246,582.30</t>
  </si>
  <si>
    <t>GSL-A02-0005</t>
  </si>
  <si>
    <t>452,748.91</t>
  </si>
  <si>
    <t>246,584.14</t>
  </si>
  <si>
    <t>GSL-A02-0006</t>
  </si>
  <si>
    <t>Bridleway AG9 Overbridge-HND-A01-0001</t>
  </si>
  <si>
    <t>HS2-00002H0QE</t>
  </si>
  <si>
    <t>Ss_25_15_60_35</t>
  </si>
  <si>
    <t>452,726.81</t>
  </si>
  <si>
    <t>246,567.81</t>
  </si>
  <si>
    <t>BR-Ss_25_15_60_35-M_Handrail</t>
  </si>
  <si>
    <t>HND-A01-0001</t>
  </si>
  <si>
    <t>Bridleway AG9 Overbridge-HND-A01-0002</t>
  </si>
  <si>
    <t>HS2-00002H0QF</t>
  </si>
  <si>
    <t>452,726.49</t>
  </si>
  <si>
    <t>246,567.79</t>
  </si>
  <si>
    <t>HND-A01-0002</t>
  </si>
  <si>
    <t>Bridleway AG9 Overbridge-HND-A01-0003</t>
  </si>
  <si>
    <t>HS2-000032189</t>
  </si>
  <si>
    <t>452,709.76</t>
  </si>
  <si>
    <t>246,558.76</t>
  </si>
  <si>
    <t>HND-A01-0003</t>
  </si>
  <si>
    <t>Bridleway AG9 Overbridge-HND-A01-0004</t>
  </si>
  <si>
    <t>HS2-00003218B</t>
  </si>
  <si>
    <t>452,712.75</t>
  </si>
  <si>
    <t>246,554.50</t>
  </si>
  <si>
    <t>HND-A01-0004</t>
  </si>
  <si>
    <t>Bridleway AG9 Overbridge-HND-A02-0001</t>
  </si>
  <si>
    <t>HS2-000031Q22</t>
  </si>
  <si>
    <t>452,721.29</t>
  </si>
  <si>
    <t>246,564.28</t>
  </si>
  <si>
    <t>HND-A02-0001</t>
  </si>
  <si>
    <t>Bridleway AG9 Overbridge-HND-A02-0002</t>
  </si>
  <si>
    <t>HS2-000031Q25</t>
  </si>
  <si>
    <t>452,746.00</t>
  </si>
  <si>
    <t>HND-A02-0002</t>
  </si>
  <si>
    <t>Bridleway AG9 Overbridge-HND-A02-0003</t>
  </si>
  <si>
    <t>HS2-00003218A</t>
  </si>
  <si>
    <t>452,743.59</t>
  </si>
  <si>
    <t>246,576.63</t>
  </si>
  <si>
    <t>HND-A02-0003</t>
  </si>
  <si>
    <t>Bridleway AG9 Overbridge-HND-A02-0004</t>
  </si>
  <si>
    <t>HS2-00003218C</t>
  </si>
  <si>
    <t>452,740.60</t>
  </si>
  <si>
    <t>246,580.89</t>
  </si>
  <si>
    <t>HND-A02-0004</t>
  </si>
  <si>
    <t>Bridleway AG9 Overbridge-HND-TLD-0002</t>
  </si>
  <si>
    <t>HS2-000031Q2G</t>
  </si>
  <si>
    <t>452,713.91</t>
  </si>
  <si>
    <t>246,557.28</t>
  </si>
  <si>
    <t>HND-TLD-0002</t>
  </si>
  <si>
    <t>Bridleway AG9 Overbridge-HND-TLD-0001</t>
  </si>
  <si>
    <t>HS2-000031Q2B</t>
  </si>
  <si>
    <t>246,558.57</t>
  </si>
  <si>
    <t>HND-TLD-0001</t>
  </si>
  <si>
    <t>Bridleway AG9 Overbridge-HND-TLU-0002</t>
  </si>
  <si>
    <t>HS2-000031Q1U</t>
  </si>
  <si>
    <t>452,739.42</t>
  </si>
  <si>
    <t>246,578.12</t>
  </si>
  <si>
    <t>HND-TLU-0002</t>
  </si>
  <si>
    <t>Bridleway AG9 Overbridge-HND-TLU-0001</t>
  </si>
  <si>
    <t>HS2-000031Q1N</t>
  </si>
  <si>
    <t>452,740.37</t>
  </si>
  <si>
    <t>246,576.84</t>
  </si>
  <si>
    <t>HND-TLU-0001</t>
  </si>
  <si>
    <t>Ss_50_30_08_15</t>
  </si>
  <si>
    <t>246,551.10</t>
  </si>
  <si>
    <t>CombinedBelowGroundDrainagePipeline</t>
  </si>
  <si>
    <t>BR-Ss_50_30_08_15-M_CombinedBelowGroundDrainagePipeline</t>
  </si>
  <si>
    <t>PPE-A01-0001</t>
  </si>
  <si>
    <t>246,554.84</t>
  </si>
  <si>
    <t>PPE-A01-0002</t>
  </si>
  <si>
    <t>246,584.31</t>
  </si>
  <si>
    <t>PPE-A02-0001</t>
  </si>
  <si>
    <t>246,580.57</t>
  </si>
  <si>
    <t>PPE-A02-0002</t>
  </si>
  <si>
    <t>Pr_25_71_51_88</t>
  </si>
  <si>
    <t>452,706.04</t>
  </si>
  <si>
    <t>246,555.01</t>
  </si>
  <si>
    <t>SteelPlateSheetsAndStrip</t>
  </si>
  <si>
    <t>BR-Pr_25_71_51_88-M_SteelPlateSheetsAndStrip</t>
  </si>
  <si>
    <t>PRP-A01-0001</t>
  </si>
  <si>
    <t>452,708.48</t>
  </si>
  <si>
    <t>246,551.71</t>
  </si>
  <si>
    <t>PRP-A01-0002</t>
  </si>
  <si>
    <t>452,747.30</t>
  </si>
  <si>
    <t>246,580.39</t>
  </si>
  <si>
    <t>PRP-A02-0001</t>
  </si>
  <si>
    <t>452,744.86</t>
  </si>
  <si>
    <t>246,583.70</t>
  </si>
  <si>
    <t>PRP-A02-0002</t>
  </si>
  <si>
    <t>Ss_20_10_75_85</t>
  </si>
  <si>
    <t>452,741.67</t>
  </si>
  <si>
    <t>246,581.19</t>
  </si>
  <si>
    <t>TimberFraming</t>
  </si>
  <si>
    <t>BR-Ss_20_10_75_85-M_TimberFraming</t>
  </si>
  <si>
    <t>PRP-CLL-0017</t>
  </si>
  <si>
    <t>452,739.93</t>
  </si>
  <si>
    <t>246,579.81</t>
  </si>
  <si>
    <t>PRP-CLL-0016</t>
  </si>
  <si>
    <t>452,737.87</t>
  </si>
  <si>
    <t>246,578.31</t>
  </si>
  <si>
    <t>PRP-CLL-0015</t>
  </si>
  <si>
    <t>452,735.82</t>
  </si>
  <si>
    <t>246,576.78</t>
  </si>
  <si>
    <t>PRP-CLL-0014</t>
  </si>
  <si>
    <t>452,733.77</t>
  </si>
  <si>
    <t>246,575.28</t>
  </si>
  <si>
    <t>PRP-CLL-0013</t>
  </si>
  <si>
    <t>452,731.69</t>
  </si>
  <si>
    <t>246,573.79</t>
  </si>
  <si>
    <t>PRP-CLL-0012</t>
  </si>
  <si>
    <t>452,729.61</t>
  </si>
  <si>
    <t>246,572.32</t>
  </si>
  <si>
    <t>PRP-CLL-0011</t>
  </si>
  <si>
    <t>452,727.59</t>
  </si>
  <si>
    <t>246,570.76</t>
  </si>
  <si>
    <t>PRP-CLL-0010</t>
  </si>
  <si>
    <t>452,725.50</t>
  </si>
  <si>
    <t>246,569.28</t>
  </si>
  <si>
    <t>PRP-CLL-0009</t>
  </si>
  <si>
    <t>452,723.48</t>
  </si>
  <si>
    <t>246,567.72</t>
  </si>
  <si>
    <t>PRP-CLL-0008</t>
  </si>
  <si>
    <t>452,721.39</t>
  </si>
  <si>
    <t>246,566.24</t>
  </si>
  <si>
    <t>PRP-CLL-0007</t>
  </si>
  <si>
    <t>452,719.37</t>
  </si>
  <si>
    <t>246,564.69</t>
  </si>
  <si>
    <t>PRP-CLL-0006</t>
  </si>
  <si>
    <t>452,717.34</t>
  </si>
  <si>
    <t>246,563.14</t>
  </si>
  <si>
    <t>PRP-CLL-0005</t>
  </si>
  <si>
    <t>452,715.30</t>
  </si>
  <si>
    <t>246,561.61</t>
  </si>
  <si>
    <t>PRP-CLL-0004</t>
  </si>
  <si>
    <t>452,713.24</t>
  </si>
  <si>
    <t>246,560.11</t>
  </si>
  <si>
    <t>PRP-CLL-0003</t>
  </si>
  <si>
    <t>452,711.20</t>
  </si>
  <si>
    <t>246,558.58</t>
  </si>
  <si>
    <t>PRP-CLL-0002</t>
  </si>
  <si>
    <t>452,709.37</t>
  </si>
  <si>
    <t>246,557.32</t>
  </si>
  <si>
    <t>PRP-CLL-0001</t>
  </si>
  <si>
    <t>452,743.97</t>
  </si>
  <si>
    <t>246,578.09</t>
  </si>
  <si>
    <t>PRP-CLR-0017</t>
  </si>
  <si>
    <t>452,742.14</t>
  </si>
  <si>
    <t>246,576.82</t>
  </si>
  <si>
    <t>PRP-CLR-0016</t>
  </si>
  <si>
    <t>452,740.10</t>
  </si>
  <si>
    <t>246,575.30</t>
  </si>
  <si>
    <t>PRP-CLR-0015</t>
  </si>
  <si>
    <t>452,738.04</t>
  </si>
  <si>
    <t>PRP-CLR-0014</t>
  </si>
  <si>
    <t>452,735.99</t>
  </si>
  <si>
    <t>246,572.26</t>
  </si>
  <si>
    <t>PRP-CLR-0013</t>
  </si>
  <si>
    <t>452,733.97</t>
  </si>
  <si>
    <t>246,570.72</t>
  </si>
  <si>
    <t>PRP-CLR-0012</t>
  </si>
  <si>
    <t>452,731.95</t>
  </si>
  <si>
    <t>246,569.16</t>
  </si>
  <si>
    <t>PRP-CLR-0011</t>
  </si>
  <si>
    <t>452,729.86</t>
  </si>
  <si>
    <t>246,567.68</t>
  </si>
  <si>
    <t>PRP-CLR-0010</t>
  </si>
  <si>
    <t>452,727.84</t>
  </si>
  <si>
    <t>246,566.12</t>
  </si>
  <si>
    <t>PRP-CLR-0009</t>
  </si>
  <si>
    <t>452,725.75</t>
  </si>
  <si>
    <t>246,564.65</t>
  </si>
  <si>
    <t>PRP-CLR-0008</t>
  </si>
  <si>
    <t>452,723.72</t>
  </si>
  <si>
    <t>246,563.08</t>
  </si>
  <si>
    <t>PRP-CLR-0007</t>
  </si>
  <si>
    <t>452,721.64</t>
  </si>
  <si>
    <t>PRP-CLR-0006</t>
  </si>
  <si>
    <t>452,719.57</t>
  </si>
  <si>
    <t>246,560.13</t>
  </si>
  <si>
    <t>PRP-CLR-0005</t>
  </si>
  <si>
    <t>452,717.51</t>
  </si>
  <si>
    <t>246,558.62</t>
  </si>
  <si>
    <t>PRP-CLR-0004</t>
  </si>
  <si>
    <t>452,715.47</t>
  </si>
  <si>
    <t>246,557.09</t>
  </si>
  <si>
    <t>PRP-CLR-0003</t>
  </si>
  <si>
    <t>452,713.41</t>
  </si>
  <si>
    <t>246,555.59</t>
  </si>
  <si>
    <t>PRP-CLR-0002</t>
  </si>
  <si>
    <t>452,711.66</t>
  </si>
  <si>
    <t>246,554.21</t>
  </si>
  <si>
    <t>PRP-CLR-0001</t>
  </si>
  <si>
    <t>Ss_35_10_25_35</t>
  </si>
  <si>
    <t>452,706.87</t>
  </si>
  <si>
    <t>246,557.59</t>
  </si>
  <si>
    <t>GroundBearingExternalStair</t>
  </si>
  <si>
    <t>BR-Ss_35_10_25_35-M_GroundBearingExternalStair</t>
  </si>
  <si>
    <t>STR-A01-0001</t>
  </si>
  <si>
    <t>452,746.46</t>
  </si>
  <si>
    <t>246,577.81</t>
  </si>
  <si>
    <t>STR-A02-0001</t>
  </si>
  <si>
    <t>452,715.02</t>
  </si>
  <si>
    <t>246,559.10</t>
  </si>
  <si>
    <t>STR-TLD-0006</t>
  </si>
  <si>
    <t>452,713.08</t>
  </si>
  <si>
    <t>246,557.66</t>
  </si>
  <si>
    <t>STR-TLD-0005</t>
  </si>
  <si>
    <t>452,713.74</t>
  </si>
  <si>
    <t>246,556.72</t>
  </si>
  <si>
    <t>STR-TLD-0004</t>
  </si>
  <si>
    <t>452,712.37</t>
  </si>
  <si>
    <t>STR-TLD-0003</t>
  </si>
  <si>
    <t>452,713.65</t>
  </si>
  <si>
    <t>246,556.90</t>
  </si>
  <si>
    <t>STR-TLD-0002</t>
  </si>
  <si>
    <t>452,712.52</t>
  </si>
  <si>
    <t>246,558.43</t>
  </si>
  <si>
    <t>STR-TLD-0001</t>
  </si>
  <si>
    <t>452,738.31</t>
  </si>
  <si>
    <t>246,576.31</t>
  </si>
  <si>
    <t>STR-TLU-0006</t>
  </si>
  <si>
    <t>452,740.25</t>
  </si>
  <si>
    <t>246,577.74</t>
  </si>
  <si>
    <t>STR-TLU-0005</t>
  </si>
  <si>
    <t>452,739.60</t>
  </si>
  <si>
    <t>STR-TLU-0004</t>
  </si>
  <si>
    <t>STR-TLU-0003</t>
  </si>
  <si>
    <t>452,739.68</t>
  </si>
  <si>
    <t>246,578.51</t>
  </si>
  <si>
    <t>STR-TLU-0002</t>
  </si>
  <si>
    <t>452,740.82</t>
  </si>
  <si>
    <t>246,576.97</t>
  </si>
  <si>
    <t>STR-TLU-0001</t>
  </si>
  <si>
    <t>452,703.16</t>
  </si>
  <si>
    <t>246,553.04</t>
  </si>
  <si>
    <t>STW-A01-0001</t>
  </si>
  <si>
    <t>452,705.59</t>
  </si>
  <si>
    <t>STW-A01-0002</t>
  </si>
  <si>
    <t>452,708.18</t>
  </si>
  <si>
    <t>246,551.32</t>
  </si>
  <si>
    <t>STW-A01-0003</t>
  </si>
  <si>
    <t>452,705.75</t>
  </si>
  <si>
    <t>246,549.53</t>
  </si>
  <si>
    <t>STW-A01-0004</t>
  </si>
  <si>
    <t>452,750.18</t>
  </si>
  <si>
    <t>246,582.36</t>
  </si>
  <si>
    <t>STW-A02-0001</t>
  </si>
  <si>
    <t>452,747.75</t>
  </si>
  <si>
    <t>STW-A02-0002</t>
  </si>
  <si>
    <t>452,745.15</t>
  </si>
  <si>
    <t>246,584.08</t>
  </si>
  <si>
    <t>STW-A02-0003</t>
  </si>
  <si>
    <t>452,747.58</t>
  </si>
  <si>
    <t>246,585.87</t>
  </si>
  <si>
    <t>STW-A02-0004</t>
  </si>
  <si>
    <t>452,710.81</t>
  </si>
  <si>
    <t>WLK-A01-0001</t>
  </si>
  <si>
    <t>452,742.53</t>
  </si>
  <si>
    <t>246,578.74</t>
  </si>
  <si>
    <t>WLK-A02-0001</t>
  </si>
  <si>
    <t>Pr_35_57_71_75</t>
  </si>
  <si>
    <t>RubberTile</t>
  </si>
  <si>
    <t>BR-Pr_35_57_71_75-M_RubberTile</t>
  </si>
  <si>
    <t>WPF-CLM-0001</t>
  </si>
  <si>
    <t>Bridleway AG9 Overbridge-ZZ-ZZ-CLL-0017-Mesh</t>
  </si>
  <si>
    <t>HS2-000031Q58</t>
  </si>
  <si>
    <t>Pr_25_71_50_51</t>
  </si>
  <si>
    <t>452,740.46</t>
  </si>
  <si>
    <t>246,580.67</t>
  </si>
  <si>
    <t>MeshPanel</t>
  </si>
  <si>
    <t>BR-Pr_25_71_50_51-M_MeshPanel</t>
  </si>
  <si>
    <t>ZZ-ZZ-CLL-0017-Mesh</t>
  </si>
  <si>
    <t>Bridleway AG9 Overbridge-ZZ-ZZ-CLL-0016-Mesh</t>
  </si>
  <si>
    <t>HS2-000031Q55</t>
  </si>
  <si>
    <t>452,739.89</t>
  </si>
  <si>
    <t>246,579.91</t>
  </si>
  <si>
    <t>ZZ-ZZ-CLL-0016-Mesh</t>
  </si>
  <si>
    <t>Bridleway AG9 Overbridge-ZZ-ZZ-CLL-0015-Mesh</t>
  </si>
  <si>
    <t>HS2-000031Q4Z</t>
  </si>
  <si>
    <t>452,737.70</t>
  </si>
  <si>
    <t>246,578.63</t>
  </si>
  <si>
    <t>ZZ-ZZ-CLL-0015-Mesh</t>
  </si>
  <si>
    <t>Bridleway AG9 Overbridge-ZZ-ZZ-CLL-0014-Mesh</t>
  </si>
  <si>
    <t>HS2-000031Q4W</t>
  </si>
  <si>
    <t>452,737.82</t>
  </si>
  <si>
    <t>246,578.41</t>
  </si>
  <si>
    <t>ZZ-ZZ-CLL-0014-Mesh</t>
  </si>
  <si>
    <t>Bridleway AG9 Overbridge-ZZ-ZZ-CLL-0013-Mesh</t>
  </si>
  <si>
    <t>HS2-000031Q4Q</t>
  </si>
  <si>
    <t>452,735.78</t>
  </si>
  <si>
    <t>246,576.88</t>
  </si>
  <si>
    <t>ZZ-ZZ-CLL-0013-Mesh</t>
  </si>
  <si>
    <t>Bridleway AG9 Overbridge-ZZ-ZZ-CLL-0012-Mesh</t>
  </si>
  <si>
    <t>HS2-000031Q4M</t>
  </si>
  <si>
    <t>452,733.58</t>
  </si>
  <si>
    <t>246,575.59</t>
  </si>
  <si>
    <t>ZZ-ZZ-CLL-0012-Mesh</t>
  </si>
  <si>
    <t>Bridleway AG9 Overbridge-ZZ-ZZ-CLL-0011-Mesh</t>
  </si>
  <si>
    <t>HS2-000031Q4F</t>
  </si>
  <si>
    <t>452,733.71</t>
  </si>
  <si>
    <t>246,575.37</t>
  </si>
  <si>
    <t>ZZ-ZZ-CLL-0011-Mesh</t>
  </si>
  <si>
    <t>Bridleway AG9 Overbridge-ZZ-ZZ-CLL-0010-Mesh</t>
  </si>
  <si>
    <t>HS2-000031Q4B</t>
  </si>
  <si>
    <t>452,729.46</t>
  </si>
  <si>
    <t>246,572.54</t>
  </si>
  <si>
    <t>ZZ-ZZ-CLL-0010-Mesh</t>
  </si>
  <si>
    <t>Bridleway AG9 Overbridge-ZZ-ZZ-CLL-0009-Mesh</t>
  </si>
  <si>
    <t>HS2-000031Q45</t>
  </si>
  <si>
    <t>452,725.34</t>
  </si>
  <si>
    <t>246,569.50</t>
  </si>
  <si>
    <t>ZZ-ZZ-CLL-0009-Mesh</t>
  </si>
  <si>
    <t>Bridleway AG9 Overbridge-ZZ-ZZ-CLL-0008-Mesh</t>
  </si>
  <si>
    <t>HS2-000031Q42</t>
  </si>
  <si>
    <t>452,721.22</t>
  </si>
  <si>
    <t>246,566.45</t>
  </si>
  <si>
    <t>ZZ-ZZ-CLL-0008-Mesh</t>
  </si>
  <si>
    <t>Bridleway AG9 Overbridge-ZZ-ZZ-CLL-0007-Mesh</t>
  </si>
  <si>
    <t>HS2-000031Q3X</t>
  </si>
  <si>
    <t>452,717.27</t>
  </si>
  <si>
    <t>246,563.22</t>
  </si>
  <si>
    <t>ZZ-ZZ-CLL-0007-Mesh</t>
  </si>
  <si>
    <t>Bridleway AG9 Overbridge-ZZ-ZZ-CLL-0006-Mesh</t>
  </si>
  <si>
    <t>HS2-000031Q3T</t>
  </si>
  <si>
    <t>452,717.10</t>
  </si>
  <si>
    <t>246,563.41</t>
  </si>
  <si>
    <t>ZZ-ZZ-CLL-0006-Mesh</t>
  </si>
  <si>
    <t>Bridleway AG9 Overbridge-ZZ-ZZ-CLL-0005-Mesh</t>
  </si>
  <si>
    <t>HS2-000031Q3M</t>
  </si>
  <si>
    <t>452,715.22</t>
  </si>
  <si>
    <t>246,561.69</t>
  </si>
  <si>
    <t>ZZ-ZZ-CLL-0005-Mesh</t>
  </si>
  <si>
    <t>Bridleway AG9 Overbridge-ZZ-ZZ-CLL-0004-Mesh</t>
  </si>
  <si>
    <t>HS2-000031Q3J</t>
  </si>
  <si>
    <t>452,713.15</t>
  </si>
  <si>
    <t>246,560.18</t>
  </si>
  <si>
    <t>ZZ-ZZ-CLL-0004-Mesh</t>
  </si>
  <si>
    <t>Bridleway AG9 Overbridge-ZZ-ZZ-CLL-0003-Mesh</t>
  </si>
  <si>
    <t>HS2-000031Q3E</t>
  </si>
  <si>
    <t>452,712.98</t>
  </si>
  <si>
    <t>246,560.37</t>
  </si>
  <si>
    <t>ZZ-ZZ-CLL-0003-Mesh</t>
  </si>
  <si>
    <t>Bridleway AG9 Overbridge-ZZ-ZZ-CLL-0002-Mesh</t>
  </si>
  <si>
    <t>HS2-000031Q3A</t>
  </si>
  <si>
    <t>452,711.11</t>
  </si>
  <si>
    <t>246,558.65</t>
  </si>
  <si>
    <t>ZZ-ZZ-CLL-0002-Mesh</t>
  </si>
  <si>
    <t>Bridleway AG9 Overbridge-ZZ-ZZ-CLL-0001-Mesh</t>
  </si>
  <si>
    <t>HS2-000031Q35</t>
  </si>
  <si>
    <t>452,710.22</t>
  </si>
  <si>
    <t>246,558.33</t>
  </si>
  <si>
    <t>ZZ-ZZ-CLL-0001-Mesh</t>
  </si>
  <si>
    <t>Bridleway AG9 Overbridge-ZZ-ZZ-CLR-0017-Mesh</t>
  </si>
  <si>
    <t>HS2-000031Q7G</t>
  </si>
  <si>
    <t>452,743.11</t>
  </si>
  <si>
    <t>246,577.07</t>
  </si>
  <si>
    <t>ZZ-ZZ-CLR-0017-Mesh</t>
  </si>
  <si>
    <t>Bridleway AG9 Overbridge-ZZ-ZZ-CLR-0016-Mesh</t>
  </si>
  <si>
    <t>HS2-000031Q7B</t>
  </si>
  <si>
    <t>452,742.22</t>
  </si>
  <si>
    <t>246,576.75</t>
  </si>
  <si>
    <t>ZZ-ZZ-CLR-0016-Mesh</t>
  </si>
  <si>
    <t>Bridleway AG9 Overbridge-ZZ-ZZ-CLR-0015-Mesh</t>
  </si>
  <si>
    <t>HS2-000031Q78</t>
  </si>
  <si>
    <t>452,740.35</t>
  </si>
  <si>
    <t>246,575.04</t>
  </si>
  <si>
    <t>ZZ-ZZ-CLR-0015-Mesh</t>
  </si>
  <si>
    <t>Bridleway AG9 Overbridge-ZZ-ZZ-CLR-0014-Mesh</t>
  </si>
  <si>
    <t>HS2-000031Q73</t>
  </si>
  <si>
    <t>452,740.18</t>
  </si>
  <si>
    <t>246,575.22</t>
  </si>
  <si>
    <t>ZZ-ZZ-CLR-0014-Mesh</t>
  </si>
  <si>
    <t>Bridleway AG9 Overbridge-ZZ-ZZ-CLR-0013-Mesh</t>
  </si>
  <si>
    <t>HS2-000031Q6Z</t>
  </si>
  <si>
    <t>452,738.11</t>
  </si>
  <si>
    <t>246,573.71</t>
  </si>
  <si>
    <t>ZZ-ZZ-CLR-0013-Mesh</t>
  </si>
  <si>
    <t>Bridleway AG9 Overbridge-ZZ-ZZ-CLR-0012-Mesh</t>
  </si>
  <si>
    <t>HS2-000031Q6V</t>
  </si>
  <si>
    <t>452,736.24</t>
  </si>
  <si>
    <t>246,571.99</t>
  </si>
  <si>
    <t>ZZ-ZZ-CLR-0012-Mesh</t>
  </si>
  <si>
    <t>Bridleway AG9 Overbridge-ZZ-ZZ-CLR-0011-Mesh</t>
  </si>
  <si>
    <t>HS2-000031Q6Q</t>
  </si>
  <si>
    <t>452,736.07</t>
  </si>
  <si>
    <t>246,572.18</t>
  </si>
  <si>
    <t>ZZ-ZZ-CLR-0011-Mesh</t>
  </si>
  <si>
    <t>Bridleway AG9 Overbridge-ZZ-ZZ-CLR-0010-Mesh</t>
  </si>
  <si>
    <t>HS2-000031Q6J</t>
  </si>
  <si>
    <t>452,732.12</t>
  </si>
  <si>
    <t>246,568.95</t>
  </si>
  <si>
    <t>ZZ-ZZ-CLR-0010-Mesh</t>
  </si>
  <si>
    <t>Bridleway AG9 Overbridge-ZZ-ZZ-CLR-0009-Mesh</t>
  </si>
  <si>
    <t>HS2-000031Q6F</t>
  </si>
  <si>
    <t>452,728.00</t>
  </si>
  <si>
    <t>246,565.90</t>
  </si>
  <si>
    <t>ZZ-ZZ-CLR-0009-Mesh</t>
  </si>
  <si>
    <t>Bridleway AG9 Overbridge-ZZ-ZZ-CLR-0008-Mesh</t>
  </si>
  <si>
    <t>HS2-000031Q6B</t>
  </si>
  <si>
    <t>452,723.88</t>
  </si>
  <si>
    <t>246,562.86</t>
  </si>
  <si>
    <t>ZZ-ZZ-CLR-0008-Mesh</t>
  </si>
  <si>
    <t>Bridleway AG9 Overbridge-ZZ-ZZ-CLR-0007-Mesh</t>
  </si>
  <si>
    <t>HS2-000031Q65</t>
  </si>
  <si>
    <t>452,719.62</t>
  </si>
  <si>
    <t>246,560.03</t>
  </si>
  <si>
    <t>ZZ-ZZ-CLR-0007-Mesh</t>
  </si>
  <si>
    <t>Bridleway AG9 Overbridge-ZZ-ZZ-CLR-0006-Mesh</t>
  </si>
  <si>
    <t>HS2-000031Q62</t>
  </si>
  <si>
    <t>452,719.76</t>
  </si>
  <si>
    <t>246,559.81</t>
  </si>
  <si>
    <t>ZZ-ZZ-CLR-0006-Mesh</t>
  </si>
  <si>
    <t>Bridleway AG9 Overbridge-ZZ-ZZ-CLR-0005-Mesh</t>
  </si>
  <si>
    <t>HS2-000031Q5V</t>
  </si>
  <si>
    <t>452,717.56</t>
  </si>
  <si>
    <t>246,558.52</t>
  </si>
  <si>
    <t>ZZ-ZZ-CLR-0005-Mesh</t>
  </si>
  <si>
    <t>Bridleway AG9 Overbridge-ZZ-ZZ-CLR-0004-Mesh</t>
  </si>
  <si>
    <t>HS2-000031Q5R</t>
  </si>
  <si>
    <t>452,715.51</t>
  </si>
  <si>
    <t>246,556.99</t>
  </si>
  <si>
    <t>ZZ-ZZ-CLR-0004-Mesh</t>
  </si>
  <si>
    <t>Bridleway AG9 Overbridge-ZZ-ZZ-CLR-0003-Mesh</t>
  </si>
  <si>
    <t>HS2-000031Q5L</t>
  </si>
  <si>
    <t>452,715.64</t>
  </si>
  <si>
    <t>246,556.77</t>
  </si>
  <si>
    <t>ZZ-ZZ-CLR-0003-Mesh</t>
  </si>
  <si>
    <t>Bridleway AG9 Overbridge-ZZ-ZZ-CLR-0002-Mesh</t>
  </si>
  <si>
    <t>HS2-000031Q5H</t>
  </si>
  <si>
    <t>452,713.45</t>
  </si>
  <si>
    <t>246,555.49</t>
  </si>
  <si>
    <t>ZZ-ZZ-CLR-0002-Mesh</t>
  </si>
  <si>
    <t>Bridleway AG9 Overbridge-ZZ-ZZ-CLR-0001-Mesh</t>
  </si>
  <si>
    <t>HS2-000031Q5C</t>
  </si>
  <si>
    <t>452,712.88</t>
  </si>
  <si>
    <t>246,554.73</t>
  </si>
  <si>
    <t>ZZ-ZZ-CLR-0001-Mesh</t>
  </si>
  <si>
    <t>Brackley to South Portal of Long Itchington Tunnel</t>
  </si>
  <si>
    <t>High Speed 2 - 1MC07 - Stage One C3 - MWCC –</t>
  </si>
  <si>
    <t>Stewart Harrison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</si>
</sst>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orbel"/>
      <family val="2"/>
    </font>
    <font>
      <b/>
      <sz val="10"/>
      <color theme="1"/>
      <name val="Arial"/>
      <family val="2"/>
    </font>
    <font>
      <b/>
      <sz val="10"/>
      <color rgb="FF000000"/>
      <name val="Arial"/>
      <family val="2"/>
    </font>
    <font>
      <b/>
      <sz val="18"/>
      <color theme="1"/>
      <name val="Calibri"/>
      <family val="2"/>
      <scheme val="minor"/>
    </font>
    <font>
      <sz val="9.5"/>
      <color theme="1"/>
      <name val="Arial"/>
      <family val="2"/>
    </font>
    <font>
      <sz val="11"/>
      <color theme="1"/>
      <name val="Arial"/>
      <family val="2"/>
    </font>
    <font>
      <b/>
      <sz val="9"/>
      <color rgb="FF202020"/>
      <name val="Arial"/>
      <family val="2"/>
    </font>
    <font>
      <sz val="9"/>
      <color theme="1"/>
      <name val="Segoe UI Symbol"/>
      <family val="2"/>
    </font>
    <font>
      <sz val="9"/>
      <color rgb="FF202020"/>
      <name val="Arial"/>
      <family val="2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name val="Corbel"/>
      <family val="2"/>
    </font>
    <font>
      <sz val="11"/>
      <color theme="1"/>
      <name val="Calibri"/>
      <family val="2"/>
    </font>
    <font>
      <sz val="11"/>
      <color rgb="FF000000"/>
      <name val="Calibri"/>
      <family val="2"/>
      <scheme val="minor"/>
    </font>
    <font>
      <sz val="11"/>
      <color rgb="FF000000"/>
      <name val="Calibri"/>
      <family val="2"/>
    </font>
    <font>
      <sz val="11"/>
      <color rgb="FF333333"/>
      <name val="Calibri"/>
      <family val="2"/>
    </font>
    <font>
      <sz val="11"/>
      <color rgb="FF1D1D1D"/>
      <name val="Calibri"/>
      <family val="2"/>
      <scheme val="minor"/>
    </font>
    <font>
      <sz val="11"/>
      <color indexed="10"/>
      <name val="Calibri"/>
      <family val="2"/>
    </font>
    <font>
      <sz val="11"/>
      <color rgb="FF21212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8"/>
      <color theme="1"/>
      <name val="Arial"/>
      <family val="2"/>
    </font>
    <font>
      <sz val="11"/>
      <name val="Calibri"/>
      <family val="2"/>
      <scheme val="minor"/>
    </font>
    <font>
      <sz val="8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CCCC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AEFC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9" tint="0.79998168889431442"/>
        <bgColor theme="9" tint="0.79998168889431442"/>
      </patternFill>
    </fill>
  </fills>
  <borders count="3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rgb="FF585858"/>
      </left>
      <right/>
      <top style="medium">
        <color rgb="FF585858"/>
      </top>
      <bottom style="medium">
        <color rgb="FF585858"/>
      </bottom>
      <diagonal/>
    </border>
    <border>
      <left/>
      <right/>
      <top style="medium">
        <color rgb="FF585858"/>
      </top>
      <bottom style="medium">
        <color rgb="FF585858"/>
      </bottom>
      <diagonal/>
    </border>
    <border>
      <left style="medium">
        <color rgb="FF585858"/>
      </left>
      <right/>
      <top/>
      <bottom style="medium">
        <color rgb="FFD9D9D9"/>
      </bottom>
      <diagonal/>
    </border>
    <border>
      <left style="medium">
        <color rgb="FF585858"/>
      </left>
      <right/>
      <top/>
      <bottom style="medium">
        <color rgb="FF585858"/>
      </bottom>
      <diagonal/>
    </border>
    <border>
      <left/>
      <right/>
      <top style="medium">
        <color rgb="FF585858"/>
      </top>
      <bottom style="medium">
        <color rgb="FFD9D9D9"/>
      </bottom>
      <diagonal/>
    </border>
    <border>
      <left/>
      <right/>
      <top style="medium">
        <color rgb="FFD9D9D9"/>
      </top>
      <bottom style="medium">
        <color rgb="FFD9D9D9"/>
      </bottom>
      <diagonal/>
    </border>
    <border>
      <left/>
      <right/>
      <top style="medium">
        <color rgb="FFD9D9D9"/>
      </top>
      <bottom style="medium">
        <color rgb="FF585858"/>
      </bottom>
      <diagonal/>
    </border>
    <border>
      <left style="medium">
        <color indexed="64"/>
      </left>
      <right/>
      <top/>
      <bottom style="medium">
        <color rgb="FFD9D9D9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rgb="FFD9D9D9"/>
      </top>
      <bottom style="medium">
        <color rgb="FFD9D9D9"/>
      </bottom>
      <diagonal/>
    </border>
    <border>
      <left style="medium">
        <color indexed="64"/>
      </left>
      <right/>
      <top style="medium">
        <color indexed="64"/>
      </top>
      <bottom style="medium">
        <color rgb="FFD9D9D9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14" fillId="0" borderId="0"/>
    <xf numFmtId="0" fontId="16" fillId="3" borderId="0" applyNumberFormat="0" applyBorder="0" applyAlignment="0" applyProtection="0"/>
    <xf numFmtId="0" fontId="17" fillId="4" borderId="0" applyNumberFormat="0" applyBorder="0" applyAlignment="0" applyProtection="0"/>
  </cellStyleXfs>
  <cellXfs count="111">
    <xf numFmtId="0" fontId="0" fillId="0" borderId="0" xfId="0"/>
    <xf numFmtId="0" fontId="2" fillId="0" borderId="0" xfId="0" applyFont="1" applyAlignment="1">
      <alignment vertical="center"/>
    </xf>
    <xf numFmtId="0" fontId="4" fillId="2" borderId="2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9" fillId="0" borderId="13" xfId="0" applyFont="1" applyBorder="1" applyAlignment="1">
      <alignment horizontal="center" vertical="center" wrapText="1"/>
    </xf>
    <xf numFmtId="0" fontId="0" fillId="0" borderId="14" xfId="0" applyBorder="1"/>
    <xf numFmtId="0" fontId="0" fillId="0" borderId="15" xfId="0" applyBorder="1"/>
    <xf numFmtId="0" fontId="1" fillId="0" borderId="0" xfId="0" applyFont="1" applyAlignment="1">
      <alignment vertical="center" wrapText="1"/>
    </xf>
    <xf numFmtId="0" fontId="1" fillId="0" borderId="0" xfId="0" applyFont="1" applyAlignment="1">
      <alignment vertical="center"/>
    </xf>
    <xf numFmtId="0" fontId="1" fillId="0" borderId="0" xfId="0" applyFont="1"/>
    <xf numFmtId="0" fontId="13" fillId="0" borderId="5" xfId="0" applyFont="1" applyBorder="1" applyAlignment="1">
      <alignment vertical="center" wrapText="1"/>
    </xf>
    <xf numFmtId="0" fontId="13" fillId="0" borderId="1" xfId="0" applyFont="1" applyBorder="1" applyAlignment="1">
      <alignment vertical="center" wrapText="1"/>
    </xf>
    <xf numFmtId="0" fontId="9" fillId="0" borderId="8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0" fontId="9" fillId="0" borderId="20" xfId="0" applyFont="1" applyBorder="1" applyAlignment="1">
      <alignment horizontal="center" vertical="center" wrapText="1"/>
    </xf>
    <xf numFmtId="0" fontId="3" fillId="5" borderId="23" xfId="0" applyFont="1" applyFill="1" applyBorder="1" applyAlignment="1" applyProtection="1">
      <alignment horizontal="center" vertical="top" wrapText="1"/>
      <protection hidden="1"/>
    </xf>
    <xf numFmtId="0" fontId="3" fillId="5" borderId="24" xfId="0" applyFont="1" applyFill="1" applyBorder="1" applyAlignment="1" applyProtection="1">
      <alignment horizontal="center" vertical="top" wrapText="1"/>
      <protection hidden="1"/>
    </xf>
    <xf numFmtId="0" fontId="3" fillId="5" borderId="25" xfId="0" applyFont="1" applyFill="1" applyBorder="1" applyAlignment="1" applyProtection="1">
      <alignment horizontal="center" vertical="top" wrapText="1"/>
      <protection hidden="1"/>
    </xf>
    <xf numFmtId="0" fontId="19" fillId="6" borderId="23" xfId="0" applyFont="1" applyFill="1" applyBorder="1" applyAlignment="1" applyProtection="1">
      <alignment horizontal="center" vertical="top" wrapText="1"/>
      <protection hidden="1"/>
    </xf>
    <xf numFmtId="0" fontId="19" fillId="6" borderId="24" xfId="0" applyFont="1" applyFill="1" applyBorder="1" applyAlignment="1" applyProtection="1">
      <alignment horizontal="center" vertical="top" wrapText="1"/>
      <protection hidden="1"/>
    </xf>
    <xf numFmtId="0" fontId="19" fillId="6" borderId="25" xfId="0" applyFont="1" applyFill="1" applyBorder="1" applyAlignment="1" applyProtection="1">
      <alignment horizontal="center" vertical="top" wrapText="1"/>
      <protection hidden="1"/>
    </xf>
    <xf numFmtId="0" fontId="17" fillId="4" borderId="23" xfId="3" applyBorder="1" applyAlignment="1" applyProtection="1">
      <alignment horizontal="center" vertical="top" wrapText="1"/>
      <protection hidden="1"/>
    </xf>
    <xf numFmtId="0" fontId="17" fillId="4" borderId="24" xfId="3" applyBorder="1" applyAlignment="1" applyProtection="1">
      <alignment horizontal="center" vertical="top" wrapText="1"/>
      <protection hidden="1"/>
    </xf>
    <xf numFmtId="0" fontId="17" fillId="4" borderId="25" xfId="3" applyBorder="1" applyAlignment="1" applyProtection="1">
      <alignment horizontal="center" vertical="top" wrapText="1"/>
      <protection hidden="1"/>
    </xf>
    <xf numFmtId="0" fontId="17" fillId="7" borderId="24" xfId="3" applyFill="1" applyBorder="1" applyAlignment="1" applyProtection="1">
      <alignment horizontal="center" vertical="top" wrapText="1"/>
      <protection hidden="1"/>
    </xf>
    <xf numFmtId="0" fontId="18" fillId="0" borderId="26" xfId="3" applyFont="1" applyFill="1" applyBorder="1" applyAlignment="1" applyProtection="1">
      <alignment horizontal="center" vertical="top" wrapText="1"/>
      <protection hidden="1"/>
    </xf>
    <xf numFmtId="0" fontId="15" fillId="9" borderId="23" xfId="3" applyFont="1" applyFill="1" applyBorder="1" applyAlignment="1" applyProtection="1">
      <alignment horizontal="center" vertical="top" wrapText="1"/>
      <protection hidden="1"/>
    </xf>
    <xf numFmtId="0" fontId="15" fillId="9" borderId="24" xfId="3" applyFont="1" applyFill="1" applyBorder="1" applyAlignment="1" applyProtection="1">
      <alignment horizontal="center" vertical="top" wrapText="1"/>
      <protection hidden="1"/>
    </xf>
    <xf numFmtId="0" fontId="15" fillId="9" borderId="25" xfId="3" applyFont="1" applyFill="1" applyBorder="1" applyAlignment="1" applyProtection="1">
      <alignment horizontal="center" vertical="top" wrapText="1"/>
      <protection hidden="1"/>
    </xf>
    <xf numFmtId="0" fontId="0" fillId="10" borderId="27" xfId="0" applyFill="1" applyBorder="1" applyAlignment="1">
      <alignment horizontal="center" vertical="top"/>
    </xf>
    <xf numFmtId="0" fontId="16" fillId="3" borderId="27" xfId="2" applyBorder="1" applyAlignment="1" applyProtection="1">
      <alignment horizontal="center" vertical="top" wrapText="1"/>
      <protection hidden="1"/>
    </xf>
    <xf numFmtId="0" fontId="16" fillId="3" borderId="23" xfId="2" applyBorder="1" applyAlignment="1" applyProtection="1">
      <alignment horizontal="center" vertical="top" wrapText="1"/>
      <protection hidden="1"/>
    </xf>
    <xf numFmtId="0" fontId="16" fillId="3" borderId="28" xfId="2" applyBorder="1" applyAlignment="1" applyProtection="1">
      <alignment horizontal="center" vertical="top" wrapText="1"/>
      <protection hidden="1"/>
    </xf>
    <xf numFmtId="0" fontId="17" fillId="4" borderId="27" xfId="3" applyBorder="1" applyAlignment="1" applyProtection="1">
      <alignment horizontal="center" vertical="top" wrapText="1"/>
      <protection hidden="1"/>
    </xf>
    <xf numFmtId="0" fontId="15" fillId="11" borderId="27" xfId="2" applyFont="1" applyFill="1" applyBorder="1" applyAlignment="1" applyProtection="1">
      <alignment horizontal="center" vertical="top" wrapText="1"/>
      <protection hidden="1"/>
    </xf>
    <xf numFmtId="0" fontId="18" fillId="7" borderId="27" xfId="3" applyFont="1" applyFill="1" applyBorder="1" applyAlignment="1" applyProtection="1">
      <alignment horizontal="center" vertical="top" wrapText="1"/>
      <protection hidden="1"/>
    </xf>
    <xf numFmtId="0" fontId="18" fillId="0" borderId="29" xfId="3" applyFont="1" applyFill="1" applyBorder="1" applyAlignment="1" applyProtection="1">
      <alignment horizontal="center" vertical="top" wrapText="1"/>
      <protection hidden="1"/>
    </xf>
    <xf numFmtId="0" fontId="16" fillId="8" borderId="27" xfId="2" applyFill="1" applyBorder="1" applyAlignment="1" applyProtection="1">
      <alignment horizontal="center" vertical="top" wrapText="1"/>
      <protection hidden="1"/>
    </xf>
    <xf numFmtId="0" fontId="15" fillId="9" borderId="27" xfId="3" applyFont="1" applyFill="1" applyBorder="1" applyAlignment="1" applyProtection="1">
      <alignment horizontal="center" vertical="top" wrapText="1"/>
      <protection hidden="1"/>
    </xf>
    <xf numFmtId="0" fontId="0" fillId="10" borderId="27" xfId="3" applyFont="1" applyFill="1" applyBorder="1" applyAlignment="1" applyProtection="1">
      <alignment horizontal="center" vertical="top" wrapText="1"/>
      <protection hidden="1"/>
    </xf>
    <xf numFmtId="0" fontId="15" fillId="10" borderId="27" xfId="3" applyFont="1" applyFill="1" applyBorder="1" applyAlignment="1" applyProtection="1">
      <alignment horizontal="center" vertical="top" wrapText="1"/>
      <protection hidden="1"/>
    </xf>
    <xf numFmtId="0" fontId="0" fillId="0" borderId="27" xfId="0" applyBorder="1"/>
    <xf numFmtId="0" fontId="0" fillId="0" borderId="27" xfId="0" applyBorder="1" applyAlignment="1">
      <alignment horizontal="left" vertical="top"/>
    </xf>
    <xf numFmtId="0" fontId="0" fillId="12" borderId="27" xfId="0" applyFill="1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12" borderId="0" xfId="0" applyFill="1"/>
    <xf numFmtId="0" fontId="0" fillId="0" borderId="0" xfId="0" applyAlignment="1">
      <alignment wrapText="1"/>
    </xf>
    <xf numFmtId="0" fontId="0" fillId="13" borderId="0" xfId="0" applyFill="1"/>
    <xf numFmtId="0" fontId="0" fillId="0" borderId="0" xfId="0" applyAlignment="1">
      <alignment vertical="center"/>
    </xf>
    <xf numFmtId="0" fontId="20" fillId="0" borderId="0" xfId="0" applyFont="1" applyAlignment="1">
      <alignment vertical="center"/>
    </xf>
    <xf numFmtId="0" fontId="21" fillId="0" borderId="0" xfId="0" applyFont="1"/>
    <xf numFmtId="0" fontId="0" fillId="0" borderId="0" xfId="0" applyAlignment="1">
      <alignment vertical="top"/>
    </xf>
    <xf numFmtId="0" fontId="22" fillId="0" borderId="0" xfId="0" applyFont="1"/>
    <xf numFmtId="0" fontId="23" fillId="0" borderId="0" xfId="0" applyFont="1"/>
    <xf numFmtId="0" fontId="21" fillId="0" borderId="0" xfId="0" applyFont="1" applyAlignment="1">
      <alignment vertical="center"/>
    </xf>
    <xf numFmtId="0" fontId="24" fillId="0" borderId="0" xfId="0" applyFont="1" applyAlignment="1">
      <alignment vertical="center" wrapText="1"/>
    </xf>
    <xf numFmtId="0" fontId="0" fillId="0" borderId="31" xfId="0" applyBorder="1"/>
    <xf numFmtId="0" fontId="0" fillId="14" borderId="0" xfId="0" applyFill="1"/>
    <xf numFmtId="0" fontId="0" fillId="15" borderId="0" xfId="0" applyFill="1"/>
    <xf numFmtId="0" fontId="0" fillId="0" borderId="0" xfId="0" applyAlignment="1">
      <alignment horizontal="left" vertical="top" wrapText="1"/>
    </xf>
    <xf numFmtId="0" fontId="26" fillId="0" borderId="0" xfId="0" applyFont="1"/>
    <xf numFmtId="0" fontId="26" fillId="0" borderId="0" xfId="0" applyFont="1" applyAlignment="1">
      <alignment wrapText="1"/>
    </xf>
    <xf numFmtId="0" fontId="29" fillId="16" borderId="28" xfId="0" applyFont="1" applyFill="1" applyBorder="1"/>
    <xf numFmtId="0" fontId="30" fillId="0" borderId="32" xfId="0" applyFont="1" applyBorder="1"/>
    <xf numFmtId="0" fontId="13" fillId="16" borderId="28" xfId="0" applyFont="1" applyFill="1" applyBorder="1" applyAlignment="1">
      <alignment horizontal="left" vertical="top" wrapText="1"/>
    </xf>
    <xf numFmtId="0" fontId="30" fillId="8" borderId="32" xfId="0" applyFont="1" applyFill="1" applyBorder="1"/>
    <xf numFmtId="49" fontId="0" fillId="0" borderId="0" xfId="0" applyNumberFormat="1"/>
    <xf numFmtId="0" fontId="0" fillId="15" borderId="33" xfId="0" applyFill="1" applyBorder="1" applyAlignment="1">
      <alignment horizontal="left" vertical="top"/>
    </xf>
    <xf numFmtId="0" fontId="0" fillId="14" borderId="33" xfId="0" applyFill="1" applyBorder="1" applyAlignment="1">
      <alignment horizontal="left" vertical="top"/>
    </xf>
    <xf numFmtId="0" fontId="0" fillId="0" borderId="33" xfId="0" applyBorder="1" applyAlignment="1">
      <alignment horizontal="left" vertical="top"/>
    </xf>
    <xf numFmtId="0" fontId="0" fillId="18" borderId="33" xfId="0" applyFill="1" applyBorder="1" applyAlignment="1">
      <alignment horizontal="left" vertical="top"/>
    </xf>
    <xf numFmtId="0" fontId="0" fillId="13" borderId="33" xfId="0" applyFill="1" applyBorder="1" applyAlignment="1">
      <alignment horizontal="left" vertical="top"/>
    </xf>
    <xf numFmtId="0" fontId="0" fillId="18" borderId="34" xfId="0" applyFill="1" applyBorder="1" applyAlignment="1">
      <alignment horizontal="left" vertical="top"/>
    </xf>
    <xf numFmtId="0" fontId="0" fillId="19" borderId="31" xfId="0" applyFill="1" applyBorder="1"/>
    <xf numFmtId="0" fontId="0" fillId="10" borderId="33" xfId="0" applyFill="1" applyBorder="1" applyAlignment="1">
      <alignment horizontal="left" vertical="top"/>
    </xf>
    <xf numFmtId="0" fontId="0" fillId="0" borderId="34" xfId="0" applyBorder="1" applyAlignment="1">
      <alignment horizontal="left" vertical="top"/>
    </xf>
    <xf numFmtId="0" fontId="30" fillId="0" borderId="28" xfId="0" applyFont="1" applyBorder="1"/>
    <xf numFmtId="0" fontId="18" fillId="17" borderId="28" xfId="0" applyFont="1" applyFill="1" applyBorder="1"/>
    <xf numFmtId="0" fontId="18" fillId="17" borderId="32" xfId="0" applyFont="1" applyFill="1" applyBorder="1"/>
    <xf numFmtId="0" fontId="30" fillId="0" borderId="23" xfId="0" applyFont="1" applyBorder="1"/>
    <xf numFmtId="0" fontId="30" fillId="8" borderId="23" xfId="0" applyFont="1" applyFill="1" applyBorder="1"/>
    <xf numFmtId="0" fontId="18" fillId="17" borderId="27" xfId="0" applyFont="1" applyFill="1" applyBorder="1"/>
    <xf numFmtId="0" fontId="18" fillId="17" borderId="23" xfId="0" applyFont="1" applyFill="1" applyBorder="1"/>
    <xf numFmtId="0" fontId="13" fillId="0" borderId="17" xfId="0" applyFont="1" applyBorder="1" applyAlignment="1">
      <alignment horizontal="center" vertical="center" wrapText="1"/>
    </xf>
    <xf numFmtId="0" fontId="13" fillId="0" borderId="2" xfId="0" applyFont="1" applyBorder="1" applyAlignment="1">
      <alignment horizontal="center" vertical="center" wrapText="1"/>
    </xf>
    <xf numFmtId="0" fontId="8" fillId="2" borderId="17" xfId="0" applyFont="1" applyFill="1" applyBorder="1" applyAlignment="1">
      <alignment horizontal="center" vertical="center" wrapText="1"/>
    </xf>
    <xf numFmtId="0" fontId="8" fillId="2" borderId="18" xfId="0" applyFont="1" applyFill="1" applyBorder="1" applyAlignment="1">
      <alignment horizontal="center" vertical="center" wrapText="1"/>
    </xf>
    <xf numFmtId="0" fontId="8" fillId="2" borderId="2" xfId="0" applyFont="1" applyFill="1" applyBorder="1" applyAlignment="1">
      <alignment horizontal="center" vertical="center" wrapText="1"/>
    </xf>
    <xf numFmtId="0" fontId="10" fillId="0" borderId="21" xfId="0" applyFont="1" applyBorder="1" applyAlignment="1">
      <alignment horizontal="center" vertical="center" wrapText="1"/>
    </xf>
    <xf numFmtId="0" fontId="10" fillId="0" borderId="22" xfId="0" applyFont="1" applyBorder="1" applyAlignment="1">
      <alignment horizontal="center" vertical="center" wrapText="1"/>
    </xf>
    <xf numFmtId="0" fontId="10" fillId="0" borderId="11" xfId="0" applyFont="1" applyBorder="1" applyAlignment="1">
      <alignment horizontal="center" vertical="center" wrapText="1"/>
    </xf>
    <xf numFmtId="0" fontId="10" fillId="0" borderId="19" xfId="0" applyFont="1" applyBorder="1" applyAlignment="1">
      <alignment horizontal="center" vertical="center" wrapText="1"/>
    </xf>
    <xf numFmtId="0" fontId="8" fillId="2" borderId="6" xfId="0" applyFont="1" applyFill="1" applyBorder="1" applyAlignment="1">
      <alignment horizontal="center" vertical="center" wrapText="1"/>
    </xf>
    <xf numFmtId="0" fontId="8" fillId="2" borderId="7" xfId="0" applyFont="1" applyFill="1" applyBorder="1" applyAlignment="1">
      <alignment horizontal="center" vertical="center" wrapText="1"/>
    </xf>
    <xf numFmtId="0" fontId="10" fillId="0" borderId="10" xfId="0" applyFont="1" applyBorder="1" applyAlignment="1">
      <alignment horizontal="center" vertical="center" wrapText="1"/>
    </xf>
    <xf numFmtId="0" fontId="10" fillId="0" borderId="12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16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11" fillId="0" borderId="0" xfId="0" applyFont="1" applyAlignment="1">
      <alignment horizontal="center"/>
    </xf>
    <xf numFmtId="0" fontId="4" fillId="2" borderId="17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16" fillId="8" borderId="23" xfId="2" applyFill="1" applyBorder="1" applyAlignment="1" applyProtection="1">
      <alignment horizontal="left" vertical="top" wrapText="1"/>
      <protection hidden="1"/>
    </xf>
    <xf numFmtId="0" fontId="16" fillId="8" borderId="24" xfId="2" applyFill="1" applyBorder="1" applyAlignment="1" applyProtection="1">
      <alignment horizontal="left" vertical="top" wrapText="1"/>
      <protection hidden="1"/>
    </xf>
    <xf numFmtId="0" fontId="16" fillId="8" borderId="25" xfId="2" applyFill="1" applyBorder="1" applyAlignment="1" applyProtection="1">
      <alignment horizontal="left" vertical="top" wrapText="1"/>
      <protection hidden="1"/>
    </xf>
    <xf numFmtId="0" fontId="0" fillId="9" borderId="28" xfId="3" applyFont="1" applyFill="1" applyBorder="1" applyAlignment="1" applyProtection="1">
      <alignment horizontal="center" vertical="center" wrapText="1"/>
      <protection hidden="1"/>
    </xf>
    <xf numFmtId="0" fontId="0" fillId="9" borderId="30" xfId="3" applyFont="1" applyFill="1" applyBorder="1" applyAlignment="1" applyProtection="1">
      <alignment horizontal="center" vertical="center" wrapText="1"/>
      <protection hidden="1"/>
    </xf>
  </cellXfs>
  <cellStyles count="4">
    <cellStyle name="Bad" xfId="3" builtinId="27"/>
    <cellStyle name="Good" xfId="2" builtinId="26"/>
    <cellStyle name="Normal" xfId="0" builtinId="0"/>
    <cellStyle name="Normal 2" xfId="1" xr:uid="{2E51AFD2-F818-4ECD-89AA-8004FB34273A}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342900</xdr:colOff>
      <xdr:row>0</xdr:row>
      <xdr:rowOff>53340</xdr:rowOff>
    </xdr:from>
    <xdr:to>
      <xdr:col>6</xdr:col>
      <xdr:colOff>319294</xdr:colOff>
      <xdr:row>3</xdr:row>
      <xdr:rowOff>22860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5071267B-B588-43D7-8121-0EEF26108033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31943" y="53340"/>
          <a:ext cx="3595894" cy="532737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72E21-FE24-47DB-9AF7-EE766E22B0FD}">
  <sheetPr codeName="Sheet1">
    <pageSetUpPr fitToPage="1"/>
  </sheetPr>
  <dimension ref="A1:I44"/>
  <sheetViews>
    <sheetView workbookViewId="0">
      <selection activeCell="A10" sqref="A10:H10"/>
    </sheetView>
  </sheetViews>
  <sheetFormatPr defaultRowHeight="14.5" x14ac:dyDescent="0.35"/>
  <cols>
    <col min="2" max="2" width="12.08984375" customWidth="1"/>
    <col min="3" max="5" width="12.90625" customWidth="1"/>
    <col min="6" max="6" width="15.54296875" bestFit="1" customWidth="1"/>
    <col min="7" max="7" width="7.453125" customWidth="1"/>
    <col min="8" max="8" width="5.90625" customWidth="1"/>
  </cols>
  <sheetData>
    <row r="1" spans="1:9" ht="14.4" customHeight="1" x14ac:dyDescent="0.35">
      <c r="C1" s="8"/>
      <c r="D1" s="8"/>
      <c r="E1" s="8"/>
      <c r="F1" s="8"/>
      <c r="G1" s="8"/>
      <c r="H1" s="8"/>
      <c r="I1" s="8"/>
    </row>
    <row r="2" spans="1:9" x14ac:dyDescent="0.35">
      <c r="C2" s="9"/>
      <c r="D2" s="9"/>
      <c r="E2" s="9"/>
      <c r="F2" s="9"/>
      <c r="G2" s="9"/>
      <c r="H2" s="9"/>
      <c r="I2" s="9"/>
    </row>
    <row r="3" spans="1:9" x14ac:dyDescent="0.35">
      <c r="C3" s="10"/>
      <c r="D3" s="10"/>
      <c r="E3" s="10"/>
      <c r="F3" s="10"/>
      <c r="G3" s="10"/>
      <c r="H3" s="10"/>
      <c r="I3" s="10"/>
    </row>
    <row r="4" spans="1:9" x14ac:dyDescent="0.35">
      <c r="C4" s="10"/>
      <c r="D4" s="10"/>
      <c r="E4" s="10"/>
      <c r="F4" s="10"/>
      <c r="G4" s="10"/>
      <c r="H4" s="10"/>
      <c r="I4" s="10"/>
    </row>
    <row r="10" spans="1:9" ht="18.5" x14ac:dyDescent="0.35">
      <c r="A10" s="102" t="s">
        <v>5783</v>
      </c>
      <c r="B10" s="102"/>
      <c r="C10" s="102"/>
      <c r="D10" s="102"/>
      <c r="E10" s="102"/>
      <c r="F10" s="102"/>
      <c r="G10" s="102"/>
      <c r="H10" s="102"/>
    </row>
    <row r="11" spans="1:9" ht="18.5" x14ac:dyDescent="0.35">
      <c r="A11" s="102" t="s">
        <v>5782</v>
      </c>
      <c r="B11" s="102"/>
      <c r="C11" s="102"/>
      <c r="D11" s="102"/>
      <c r="E11" s="102"/>
      <c r="F11" s="102"/>
      <c r="G11" s="102"/>
      <c r="H11" s="102"/>
    </row>
    <row r="13" spans="1:9" ht="23.5" x14ac:dyDescent="0.55000000000000004">
      <c r="A13" s="101" t="str">
        <f ca="1">_xll.BSIPWOfficeAttr.AttrConnect.1.GetDocumentProperty("PWTitle")</f>
        <v>MPDT Bridleway AG9 Overbridge</v>
      </c>
      <c r="B13" s="101"/>
      <c r="C13" s="101"/>
      <c r="D13" s="101"/>
      <c r="E13" s="101"/>
      <c r="F13" s="101"/>
      <c r="G13" s="101"/>
      <c r="H13" s="101"/>
    </row>
    <row r="14" spans="1:9" ht="23.5" x14ac:dyDescent="0.55000000000000004">
      <c r="A14" s="101" t="str">
        <f ca="1">_xll.BSIPWOfficeAttr.AttrConnect.1.GetDocumentProperty("PWTitleL2")</f>
        <v/>
      </c>
      <c r="B14" s="101"/>
      <c r="C14" s="101"/>
      <c r="D14" s="101"/>
      <c r="E14" s="101"/>
      <c r="F14" s="101"/>
      <c r="G14" s="101"/>
      <c r="H14" s="101"/>
    </row>
    <row r="15" spans="1:9" ht="23.5" x14ac:dyDescent="0.55000000000000004">
      <c r="A15" s="101" t="str">
        <f ca="1">_xll.BSIPWOfficeAttr.AttrConnect.1.GetDocumentProperty("PWTitleL3")</f>
        <v/>
      </c>
      <c r="B15" s="101"/>
      <c r="C15" s="101"/>
      <c r="D15" s="101"/>
      <c r="E15" s="101"/>
      <c r="F15" s="101"/>
      <c r="G15" s="101"/>
      <c r="H15" s="101"/>
    </row>
    <row r="16" spans="1:9" ht="23.5" x14ac:dyDescent="0.55000000000000004">
      <c r="A16" s="101" t="str">
        <f ca="1">_xll.BSIPWOfficeAttr.AttrConnect.1.GetDocumentProperty("PWTitleL4")</f>
        <v/>
      </c>
      <c r="B16" s="101"/>
      <c r="C16" s="101"/>
      <c r="D16" s="101"/>
      <c r="E16" s="101"/>
      <c r="F16" s="101"/>
      <c r="G16" s="101"/>
      <c r="H16" s="101"/>
    </row>
    <row r="18" spans="1:8" ht="21" x14ac:dyDescent="0.5">
      <c r="A18" s="103" t="str">
        <f ca="1">_xll.BSIPWOfficeAttr.AttrConnect.1.GetDocumentProperty("Document_Number")</f>
        <v>1MC07-CEK-BR-FRM-CS07_CL26-000005</v>
      </c>
      <c r="B18" s="103"/>
      <c r="C18" s="103"/>
      <c r="D18" s="103"/>
      <c r="E18" s="103"/>
      <c r="F18" s="103"/>
      <c r="G18" s="103"/>
      <c r="H18" s="103"/>
    </row>
    <row r="26" spans="1:8" ht="15" thickBot="1" x14ac:dyDescent="0.4"/>
    <row r="27" spans="1:8" ht="15" thickBot="1" x14ac:dyDescent="0.4">
      <c r="A27" s="3" t="s">
        <v>0</v>
      </c>
      <c r="B27" s="2" t="s">
        <v>1</v>
      </c>
      <c r="C27" s="2" t="s">
        <v>2</v>
      </c>
      <c r="D27" s="2" t="s">
        <v>3</v>
      </c>
      <c r="E27" s="2" t="s">
        <v>4</v>
      </c>
      <c r="F27" s="2" t="s">
        <v>5</v>
      </c>
      <c r="G27" s="104" t="s">
        <v>20</v>
      </c>
      <c r="H27" s="105"/>
    </row>
    <row r="28" spans="1:8" ht="20.5" thickBot="1" x14ac:dyDescent="0.4">
      <c r="A28" s="11" t="str">
        <f ca="1">_xll.BSIPWOfficeAttr.AttrConnect.1.GetDocumentProperty("Rev 01")</f>
        <v>P06</v>
      </c>
      <c r="B28" s="11" t="str">
        <f ca="1">_xll.BSIPWOfficeAttr.AttrConnect.1.GetDocumentProperty("Date 01")</f>
        <v>10/08/2023</v>
      </c>
      <c r="C28" s="11" t="str">
        <f ca="1">_xll.BSIPWOfficeAttr.AttrConnect.1.GetDocumentProperty("Drawn 01")</f>
        <v>H.Forbes</v>
      </c>
      <c r="D28" s="11" t="str">
        <f ca="1">_xll.BSIPWOfficeAttr.AttrConnect.1.GetDocumentProperty("Checked 01")</f>
        <v>M.Perona</v>
      </c>
      <c r="E28" s="11" t="str">
        <f ca="1">_xll.BSIPWOfficeAttr.AttrConnect.1.GetDocumentProperty("Approved 01")</f>
        <v>---</v>
      </c>
      <c r="F28" s="11" t="str">
        <f ca="1">_xll.BSIPWOfficeAttr.AttrConnect.1.GetDocumentProperty("Note 01")</f>
        <v>Updated for DAC 2 requirements</v>
      </c>
      <c r="G28" s="84" t="s">
        <v>5784</v>
      </c>
      <c r="H28" s="85"/>
    </row>
    <row r="29" spans="1:8" ht="15" thickBot="1" x14ac:dyDescent="0.4">
      <c r="A29" s="11" t="str">
        <f ca="1">_xll.BSIPWOfficeAttr.AttrConnect.1.GetDocumentProperty("Rev 02")</f>
        <v>P05</v>
      </c>
      <c r="B29" s="11" t="str">
        <f ca="1">_xll.BSIPWOfficeAttr.AttrConnect.1.GetDocumentProperty("Date 02")</f>
        <v>09/12/19</v>
      </c>
      <c r="C29" s="11" t="str">
        <f ca="1">_xll.BSIPWOfficeAttr.AttrConnect.1.GetDocumentProperty("Drawn 02")</f>
        <v/>
      </c>
      <c r="D29" s="11" t="str">
        <f ca="1">_xll.BSIPWOfficeAttr.AttrConnect.1.GetDocumentProperty("Checked 02")</f>
        <v/>
      </c>
      <c r="E29" s="11" t="str">
        <f ca="1">_xll.BSIPWOfficeAttr.AttrConnect.1.GetDocumentProperty("Approved 02")</f>
        <v/>
      </c>
      <c r="F29" s="11" t="str">
        <f ca="1">_xll.BSIPWOfficeAttr.AttrConnect.1.GetDocumentProperty("Note 02")</f>
        <v>UAID's added by EK</v>
      </c>
      <c r="G29" s="84"/>
      <c r="H29" s="85"/>
    </row>
    <row r="30" spans="1:8" ht="15" thickBot="1" x14ac:dyDescent="0.4">
      <c r="A30" s="11" t="str">
        <f ca="1">_xll.BSIPWOfficeAttr.AttrConnect.1.GetDocumentProperty("Rev 03")</f>
        <v>P04</v>
      </c>
      <c r="B30" s="11" t="str">
        <f ca="1">_xll.BSIPWOfficeAttr.AttrConnect.1.GetDocumentProperty("Date 03")</f>
        <v>25/11/19</v>
      </c>
      <c r="C30" s="11" t="str">
        <f ca="1">_xll.BSIPWOfficeAttr.AttrConnect.1.GetDocumentProperty("Drawn 03")</f>
        <v/>
      </c>
      <c r="D30" s="11" t="str">
        <f ca="1">_xll.BSIPWOfficeAttr.AttrConnect.1.GetDocumentProperty("Checked 03")</f>
        <v/>
      </c>
      <c r="E30" s="11" t="str">
        <f ca="1">_xll.BSIPWOfficeAttr.AttrConnect.1.GetDocumentProperty("Approved 03")</f>
        <v/>
      </c>
      <c r="F30" s="11" t="str">
        <f ca="1">_xll.BSIPWOfficeAttr.AttrConnect.1.GetDocumentProperty("Note 03")</f>
        <v>UAID Request</v>
      </c>
      <c r="G30" s="84"/>
      <c r="H30" s="85"/>
    </row>
    <row r="31" spans="1:8" ht="20.5" thickBot="1" x14ac:dyDescent="0.4">
      <c r="A31" s="11" t="str">
        <f ca="1">_xll.BSIPWOfficeAttr.AttrConnect.1.GetDocumentProperty("Rev 04")</f>
        <v>P03</v>
      </c>
      <c r="B31" s="11" t="str">
        <f ca="1">_xll.BSIPWOfficeAttr.AttrConnect.1.GetDocumentProperty("Date 04")</f>
        <v>14/06/19</v>
      </c>
      <c r="C31" s="11" t="str">
        <f ca="1">_xll.BSIPWOfficeAttr.AttrConnect.1.GetDocumentProperty("Drawn 04")</f>
        <v/>
      </c>
      <c r="D31" s="11" t="str">
        <f ca="1">_xll.BSIPWOfficeAttr.AttrConnect.1.GetDocumentProperty("Checked 04")</f>
        <v/>
      </c>
      <c r="E31" s="11" t="str">
        <f ca="1">_xll.BSIPWOfficeAttr.AttrConnect.1.GetDocumentProperty("Approved 04")</f>
        <v/>
      </c>
      <c r="F31" s="11" t="str">
        <f ca="1">_xll.BSIPWOfficeAttr.AttrConnect.1.GetDocumentProperty("Note 04")</f>
        <v>Issued for UAID request</v>
      </c>
      <c r="G31" s="84"/>
      <c r="H31" s="85"/>
    </row>
    <row r="32" spans="1:8" ht="20.5" thickBot="1" x14ac:dyDescent="0.4">
      <c r="A32" s="11" t="str">
        <f ca="1">_xll.BSIPWOfficeAttr.AttrConnect.1.GetDocumentProperty("Rev 05")</f>
        <v>P02</v>
      </c>
      <c r="B32" s="11" t="str">
        <f ca="1">_xll.BSIPWOfficeAttr.AttrConnect.1.GetDocumentProperty("Date 05")</f>
        <v>22/10/18</v>
      </c>
      <c r="C32" s="11" t="str">
        <f ca="1">_xll.BSIPWOfficeAttr.AttrConnect.1.GetDocumentProperty("Drawn 05")</f>
        <v/>
      </c>
      <c r="D32" s="11" t="str">
        <f ca="1">_xll.BSIPWOfficeAttr.AttrConnect.1.GetDocumentProperty("Checked 05")</f>
        <v/>
      </c>
      <c r="E32" s="11" t="str">
        <f ca="1">_xll.BSIPWOfficeAttr.AttrConnect.1.GetDocumentProperty("Approved 05")</f>
        <v/>
      </c>
      <c r="F32" s="11" t="str">
        <f ca="1">_xll.BSIPWOfficeAttr.AttrConnect.1.GetDocumentProperty("Note 05")</f>
        <v>Issue for information to HS2</v>
      </c>
      <c r="G32" s="84"/>
      <c r="H32" s="85"/>
    </row>
    <row r="33" spans="1:8" ht="20.5" thickBot="1" x14ac:dyDescent="0.4">
      <c r="A33" s="12" t="str">
        <f ca="1">_xll.BSIPWOfficeAttr.AttrConnect.1.GetDocumentProperty("Rev 06")</f>
        <v>P01</v>
      </c>
      <c r="B33" s="12" t="str">
        <f ca="1">_xll.BSIPWOfficeAttr.AttrConnect.1.GetDocumentProperty("Date 06")</f>
        <v/>
      </c>
      <c r="C33" s="12" t="str">
        <f ca="1">_xll.BSIPWOfficeAttr.AttrConnect.1.GetDocumentProperty("Drawn 06")</f>
        <v/>
      </c>
      <c r="D33" s="12" t="str">
        <f ca="1">_xll.BSIPWOfficeAttr.AttrConnect.1.GetDocumentProperty("Checked 06")</f>
        <v/>
      </c>
      <c r="E33" s="12" t="str">
        <f ca="1">_xll.BSIPWOfficeAttr.AttrConnect.1.GetDocumentProperty("Approved 06")</f>
        <v/>
      </c>
      <c r="F33" s="12" t="str">
        <f ca="1">_xll.BSIPWOfficeAttr.AttrConnect.1.GetDocumentProperty("Note 06")</f>
        <v>Issue for information to HS2</v>
      </c>
      <c r="G33" s="84"/>
      <c r="H33" s="85"/>
    </row>
    <row r="35" spans="1:8" ht="15" thickBot="1" x14ac:dyDescent="0.4">
      <c r="A35" s="4"/>
    </row>
    <row r="36" spans="1:8" ht="24" customHeight="1" thickBot="1" x14ac:dyDescent="0.4">
      <c r="A36" s="93" t="s">
        <v>6</v>
      </c>
      <c r="B36" s="94"/>
      <c r="C36" s="94"/>
      <c r="D36" s="94"/>
      <c r="E36" s="86" t="s">
        <v>7</v>
      </c>
      <c r="F36" s="87"/>
      <c r="G36" s="87"/>
      <c r="H36" s="88"/>
    </row>
    <row r="37" spans="1:8" ht="15" thickBot="1" x14ac:dyDescent="0.4">
      <c r="A37" s="13" t="s">
        <v>8</v>
      </c>
      <c r="B37" s="95" t="s">
        <v>9</v>
      </c>
      <c r="C37" s="95"/>
      <c r="D37" s="95"/>
      <c r="E37" s="15" t="s">
        <v>8</v>
      </c>
      <c r="F37" s="89" t="s">
        <v>10</v>
      </c>
      <c r="G37" s="89"/>
      <c r="H37" s="90"/>
    </row>
    <row r="38" spans="1:8" ht="15" thickBot="1" x14ac:dyDescent="0.4">
      <c r="A38" s="13" t="s">
        <v>8</v>
      </c>
      <c r="B38" s="91" t="s">
        <v>11</v>
      </c>
      <c r="C38" s="91"/>
      <c r="D38" s="91"/>
      <c r="E38" s="5" t="s">
        <v>8</v>
      </c>
      <c r="F38" s="91" t="s">
        <v>12</v>
      </c>
      <c r="G38" s="91"/>
      <c r="H38" s="92"/>
    </row>
    <row r="39" spans="1:8" ht="15.75" customHeight="1" thickBot="1" x14ac:dyDescent="0.4">
      <c r="A39" s="13" t="s">
        <v>8</v>
      </c>
      <c r="B39" s="91" t="s">
        <v>13</v>
      </c>
      <c r="C39" s="91"/>
      <c r="D39" s="91"/>
      <c r="E39" s="5" t="s">
        <v>8</v>
      </c>
      <c r="F39" s="91" t="s">
        <v>14</v>
      </c>
      <c r="G39" s="91"/>
      <c r="H39" s="92"/>
    </row>
    <row r="40" spans="1:8" ht="15" thickBot="1" x14ac:dyDescent="0.4">
      <c r="A40" s="13" t="s">
        <v>8</v>
      </c>
      <c r="B40" s="91" t="s">
        <v>15</v>
      </c>
      <c r="C40" s="91"/>
      <c r="D40" s="91"/>
      <c r="E40" s="5" t="s">
        <v>8</v>
      </c>
      <c r="F40" s="91" t="s">
        <v>16</v>
      </c>
      <c r="G40" s="91"/>
      <c r="H40" s="92"/>
    </row>
    <row r="41" spans="1:8" ht="15" thickBot="1" x14ac:dyDescent="0.4">
      <c r="A41" s="13" t="s">
        <v>8</v>
      </c>
      <c r="B41" s="91" t="s">
        <v>17</v>
      </c>
      <c r="C41" s="91"/>
      <c r="D41" s="91"/>
      <c r="E41" s="6"/>
      <c r="F41" s="97"/>
      <c r="G41" s="97"/>
      <c r="H41" s="98"/>
    </row>
    <row r="42" spans="1:8" ht="15" thickBot="1" x14ac:dyDescent="0.4">
      <c r="A42" s="13" t="s">
        <v>8</v>
      </c>
      <c r="B42" s="91" t="s">
        <v>18</v>
      </c>
      <c r="C42" s="91"/>
      <c r="D42" s="91"/>
      <c r="E42" s="6"/>
      <c r="F42" s="97"/>
      <c r="G42" s="97"/>
      <c r="H42" s="98"/>
    </row>
    <row r="43" spans="1:8" ht="15" thickBot="1" x14ac:dyDescent="0.4">
      <c r="A43" s="14" t="s">
        <v>8</v>
      </c>
      <c r="B43" s="96" t="s">
        <v>19</v>
      </c>
      <c r="C43" s="96"/>
      <c r="D43" s="96"/>
      <c r="E43" s="7"/>
      <c r="F43" s="99"/>
      <c r="G43" s="99"/>
      <c r="H43" s="100"/>
    </row>
    <row r="44" spans="1:8" x14ac:dyDescent="0.35">
      <c r="A44" s="1"/>
    </row>
  </sheetData>
  <mergeCells count="30">
    <mergeCell ref="G31:H31"/>
    <mergeCell ref="G32:H32"/>
    <mergeCell ref="A18:H18"/>
    <mergeCell ref="G27:H27"/>
    <mergeCell ref="G28:H28"/>
    <mergeCell ref="G29:H29"/>
    <mergeCell ref="G30:H30"/>
    <mergeCell ref="A13:H13"/>
    <mergeCell ref="A16:H16"/>
    <mergeCell ref="A10:H10"/>
    <mergeCell ref="A11:H11"/>
    <mergeCell ref="A14:H14"/>
    <mergeCell ref="A15:H15"/>
    <mergeCell ref="B41:D41"/>
    <mergeCell ref="B42:D42"/>
    <mergeCell ref="B43:D43"/>
    <mergeCell ref="F40:H40"/>
    <mergeCell ref="F41:H41"/>
    <mergeCell ref="F42:H42"/>
    <mergeCell ref="F43:H43"/>
    <mergeCell ref="A36:D36"/>
    <mergeCell ref="B37:D37"/>
    <mergeCell ref="B38:D38"/>
    <mergeCell ref="B39:D39"/>
    <mergeCell ref="B40:D40"/>
    <mergeCell ref="G33:H33"/>
    <mergeCell ref="E36:H36"/>
    <mergeCell ref="F37:H37"/>
    <mergeCell ref="F38:H38"/>
    <mergeCell ref="F39:H39"/>
  </mergeCells>
  <pageMargins left="0.7" right="0.7" top="0.75" bottom="0.75" header="0.3" footer="0.3"/>
  <pageSetup paperSize="9" scale="99" fitToHeight="0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75B98-41D1-41F1-8F8E-630EA49704DF}">
  <sheetPr codeName="Sheet2"/>
  <dimension ref="A1:DY202"/>
  <sheetViews>
    <sheetView tabSelected="1" topLeftCell="AP1" workbookViewId="0">
      <selection activeCell="AW3" sqref="AW3"/>
    </sheetView>
  </sheetViews>
  <sheetFormatPr defaultRowHeight="14.5" x14ac:dyDescent="0.35"/>
  <cols>
    <col min="1" max="1" width="37.90625" customWidth="1"/>
    <col min="2" max="2" width="42.08984375" customWidth="1"/>
    <col min="3" max="3" width="16.6328125" customWidth="1"/>
    <col min="4" max="4" width="27.90625" customWidth="1"/>
    <col min="5" max="5" width="9.08984375" hidden="1" customWidth="1"/>
    <col min="6" max="6" width="30.36328125" hidden="1" customWidth="1"/>
    <col min="7" max="7" width="17.6328125" hidden="1" customWidth="1"/>
    <col min="8" max="25" width="9.08984375" hidden="1" customWidth="1"/>
    <col min="26" max="27" width="37.453125" hidden="1" customWidth="1"/>
    <col min="28" max="33" width="9.08984375" hidden="1" customWidth="1"/>
    <col min="34" max="34" width="17.54296875" hidden="1" customWidth="1"/>
    <col min="35" max="35" width="22.54296875" hidden="1" customWidth="1"/>
    <col min="36" max="36" width="36.6328125" hidden="1" customWidth="1"/>
    <col min="37" max="37" width="9.08984375" hidden="1" customWidth="1"/>
    <col min="38" max="38" width="56.36328125" customWidth="1"/>
    <col min="39" max="43" width="9.08984375" customWidth="1"/>
    <col min="44" max="44" width="15.90625" customWidth="1"/>
    <col min="45" max="45" width="8.90625" customWidth="1"/>
    <col min="46" max="46" width="9" customWidth="1"/>
    <col min="48" max="48" width="6.453125" bestFit="1" customWidth="1"/>
    <col min="49" max="49" width="20.08984375" customWidth="1"/>
    <col min="50" max="50" width="29" customWidth="1"/>
    <col min="51" max="51" width="17" customWidth="1"/>
    <col min="52" max="52" width="17.90625" customWidth="1"/>
    <col min="53" max="53" width="15.36328125" customWidth="1"/>
    <col min="57" max="57" width="15.54296875" customWidth="1"/>
    <col min="58" max="58" width="16" customWidth="1"/>
    <col min="59" max="59" width="17.453125" customWidth="1"/>
    <col min="60" max="60" width="21.6328125" customWidth="1"/>
    <col min="61" max="61" width="22.54296875" customWidth="1"/>
    <col min="62" max="62" width="17.6328125" customWidth="1"/>
    <col min="63" max="63" width="18.54296875" customWidth="1"/>
    <col min="64" max="64" width="21.90625" customWidth="1"/>
    <col min="65" max="65" width="65.36328125" customWidth="1"/>
    <col min="66" max="66" width="33.6328125" customWidth="1"/>
    <col min="67" max="67" width="36.54296875" customWidth="1"/>
    <col min="71" max="73" width="8.90625" customWidth="1"/>
    <col min="74" max="74" width="15.6328125" customWidth="1"/>
    <col min="75" max="75" width="14.08984375" customWidth="1"/>
    <col min="76" max="76" width="14.36328125" customWidth="1"/>
    <col min="77" max="77" width="22.6328125" customWidth="1"/>
    <col min="79" max="79" width="16" customWidth="1"/>
    <col min="80" max="80" width="14.90625" customWidth="1"/>
    <col min="81" max="81" width="17.453125" customWidth="1"/>
    <col min="82" max="82" width="16.6328125" customWidth="1"/>
    <col min="94" max="94" width="24.08984375" customWidth="1"/>
    <col min="100" max="100" width="19.90625" customWidth="1"/>
    <col min="122" max="122" width="21" customWidth="1"/>
    <col min="123" max="123" width="18" customWidth="1"/>
  </cols>
  <sheetData>
    <row r="1" spans="1:129" ht="31" x14ac:dyDescent="0.35">
      <c r="A1" s="16" t="s">
        <v>21</v>
      </c>
      <c r="B1" s="17"/>
      <c r="C1" s="17"/>
      <c r="D1" s="17"/>
      <c r="E1" s="17"/>
      <c r="F1" s="17"/>
      <c r="G1" s="17"/>
      <c r="H1" s="17"/>
      <c r="I1" s="17"/>
      <c r="J1" s="17"/>
      <c r="K1" s="18"/>
      <c r="L1" s="19" t="s">
        <v>22</v>
      </c>
      <c r="M1" s="20"/>
      <c r="N1" s="21"/>
      <c r="O1" s="22" t="s">
        <v>23</v>
      </c>
      <c r="P1" s="23"/>
      <c r="Q1" s="24"/>
      <c r="R1" s="22" t="s">
        <v>24</v>
      </c>
      <c r="S1" s="23"/>
      <c r="T1" s="24"/>
      <c r="U1" s="25"/>
      <c r="V1" s="25"/>
      <c r="W1" s="25"/>
      <c r="X1" s="25"/>
      <c r="Y1" s="25"/>
      <c r="Z1" s="25"/>
      <c r="AA1" s="25"/>
      <c r="AB1" s="26" t="s">
        <v>25</v>
      </c>
      <c r="AC1" s="106" t="s">
        <v>26</v>
      </c>
      <c r="AD1" s="107"/>
      <c r="AE1" s="107"/>
      <c r="AF1" s="108"/>
      <c r="AG1" s="27"/>
      <c r="AH1" s="28"/>
      <c r="AI1" s="28"/>
      <c r="AJ1" s="28"/>
      <c r="AK1" s="28"/>
      <c r="AL1" s="29" t="s">
        <v>27</v>
      </c>
      <c r="AM1" s="27" t="s">
        <v>28</v>
      </c>
      <c r="AN1" s="29"/>
      <c r="AO1" s="30" t="s">
        <v>29</v>
      </c>
      <c r="AP1" s="30" t="s">
        <v>30</v>
      </c>
      <c r="AQ1" s="30"/>
      <c r="AR1" s="109" t="s">
        <v>31</v>
      </c>
      <c r="AU1" s="63" t="s">
        <v>1093</v>
      </c>
      <c r="AV1" s="63" t="s">
        <v>1096</v>
      </c>
      <c r="AW1" s="63" t="s">
        <v>32</v>
      </c>
      <c r="AX1" s="63" t="s">
        <v>1102</v>
      </c>
      <c r="AY1" s="63" t="s">
        <v>1104</v>
      </c>
      <c r="AZ1" s="63" t="s">
        <v>1110</v>
      </c>
      <c r="BA1" s="63" t="s">
        <v>1112</v>
      </c>
      <c r="BB1" s="63" t="s">
        <v>1114</v>
      </c>
      <c r="BC1" s="63" t="s">
        <v>1115</v>
      </c>
      <c r="BD1" s="63" t="s">
        <v>1116</v>
      </c>
      <c r="BE1" s="63" t="s">
        <v>1118</v>
      </c>
      <c r="BF1" s="63" t="s">
        <v>1120</v>
      </c>
      <c r="BG1" s="63" t="s">
        <v>1122</v>
      </c>
      <c r="BH1" s="63" t="s">
        <v>1124</v>
      </c>
      <c r="BI1" s="63" t="s">
        <v>33</v>
      </c>
      <c r="BJ1" s="63" t="s">
        <v>1126</v>
      </c>
      <c r="BK1" s="63" t="s">
        <v>1129</v>
      </c>
      <c r="BL1" s="63" t="s">
        <v>1130</v>
      </c>
      <c r="BM1" s="63" t="s">
        <v>1135</v>
      </c>
      <c r="BN1" s="63" t="s">
        <v>1465</v>
      </c>
      <c r="BO1" s="63" t="s">
        <v>1470</v>
      </c>
      <c r="BP1" s="63" t="s">
        <v>1472</v>
      </c>
      <c r="BQ1" s="63" t="s">
        <v>1476</v>
      </c>
      <c r="BR1" s="63" t="s">
        <v>1498</v>
      </c>
      <c r="BS1" s="63" t="s">
        <v>1503</v>
      </c>
      <c r="BT1" s="63" t="s">
        <v>1513</v>
      </c>
      <c r="BU1" s="63" t="s">
        <v>1547</v>
      </c>
      <c r="BV1" s="63" t="s">
        <v>1815</v>
      </c>
      <c r="BW1" s="63" t="s">
        <v>1821</v>
      </c>
      <c r="BX1" s="63" t="s">
        <v>1132</v>
      </c>
      <c r="BY1" s="63" t="s">
        <v>1491</v>
      </c>
      <c r="BZ1" s="63" t="s">
        <v>1495</v>
      </c>
      <c r="CA1" s="63" t="s">
        <v>1501</v>
      </c>
      <c r="CB1" s="63" t="s">
        <v>1506</v>
      </c>
      <c r="CC1" s="63" t="s">
        <v>1508</v>
      </c>
      <c r="CD1" s="63" t="s">
        <v>1511</v>
      </c>
      <c r="CE1" s="63" t="s">
        <v>1528</v>
      </c>
      <c r="CF1" s="63" t="s">
        <v>1531</v>
      </c>
      <c r="CG1" s="63" t="s">
        <v>1534</v>
      </c>
      <c r="CH1" s="63" t="s">
        <v>1545</v>
      </c>
      <c r="CI1" s="63" t="s">
        <v>1550</v>
      </c>
      <c r="CJ1" s="63" t="s">
        <v>1552</v>
      </c>
      <c r="CK1" s="63" t="s">
        <v>1555</v>
      </c>
      <c r="CL1" s="63" t="s">
        <v>1558</v>
      </c>
      <c r="CM1" s="63" t="s">
        <v>1611</v>
      </c>
      <c r="CN1" s="63" t="s">
        <v>1631</v>
      </c>
      <c r="CO1" s="63" t="s">
        <v>1649</v>
      </c>
      <c r="CP1" s="63" t="s">
        <v>1652</v>
      </c>
      <c r="CQ1" s="63" t="s">
        <v>1662</v>
      </c>
      <c r="CR1" s="63" t="s">
        <v>1665</v>
      </c>
      <c r="CS1" s="63" t="s">
        <v>1673</v>
      </c>
      <c r="CT1" s="63" t="s">
        <v>1682</v>
      </c>
      <c r="CU1" s="63" t="s">
        <v>1695</v>
      </c>
      <c r="CV1" s="63" t="s">
        <v>1698</v>
      </c>
      <c r="CW1" s="63" t="s">
        <v>1700</v>
      </c>
      <c r="CX1" s="63" t="s">
        <v>1703</v>
      </c>
      <c r="CY1" s="63" t="s">
        <v>1706</v>
      </c>
      <c r="CZ1" s="63" t="s">
        <v>1713</v>
      </c>
      <c r="DA1" s="63" t="s">
        <v>1716</v>
      </c>
      <c r="DB1" s="63" t="s">
        <v>1719</v>
      </c>
      <c r="DC1" s="63" t="s">
        <v>1721</v>
      </c>
      <c r="DD1" s="63" t="s">
        <v>1723</v>
      </c>
      <c r="DE1" s="63" t="s">
        <v>1726</v>
      </c>
      <c r="DF1" s="63" t="s">
        <v>1729</v>
      </c>
      <c r="DG1" s="63" t="s">
        <v>1741</v>
      </c>
      <c r="DH1" s="63" t="s">
        <v>1743</v>
      </c>
      <c r="DI1" s="63" t="s">
        <v>1748</v>
      </c>
      <c r="DJ1" s="63" t="s">
        <v>1806</v>
      </c>
      <c r="DK1" s="63" t="s">
        <v>1809</v>
      </c>
      <c r="DL1" s="63" t="s">
        <v>1826</v>
      </c>
      <c r="DM1" s="63" t="s">
        <v>1829</v>
      </c>
      <c r="DN1" s="63" t="s">
        <v>1838</v>
      </c>
      <c r="DO1" s="63" t="s">
        <v>1840</v>
      </c>
      <c r="DP1" s="63" t="s">
        <v>1848</v>
      </c>
      <c r="DQ1" s="63" t="s">
        <v>1862</v>
      </c>
      <c r="DR1" s="63" t="s">
        <v>1871</v>
      </c>
      <c r="DS1" s="63" t="s">
        <v>1881</v>
      </c>
      <c r="DT1" s="63" t="s">
        <v>1886</v>
      </c>
      <c r="DU1" s="63" t="s">
        <v>1888</v>
      </c>
      <c r="DV1" s="63" t="s">
        <v>1891</v>
      </c>
      <c r="DW1" s="63" t="s">
        <v>1903</v>
      </c>
      <c r="DX1" s="63" t="s">
        <v>1906</v>
      </c>
      <c r="DY1" s="63" t="s">
        <v>1967</v>
      </c>
    </row>
    <row r="2" spans="1:129" ht="70" x14ac:dyDescent="0.35">
      <c r="A2" s="31" t="s">
        <v>34</v>
      </c>
      <c r="B2" s="31" t="s">
        <v>35</v>
      </c>
      <c r="C2" s="32" t="s">
        <v>36</v>
      </c>
      <c r="D2" s="33" t="s">
        <v>37</v>
      </c>
      <c r="E2" s="34" t="s">
        <v>38</v>
      </c>
      <c r="F2" s="35" t="s">
        <v>33</v>
      </c>
      <c r="G2" s="31" t="s">
        <v>32</v>
      </c>
      <c r="H2" s="31" t="s">
        <v>39</v>
      </c>
      <c r="I2" s="31" t="s">
        <v>40</v>
      </c>
      <c r="J2" s="31" t="s">
        <v>41</v>
      </c>
      <c r="K2" s="34" t="s">
        <v>42</v>
      </c>
      <c r="L2" s="31" t="s">
        <v>43</v>
      </c>
      <c r="M2" s="31" t="s">
        <v>44</v>
      </c>
      <c r="N2" s="31" t="s">
        <v>45</v>
      </c>
      <c r="O2" s="34" t="s">
        <v>43</v>
      </c>
      <c r="P2" s="34" t="s">
        <v>44</v>
      </c>
      <c r="Q2" s="34" t="s">
        <v>45</v>
      </c>
      <c r="R2" s="34" t="s">
        <v>43</v>
      </c>
      <c r="S2" s="34" t="s">
        <v>44</v>
      </c>
      <c r="T2" s="34" t="s">
        <v>45</v>
      </c>
      <c r="U2" s="36" t="s">
        <v>46</v>
      </c>
      <c r="V2" s="36" t="s">
        <v>47</v>
      </c>
      <c r="W2" s="36" t="s">
        <v>48</v>
      </c>
      <c r="X2" s="36" t="s">
        <v>49</v>
      </c>
      <c r="Y2" s="36" t="s">
        <v>50</v>
      </c>
      <c r="Z2" s="36" t="s">
        <v>51</v>
      </c>
      <c r="AA2" s="36" t="s">
        <v>25</v>
      </c>
      <c r="AB2" s="37"/>
      <c r="AC2" s="38" t="s">
        <v>52</v>
      </c>
      <c r="AD2" s="38" t="s">
        <v>53</v>
      </c>
      <c r="AE2" s="38" t="s">
        <v>54</v>
      </c>
      <c r="AF2" s="38" t="s">
        <v>55</v>
      </c>
      <c r="AG2" s="39" t="s">
        <v>56</v>
      </c>
      <c r="AH2" s="39" t="s">
        <v>57</v>
      </c>
      <c r="AI2" s="39" t="s">
        <v>58</v>
      </c>
      <c r="AJ2" s="39" t="s">
        <v>59</v>
      </c>
      <c r="AK2" s="39" t="s">
        <v>60</v>
      </c>
      <c r="AL2" s="39" t="s">
        <v>61</v>
      </c>
      <c r="AM2" s="39" t="s">
        <v>62</v>
      </c>
      <c r="AN2" s="39" t="s">
        <v>63</v>
      </c>
      <c r="AO2" s="40" t="s">
        <v>64</v>
      </c>
      <c r="AP2" s="41" t="s">
        <v>65</v>
      </c>
      <c r="AQ2" s="40" t="s">
        <v>66</v>
      </c>
      <c r="AR2" s="110"/>
      <c r="AU2" s="65" t="s">
        <v>1925</v>
      </c>
      <c r="AV2" s="65" t="s">
        <v>1925</v>
      </c>
      <c r="AW2" s="65" t="s">
        <v>1926</v>
      </c>
      <c r="AX2" s="65" t="s">
        <v>1927</v>
      </c>
      <c r="AY2" s="65" t="s">
        <v>1928</v>
      </c>
      <c r="AZ2" s="65" t="s">
        <v>1929</v>
      </c>
      <c r="BA2" s="65" t="s">
        <v>1930</v>
      </c>
      <c r="BB2" s="65" t="s">
        <v>1931</v>
      </c>
      <c r="BC2" s="65" t="s">
        <v>1932</v>
      </c>
      <c r="BD2" s="65" t="s">
        <v>1933</v>
      </c>
      <c r="BE2" s="65" t="s">
        <v>1934</v>
      </c>
      <c r="BF2" s="65" t="s">
        <v>1935</v>
      </c>
      <c r="BG2" s="65" t="s">
        <v>1936</v>
      </c>
      <c r="BH2" s="65" t="s">
        <v>1937</v>
      </c>
      <c r="BI2" s="65" t="s">
        <v>1941</v>
      </c>
      <c r="BJ2" s="65" t="s">
        <v>4676</v>
      </c>
      <c r="BK2" s="65" t="s">
        <v>1938</v>
      </c>
      <c r="BL2" s="65" t="s">
        <v>1939</v>
      </c>
      <c r="BM2" s="65" t="s">
        <v>1940</v>
      </c>
      <c r="BN2" s="65" t="s">
        <v>1942</v>
      </c>
      <c r="BO2" s="65" t="s">
        <v>1943</v>
      </c>
      <c r="BP2" s="65" t="s">
        <v>1944</v>
      </c>
      <c r="BQ2" s="65" t="s">
        <v>1945</v>
      </c>
      <c r="BR2" s="65" t="s">
        <v>1946</v>
      </c>
      <c r="BS2" s="65" t="s">
        <v>1947</v>
      </c>
      <c r="BT2" s="65" t="s">
        <v>1948</v>
      </c>
      <c r="BU2" s="65" t="s">
        <v>4677</v>
      </c>
      <c r="BV2" s="65" t="s">
        <v>4678</v>
      </c>
      <c r="BW2" s="65" t="s">
        <v>4679</v>
      </c>
      <c r="BX2" s="65" t="s">
        <v>4687</v>
      </c>
      <c r="BY2" s="65" t="s">
        <v>4688</v>
      </c>
      <c r="BZ2" s="65" t="s">
        <v>4689</v>
      </c>
      <c r="CA2" s="65" t="s">
        <v>4690</v>
      </c>
      <c r="CB2" s="65" t="s">
        <v>4691</v>
      </c>
      <c r="CC2" s="65" t="s">
        <v>4692</v>
      </c>
      <c r="CD2" s="65" t="s">
        <v>4693</v>
      </c>
      <c r="CE2" s="65" t="s">
        <v>4694</v>
      </c>
      <c r="CF2" s="65" t="s">
        <v>4695</v>
      </c>
      <c r="CG2" s="65" t="s">
        <v>4696</v>
      </c>
      <c r="CH2" s="65" t="s">
        <v>4697</v>
      </c>
      <c r="CI2" s="65" t="s">
        <v>4698</v>
      </c>
      <c r="CJ2" s="65" t="s">
        <v>4699</v>
      </c>
      <c r="CK2" s="65" t="s">
        <v>4700</v>
      </c>
      <c r="CL2" s="65" t="s">
        <v>4701</v>
      </c>
      <c r="CM2" s="65" t="s">
        <v>4702</v>
      </c>
      <c r="CN2" s="65" t="s">
        <v>4703</v>
      </c>
      <c r="CO2" s="65" t="s">
        <v>4704</v>
      </c>
      <c r="CP2" s="65" t="s">
        <v>4705</v>
      </c>
      <c r="CQ2" s="65" t="s">
        <v>4706</v>
      </c>
      <c r="CR2" s="65" t="s">
        <v>4707</v>
      </c>
      <c r="CS2" s="65" t="s">
        <v>4708</v>
      </c>
      <c r="CT2" s="65" t="s">
        <v>4709</v>
      </c>
      <c r="CU2" s="65" t="s">
        <v>4710</v>
      </c>
      <c r="CV2" s="65" t="s">
        <v>4711</v>
      </c>
      <c r="CW2" s="65" t="s">
        <v>4712</v>
      </c>
      <c r="CX2" s="65" t="s">
        <v>4713</v>
      </c>
      <c r="CY2" s="65" t="s">
        <v>4714</v>
      </c>
      <c r="CZ2" s="65" t="s">
        <v>4715</v>
      </c>
      <c r="DA2" s="65" t="s">
        <v>4716</v>
      </c>
      <c r="DB2" s="65" t="s">
        <v>4717</v>
      </c>
      <c r="DC2" s="65" t="s">
        <v>4718</v>
      </c>
      <c r="DD2" s="65" t="s">
        <v>4719</v>
      </c>
      <c r="DE2" s="65" t="s">
        <v>4720</v>
      </c>
      <c r="DF2" s="65" t="s">
        <v>4721</v>
      </c>
      <c r="DG2" s="65" t="s">
        <v>4722</v>
      </c>
      <c r="DH2" s="65" t="s">
        <v>4723</v>
      </c>
      <c r="DI2" s="65" t="s">
        <v>4724</v>
      </c>
      <c r="DJ2" s="65" t="s">
        <v>4725</v>
      </c>
      <c r="DK2" s="65" t="s">
        <v>4726</v>
      </c>
      <c r="DL2" s="65" t="s">
        <v>4727</v>
      </c>
      <c r="DM2" s="65" t="s">
        <v>4728</v>
      </c>
      <c r="DN2" s="65" t="s">
        <v>4729</v>
      </c>
      <c r="DO2" s="65" t="s">
        <v>4730</v>
      </c>
      <c r="DP2" s="65" t="s">
        <v>4731</v>
      </c>
      <c r="DQ2" s="65" t="s">
        <v>4732</v>
      </c>
      <c r="DR2" s="65" t="s">
        <v>4733</v>
      </c>
      <c r="DS2" s="65" t="s">
        <v>4734</v>
      </c>
      <c r="DT2" s="65" t="s">
        <v>4735</v>
      </c>
      <c r="DU2" s="65" t="s">
        <v>4736</v>
      </c>
      <c r="DV2" s="65" t="s">
        <v>4737</v>
      </c>
      <c r="DW2" s="65" t="s">
        <v>4738</v>
      </c>
      <c r="DX2" s="65" t="s">
        <v>4739</v>
      </c>
      <c r="DY2" s="65" t="s">
        <v>4740</v>
      </c>
    </row>
    <row r="3" spans="1:129" x14ac:dyDescent="0.35">
      <c r="A3" s="42" t="s">
        <v>4743</v>
      </c>
      <c r="B3" s="42" t="s">
        <v>4747</v>
      </c>
      <c r="C3" s="42" t="s">
        <v>76</v>
      </c>
      <c r="D3" s="43" t="s">
        <v>77</v>
      </c>
      <c r="E3" s="43"/>
      <c r="F3" s="44" t="s">
        <v>4746</v>
      </c>
      <c r="G3" s="42" t="s">
        <v>4955</v>
      </c>
      <c r="H3" s="42" t="s">
        <v>68</v>
      </c>
      <c r="I3" s="43" t="s">
        <v>68</v>
      </c>
      <c r="J3" s="43" t="s">
        <v>68</v>
      </c>
      <c r="K3" s="43"/>
      <c r="L3" s="43" t="s">
        <v>69</v>
      </c>
      <c r="M3" s="43">
        <v>3</v>
      </c>
      <c r="N3" s="43">
        <v>3</v>
      </c>
      <c r="O3" s="43" t="s">
        <v>69</v>
      </c>
      <c r="P3" s="43">
        <v>4</v>
      </c>
      <c r="Q3" s="43">
        <v>4</v>
      </c>
      <c r="R3" s="43" t="s">
        <v>69</v>
      </c>
      <c r="S3" s="43">
        <v>5</v>
      </c>
      <c r="T3" s="43">
        <v>5</v>
      </c>
      <c r="U3" s="42" t="s">
        <v>4956</v>
      </c>
      <c r="V3" s="42">
        <v>106.72</v>
      </c>
      <c r="W3" s="42">
        <v>106.73</v>
      </c>
      <c r="X3" s="42" t="s">
        <v>4957</v>
      </c>
      <c r="Y3" s="42" t="s">
        <v>4958</v>
      </c>
      <c r="Z3" s="43" t="s">
        <v>4743</v>
      </c>
      <c r="AA3" s="43" t="s">
        <v>4742</v>
      </c>
      <c r="AB3" s="43"/>
      <c r="AC3" s="42" t="s">
        <v>4684</v>
      </c>
      <c r="AD3" s="42" t="s">
        <v>4685</v>
      </c>
      <c r="AE3" s="42" t="s">
        <v>4686</v>
      </c>
      <c r="AF3" s="42" t="s">
        <v>76</v>
      </c>
      <c r="AG3" s="42" t="s">
        <v>4685</v>
      </c>
      <c r="AH3" t="s">
        <v>4956</v>
      </c>
      <c r="AI3" s="42" t="s">
        <v>4959</v>
      </c>
      <c r="AJ3" s="42" t="s">
        <v>4960</v>
      </c>
      <c r="AK3" s="43"/>
      <c r="AL3" s="42" t="s">
        <v>4961</v>
      </c>
      <c r="AM3" s="43">
        <v>106.72</v>
      </c>
      <c r="AN3" s="43">
        <v>106.73</v>
      </c>
      <c r="AO3" s="43" t="s">
        <v>70</v>
      </c>
      <c r="AP3" s="43"/>
      <c r="AQ3" s="43">
        <v>1</v>
      </c>
      <c r="AR3" s="42" t="s">
        <v>4962</v>
      </c>
      <c r="AU3" s="64"/>
      <c r="AV3" s="64">
        <v>62</v>
      </c>
      <c r="AW3" s="64" t="s">
        <v>4955</v>
      </c>
      <c r="AX3" s="64" t="s">
        <v>4744</v>
      </c>
      <c r="AY3" s="66" t="s">
        <v>478</v>
      </c>
      <c r="AZ3" s="66" t="s">
        <v>76</v>
      </c>
      <c r="BA3" s="64">
        <v>106.72</v>
      </c>
      <c r="BB3" s="64">
        <v>106.73</v>
      </c>
      <c r="BC3" s="64" t="s">
        <v>4957</v>
      </c>
      <c r="BD3" s="64" t="s">
        <v>4958</v>
      </c>
      <c r="BE3" s="64" t="s">
        <v>4957</v>
      </c>
      <c r="BF3" s="64" t="s">
        <v>4958</v>
      </c>
      <c r="BG3" s="64" t="s">
        <v>4963</v>
      </c>
      <c r="BH3" s="64" t="s">
        <v>4956</v>
      </c>
      <c r="BI3" s="64" t="s">
        <v>4746</v>
      </c>
      <c r="BJ3" s="64" t="s">
        <v>4954</v>
      </c>
      <c r="BK3" s="64" t="s">
        <v>474</v>
      </c>
      <c r="BL3" s="64" t="s">
        <v>474</v>
      </c>
      <c r="BM3" s="66" t="s">
        <v>1219</v>
      </c>
      <c r="BN3" s="66" t="s">
        <v>1468</v>
      </c>
      <c r="BO3" s="66" t="s">
        <v>1468</v>
      </c>
      <c r="BP3" s="66" t="s">
        <v>1474</v>
      </c>
      <c r="BQ3" s="66" t="s">
        <v>1479</v>
      </c>
      <c r="BR3" s="64">
        <v>3.19</v>
      </c>
      <c r="BS3" s="64">
        <v>9.67</v>
      </c>
      <c r="BT3" s="66">
        <v>120</v>
      </c>
      <c r="BU3" s="79"/>
      <c r="BV3" s="79"/>
      <c r="BW3" s="79"/>
      <c r="BX3" s="79"/>
      <c r="BY3" s="79"/>
      <c r="BZ3" s="64">
        <v>1.6240000000000001</v>
      </c>
      <c r="CA3" s="79"/>
      <c r="CB3" s="64">
        <v>119.90382626680456</v>
      </c>
      <c r="CC3" s="64">
        <v>0.14770318471337579</v>
      </c>
      <c r="CD3" s="64" t="s">
        <v>474</v>
      </c>
      <c r="CE3" s="79"/>
      <c r="CF3" s="79"/>
      <c r="CG3" s="79"/>
      <c r="CH3" s="79"/>
      <c r="CI3" s="79"/>
      <c r="CJ3" s="79"/>
      <c r="CK3" s="79"/>
      <c r="CL3" s="79"/>
      <c r="CM3" s="79"/>
      <c r="CN3" s="79"/>
      <c r="CO3" s="79"/>
      <c r="CP3" s="79"/>
      <c r="CQ3" s="79"/>
      <c r="CR3" s="79"/>
      <c r="CS3" s="79"/>
      <c r="CT3" s="79"/>
      <c r="CU3" s="79"/>
      <c r="CV3" s="79"/>
      <c r="CW3" s="79"/>
      <c r="CX3" s="79"/>
      <c r="CY3" s="79"/>
      <c r="CZ3" s="79"/>
      <c r="DA3" s="79"/>
      <c r="DB3" s="79"/>
      <c r="DC3" s="79"/>
      <c r="DD3" s="79"/>
      <c r="DE3" s="79"/>
      <c r="DF3" s="79"/>
      <c r="DG3" s="79"/>
      <c r="DH3" s="79"/>
      <c r="DI3" s="79"/>
      <c r="DJ3" s="79"/>
      <c r="DK3" s="79"/>
      <c r="DL3" s="79"/>
      <c r="DM3" s="79"/>
      <c r="DN3" s="79"/>
      <c r="DO3" s="79"/>
      <c r="DP3" s="79"/>
      <c r="DQ3" s="79"/>
      <c r="DR3" s="66" t="s">
        <v>1873</v>
      </c>
      <c r="DS3" s="66"/>
      <c r="DT3" s="79"/>
      <c r="DU3" s="79"/>
      <c r="DV3" s="79"/>
      <c r="DW3" s="79"/>
      <c r="DX3" s="79"/>
      <c r="DY3" s="77"/>
    </row>
    <row r="4" spans="1:129" x14ac:dyDescent="0.35">
      <c r="A4" s="42" t="s">
        <v>4743</v>
      </c>
      <c r="B4" s="42" t="s">
        <v>4749</v>
      </c>
      <c r="C4" s="42" t="s">
        <v>76</v>
      </c>
      <c r="D4" s="43" t="s">
        <v>77</v>
      </c>
      <c r="E4" s="43"/>
      <c r="F4" s="44" t="s">
        <v>4748</v>
      </c>
      <c r="G4" s="42" t="s">
        <v>4955</v>
      </c>
      <c r="H4" s="42" t="s">
        <v>68</v>
      </c>
      <c r="I4" s="43" t="s">
        <v>68</v>
      </c>
      <c r="J4" s="43" t="s">
        <v>68</v>
      </c>
      <c r="K4" s="43"/>
      <c r="L4" s="43" t="s">
        <v>69</v>
      </c>
      <c r="M4" s="43">
        <v>3</v>
      </c>
      <c r="N4" s="43">
        <v>3</v>
      </c>
      <c r="O4" s="43" t="s">
        <v>69</v>
      </c>
      <c r="P4" s="43">
        <v>4</v>
      </c>
      <c r="Q4" s="43">
        <v>4</v>
      </c>
      <c r="R4" s="43" t="s">
        <v>69</v>
      </c>
      <c r="S4" s="43">
        <v>5</v>
      </c>
      <c r="T4" s="43">
        <v>5</v>
      </c>
      <c r="U4" s="42" t="s">
        <v>4956</v>
      </c>
      <c r="V4" s="42">
        <v>106.75</v>
      </c>
      <c r="W4" s="42">
        <v>106.76</v>
      </c>
      <c r="X4" s="42" t="s">
        <v>4964</v>
      </c>
      <c r="Y4" s="42" t="s">
        <v>4965</v>
      </c>
      <c r="Z4" s="43" t="s">
        <v>4743</v>
      </c>
      <c r="AA4" s="43" t="s">
        <v>4742</v>
      </c>
      <c r="AB4" s="43"/>
      <c r="AC4" s="42" t="s">
        <v>4684</v>
      </c>
      <c r="AD4" s="42" t="s">
        <v>4685</v>
      </c>
      <c r="AE4" s="42" t="s">
        <v>4686</v>
      </c>
      <c r="AF4" s="42" t="s">
        <v>76</v>
      </c>
      <c r="AG4" s="42" t="s">
        <v>4685</v>
      </c>
      <c r="AH4" t="s">
        <v>4956</v>
      </c>
      <c r="AI4" s="42" t="s">
        <v>4959</v>
      </c>
      <c r="AJ4" s="42" t="s">
        <v>4960</v>
      </c>
      <c r="AK4" s="43"/>
      <c r="AL4" s="42" t="s">
        <v>4961</v>
      </c>
      <c r="AM4" s="43">
        <v>106.75</v>
      </c>
      <c r="AN4" s="43">
        <v>106.76</v>
      </c>
      <c r="AO4" s="43" t="s">
        <v>70</v>
      </c>
      <c r="AP4" s="43"/>
      <c r="AQ4" s="43">
        <v>1</v>
      </c>
      <c r="AR4" s="42" t="s">
        <v>4966</v>
      </c>
      <c r="AU4" s="64"/>
      <c r="AV4" s="64">
        <v>62</v>
      </c>
      <c r="AW4" s="64" t="s">
        <v>4955</v>
      </c>
      <c r="AX4" s="64" t="s">
        <v>4744</v>
      </c>
      <c r="AY4" s="66" t="s">
        <v>478</v>
      </c>
      <c r="AZ4" s="66" t="s">
        <v>76</v>
      </c>
      <c r="BA4" s="64">
        <v>106.75</v>
      </c>
      <c r="BB4" s="64">
        <v>106.76</v>
      </c>
      <c r="BC4" s="64" t="s">
        <v>4964</v>
      </c>
      <c r="BD4" s="64" t="s">
        <v>4965</v>
      </c>
      <c r="BE4" s="64" t="s">
        <v>4964</v>
      </c>
      <c r="BF4" s="64" t="s">
        <v>4965</v>
      </c>
      <c r="BG4" s="64" t="s">
        <v>4963</v>
      </c>
      <c r="BH4" s="64" t="s">
        <v>4956</v>
      </c>
      <c r="BI4" s="64" t="s">
        <v>4748</v>
      </c>
      <c r="BJ4" s="64" t="s">
        <v>4954</v>
      </c>
      <c r="BK4" s="64" t="s">
        <v>474</v>
      </c>
      <c r="BL4" s="64" t="s">
        <v>474</v>
      </c>
      <c r="BM4" s="66" t="s">
        <v>1219</v>
      </c>
      <c r="BN4" s="66" t="s">
        <v>1468</v>
      </c>
      <c r="BO4" s="66" t="s">
        <v>1468</v>
      </c>
      <c r="BP4" s="66" t="s">
        <v>1474</v>
      </c>
      <c r="BQ4" s="66" t="s">
        <v>1479</v>
      </c>
      <c r="BR4" s="64">
        <v>3.19</v>
      </c>
      <c r="BS4" s="64">
        <v>9.67</v>
      </c>
      <c r="BT4" s="66">
        <v>120</v>
      </c>
      <c r="BU4" s="79"/>
      <c r="BV4" s="79"/>
      <c r="BW4" s="79"/>
      <c r="BX4" s="79"/>
      <c r="BY4" s="79"/>
      <c r="BZ4" s="64">
        <v>1.6240000000000001</v>
      </c>
      <c r="CA4" s="79"/>
      <c r="CB4" s="64">
        <v>119.90382626680456</v>
      </c>
      <c r="CC4" s="64">
        <v>0.14770318471337579</v>
      </c>
      <c r="CD4" s="64" t="s">
        <v>474</v>
      </c>
      <c r="CE4" s="79"/>
      <c r="CF4" s="79"/>
      <c r="CG4" s="79"/>
      <c r="CH4" s="79"/>
      <c r="CI4" s="79"/>
      <c r="CJ4" s="79"/>
      <c r="CK4" s="79"/>
      <c r="CL4" s="79"/>
      <c r="CM4" s="79"/>
      <c r="CN4" s="79"/>
      <c r="CO4" s="79"/>
      <c r="CP4" s="79"/>
      <c r="CQ4" s="79"/>
      <c r="CR4" s="79"/>
      <c r="CS4" s="79"/>
      <c r="CT4" s="79"/>
      <c r="CU4" s="79"/>
      <c r="CV4" s="79"/>
      <c r="CW4" s="79"/>
      <c r="CX4" s="79"/>
      <c r="CY4" s="79"/>
      <c r="CZ4" s="79"/>
      <c r="DA4" s="79"/>
      <c r="DB4" s="79"/>
      <c r="DC4" s="79"/>
      <c r="DD4" s="79"/>
      <c r="DE4" s="79"/>
      <c r="DF4" s="79"/>
      <c r="DG4" s="79"/>
      <c r="DH4" s="79"/>
      <c r="DI4" s="79"/>
      <c r="DJ4" s="79"/>
      <c r="DK4" s="79"/>
      <c r="DL4" s="79"/>
      <c r="DM4" s="79"/>
      <c r="DN4" s="79"/>
      <c r="DO4" s="79"/>
      <c r="DP4" s="79"/>
      <c r="DQ4" s="79"/>
      <c r="DR4" s="66" t="s">
        <v>1873</v>
      </c>
      <c r="DS4" s="66"/>
      <c r="DT4" s="79"/>
      <c r="DU4" s="79"/>
      <c r="DV4" s="79"/>
      <c r="DW4" s="79"/>
      <c r="DX4" s="79"/>
      <c r="DY4" s="77"/>
    </row>
    <row r="5" spans="1:129" x14ac:dyDescent="0.35">
      <c r="A5" s="42" t="s">
        <v>4743</v>
      </c>
      <c r="B5" s="42" t="s">
        <v>4751</v>
      </c>
      <c r="C5" s="42" t="s">
        <v>72</v>
      </c>
      <c r="D5" s="43" t="s">
        <v>87</v>
      </c>
      <c r="E5" s="45"/>
      <c r="F5" s="44" t="s">
        <v>4750</v>
      </c>
      <c r="G5" s="42" t="s">
        <v>4955</v>
      </c>
      <c r="H5" s="42" t="s">
        <v>68</v>
      </c>
      <c r="I5" s="43" t="s">
        <v>68</v>
      </c>
      <c r="J5" s="43" t="s">
        <v>68</v>
      </c>
      <c r="K5" s="43"/>
      <c r="L5" s="43" t="s">
        <v>69</v>
      </c>
      <c r="M5" s="43">
        <v>3</v>
      </c>
      <c r="N5" s="43">
        <v>3</v>
      </c>
      <c r="O5" s="43" t="s">
        <v>69</v>
      </c>
      <c r="P5" s="43">
        <v>4</v>
      </c>
      <c r="Q5" s="43">
        <v>4</v>
      </c>
      <c r="R5" s="43" t="s">
        <v>69</v>
      </c>
      <c r="S5" s="43">
        <v>5</v>
      </c>
      <c r="T5" s="43">
        <v>5</v>
      </c>
      <c r="U5" s="42" t="s">
        <v>4967</v>
      </c>
      <c r="V5" s="42">
        <v>106.73</v>
      </c>
      <c r="W5" s="42">
        <v>106.73</v>
      </c>
      <c r="X5" s="42" t="s">
        <v>4968</v>
      </c>
      <c r="Y5" s="42" t="s">
        <v>4969</v>
      </c>
      <c r="Z5" s="43" t="s">
        <v>4743</v>
      </c>
      <c r="AA5" s="43" t="s">
        <v>4742</v>
      </c>
      <c r="AB5" s="45"/>
      <c r="AC5" s="42" t="s">
        <v>4684</v>
      </c>
      <c r="AD5" s="42" t="s">
        <v>4685</v>
      </c>
      <c r="AE5" s="42" t="s">
        <v>4686</v>
      </c>
      <c r="AF5" s="42" t="s">
        <v>72</v>
      </c>
      <c r="AG5" s="42" t="s">
        <v>4685</v>
      </c>
      <c r="AH5" t="s">
        <v>4967</v>
      </c>
      <c r="AI5" s="42" t="s">
        <v>4959</v>
      </c>
      <c r="AJ5" s="42" t="s">
        <v>4970</v>
      </c>
      <c r="AK5" s="43"/>
      <c r="AL5" s="42" t="s">
        <v>4971</v>
      </c>
      <c r="AM5" s="43">
        <v>106.73</v>
      </c>
      <c r="AN5" s="43">
        <v>106.73</v>
      </c>
      <c r="AO5" s="43" t="s">
        <v>70</v>
      </c>
      <c r="AP5" s="45"/>
      <c r="AQ5" s="43">
        <v>1</v>
      </c>
      <c r="AR5" s="42" t="s">
        <v>4972</v>
      </c>
      <c r="AU5" s="64"/>
      <c r="AV5" s="64">
        <v>62</v>
      </c>
      <c r="AW5" s="64" t="s">
        <v>4955</v>
      </c>
      <c r="AX5" s="64" t="s">
        <v>4744</v>
      </c>
      <c r="AY5" s="66" t="s">
        <v>478</v>
      </c>
      <c r="AZ5" s="66" t="s">
        <v>72</v>
      </c>
      <c r="BA5" s="64">
        <v>106.73</v>
      </c>
      <c r="BB5" s="64">
        <v>106.73</v>
      </c>
      <c r="BC5" s="64" t="s">
        <v>4968</v>
      </c>
      <c r="BD5" s="64" t="s">
        <v>4969</v>
      </c>
      <c r="BE5" s="64" t="s">
        <v>4968</v>
      </c>
      <c r="BF5" s="64" t="s">
        <v>4969</v>
      </c>
      <c r="BG5" s="64" t="s">
        <v>4963</v>
      </c>
      <c r="BH5" s="64" t="s">
        <v>4967</v>
      </c>
      <c r="BI5" s="64" t="s">
        <v>4750</v>
      </c>
      <c r="BJ5" s="64" t="s">
        <v>4954</v>
      </c>
      <c r="BK5" s="64" t="s">
        <v>474</v>
      </c>
      <c r="BL5" s="64" t="s">
        <v>474</v>
      </c>
      <c r="BM5" s="66" t="s">
        <v>1219</v>
      </c>
      <c r="BN5" s="66" t="s">
        <v>1468</v>
      </c>
      <c r="BO5" s="66" t="s">
        <v>1468</v>
      </c>
      <c r="BP5" s="66" t="s">
        <v>1474</v>
      </c>
      <c r="BQ5" s="66" t="s">
        <v>1479</v>
      </c>
      <c r="BR5" s="64">
        <v>6.07</v>
      </c>
      <c r="BS5" s="64">
        <v>2.6030000000000002</v>
      </c>
      <c r="BT5" s="66">
        <v>120</v>
      </c>
      <c r="BU5" s="79"/>
      <c r="BV5" s="79"/>
      <c r="BW5" s="79"/>
      <c r="BX5" s="64">
        <v>2.6030000000000002</v>
      </c>
      <c r="BY5" s="79"/>
      <c r="BZ5" s="64">
        <v>0.80500000000000005</v>
      </c>
      <c r="CA5" s="79"/>
      <c r="CB5" s="64">
        <v>113.46139070303494</v>
      </c>
      <c r="CC5" s="64">
        <v>3.7622929936305727E-2</v>
      </c>
      <c r="CD5" s="64" t="s">
        <v>474</v>
      </c>
      <c r="CE5" s="79"/>
      <c r="CF5" s="79"/>
      <c r="CG5" s="79"/>
      <c r="CH5" s="79"/>
      <c r="CI5" s="79"/>
      <c r="CJ5" s="64">
        <v>0.80500000000000005</v>
      </c>
      <c r="CK5" s="79"/>
      <c r="CL5" s="79"/>
      <c r="CM5" s="79"/>
      <c r="CN5" s="79"/>
      <c r="CO5" s="79"/>
      <c r="CP5" s="79"/>
      <c r="CQ5" s="79"/>
      <c r="CR5" s="79"/>
      <c r="CS5" s="79"/>
      <c r="CT5" s="79"/>
      <c r="CU5" s="79"/>
      <c r="CV5" s="79"/>
      <c r="CW5" s="79"/>
      <c r="CX5" s="79"/>
      <c r="CY5" s="79"/>
      <c r="CZ5" s="79"/>
      <c r="DA5" s="79"/>
      <c r="DB5" s="79"/>
      <c r="DC5" s="79"/>
      <c r="DD5" s="79"/>
      <c r="DE5" s="79"/>
      <c r="DF5" s="79"/>
      <c r="DG5" s="79"/>
      <c r="DH5" s="79"/>
      <c r="DI5" s="79"/>
      <c r="DJ5" s="79"/>
      <c r="DK5" s="79"/>
      <c r="DL5" s="79"/>
      <c r="DM5" s="79"/>
      <c r="DN5" s="79"/>
      <c r="DO5" s="79"/>
      <c r="DP5" s="79"/>
      <c r="DQ5" s="79"/>
      <c r="DR5" s="66" t="s">
        <v>1873</v>
      </c>
      <c r="DS5" s="66"/>
      <c r="DT5" s="79"/>
      <c r="DU5" s="79"/>
      <c r="DV5" s="79"/>
      <c r="DW5" s="79"/>
      <c r="DX5" s="79"/>
      <c r="DY5" s="78"/>
    </row>
    <row r="6" spans="1:129" x14ac:dyDescent="0.35">
      <c r="A6" s="42" t="s">
        <v>4743</v>
      </c>
      <c r="B6" s="42" t="s">
        <v>4753</v>
      </c>
      <c r="C6" s="42" t="s">
        <v>72</v>
      </c>
      <c r="D6" s="43" t="s">
        <v>87</v>
      </c>
      <c r="E6" s="45"/>
      <c r="F6" s="44" t="s">
        <v>4752</v>
      </c>
      <c r="G6" s="42" t="s">
        <v>4955</v>
      </c>
      <c r="H6" s="42" t="s">
        <v>68</v>
      </c>
      <c r="I6" s="43" t="s">
        <v>68</v>
      </c>
      <c r="J6" s="43" t="s">
        <v>68</v>
      </c>
      <c r="K6" s="43"/>
      <c r="L6" s="43" t="s">
        <v>69</v>
      </c>
      <c r="M6" s="43">
        <v>3</v>
      </c>
      <c r="N6" s="43">
        <v>3</v>
      </c>
      <c r="O6" s="43" t="s">
        <v>69</v>
      </c>
      <c r="P6" s="43">
        <v>4</v>
      </c>
      <c r="Q6" s="43">
        <v>4</v>
      </c>
      <c r="R6" s="43" t="s">
        <v>69</v>
      </c>
      <c r="S6" s="43">
        <v>5</v>
      </c>
      <c r="T6" s="43">
        <v>5</v>
      </c>
      <c r="U6" s="42" t="s">
        <v>4967</v>
      </c>
      <c r="V6" s="42">
        <v>106.72</v>
      </c>
      <c r="W6" s="42">
        <v>106.73</v>
      </c>
      <c r="X6" s="42" t="s">
        <v>4973</v>
      </c>
      <c r="Y6" s="42" t="s">
        <v>4974</v>
      </c>
      <c r="Z6" s="43" t="s">
        <v>4743</v>
      </c>
      <c r="AA6" s="43" t="s">
        <v>4742</v>
      </c>
      <c r="AB6" s="45"/>
      <c r="AC6" s="42" t="s">
        <v>4684</v>
      </c>
      <c r="AD6" s="42" t="s">
        <v>4685</v>
      </c>
      <c r="AE6" s="42" t="s">
        <v>4686</v>
      </c>
      <c r="AF6" s="42" t="s">
        <v>72</v>
      </c>
      <c r="AG6" s="42" t="s">
        <v>4685</v>
      </c>
      <c r="AH6" t="s">
        <v>4967</v>
      </c>
      <c r="AI6" s="42" t="s">
        <v>4959</v>
      </c>
      <c r="AJ6" s="42" t="s">
        <v>4970</v>
      </c>
      <c r="AK6" s="45"/>
      <c r="AL6" s="42" t="s">
        <v>4971</v>
      </c>
      <c r="AM6" s="43">
        <v>106.72</v>
      </c>
      <c r="AN6" s="43">
        <v>106.73</v>
      </c>
      <c r="AO6" s="43" t="s">
        <v>70</v>
      </c>
      <c r="AP6" s="45"/>
      <c r="AQ6" s="43">
        <v>1</v>
      </c>
      <c r="AR6" s="42" t="s">
        <v>4975</v>
      </c>
      <c r="AU6" s="64"/>
      <c r="AV6" s="64">
        <v>62</v>
      </c>
      <c r="AW6" s="64" t="s">
        <v>4955</v>
      </c>
      <c r="AX6" s="64" t="s">
        <v>4744</v>
      </c>
      <c r="AY6" s="66" t="s">
        <v>478</v>
      </c>
      <c r="AZ6" s="66" t="s">
        <v>72</v>
      </c>
      <c r="BA6" s="64">
        <v>106.72</v>
      </c>
      <c r="BB6" s="64">
        <v>106.73</v>
      </c>
      <c r="BC6" s="64" t="s">
        <v>4973</v>
      </c>
      <c r="BD6" s="64" t="s">
        <v>4974</v>
      </c>
      <c r="BE6" s="64" t="s">
        <v>4973</v>
      </c>
      <c r="BF6" s="64" t="s">
        <v>4974</v>
      </c>
      <c r="BG6" s="64" t="s">
        <v>4963</v>
      </c>
      <c r="BH6" s="64" t="s">
        <v>4967</v>
      </c>
      <c r="BI6" s="64" t="s">
        <v>4752</v>
      </c>
      <c r="BJ6" s="64" t="s">
        <v>4954</v>
      </c>
      <c r="BK6" s="64" t="s">
        <v>474</v>
      </c>
      <c r="BL6" s="64" t="s">
        <v>474</v>
      </c>
      <c r="BM6" s="66" t="s">
        <v>1219</v>
      </c>
      <c r="BN6" s="66" t="s">
        <v>1468</v>
      </c>
      <c r="BO6" s="66" t="s">
        <v>1468</v>
      </c>
      <c r="BP6" s="66" t="s">
        <v>1474</v>
      </c>
      <c r="BQ6" s="66" t="s">
        <v>1479</v>
      </c>
      <c r="BR6" s="64">
        <v>6.07</v>
      </c>
      <c r="BS6" s="64">
        <v>2.6030000000000002</v>
      </c>
      <c r="BT6" s="66">
        <v>120</v>
      </c>
      <c r="BU6" s="79"/>
      <c r="BV6" s="79"/>
      <c r="BW6" s="79"/>
      <c r="BX6" s="64">
        <v>2.6030000000000002</v>
      </c>
      <c r="BY6" s="79"/>
      <c r="BZ6" s="64">
        <v>0.80500000000000005</v>
      </c>
      <c r="CA6" s="79"/>
      <c r="CB6" s="64">
        <v>113.46139070303494</v>
      </c>
      <c r="CC6" s="64">
        <v>3.7622929936305727E-2</v>
      </c>
      <c r="CD6" s="64" t="s">
        <v>474</v>
      </c>
      <c r="CE6" s="79"/>
      <c r="CF6" s="79"/>
      <c r="CG6" s="79"/>
      <c r="CH6" s="79"/>
      <c r="CI6" s="79"/>
      <c r="CJ6" s="64">
        <v>0.80500000000000005</v>
      </c>
      <c r="CK6" s="79"/>
      <c r="CL6" s="79"/>
      <c r="CM6" s="79"/>
      <c r="CN6" s="79"/>
      <c r="CO6" s="79"/>
      <c r="CP6" s="79"/>
      <c r="CQ6" s="79"/>
      <c r="CR6" s="79"/>
      <c r="CS6" s="79"/>
      <c r="CT6" s="79"/>
      <c r="CU6" s="79"/>
      <c r="CV6" s="79"/>
      <c r="CW6" s="79"/>
      <c r="CX6" s="79"/>
      <c r="CY6" s="79"/>
      <c r="CZ6" s="79"/>
      <c r="DA6" s="79"/>
      <c r="DB6" s="79"/>
      <c r="DC6" s="79"/>
      <c r="DD6" s="79"/>
      <c r="DE6" s="79"/>
      <c r="DF6" s="79"/>
      <c r="DG6" s="79"/>
      <c r="DH6" s="79"/>
      <c r="DI6" s="79"/>
      <c r="DJ6" s="79"/>
      <c r="DK6" s="79"/>
      <c r="DL6" s="79"/>
      <c r="DM6" s="79"/>
      <c r="DN6" s="79"/>
      <c r="DO6" s="79"/>
      <c r="DP6" s="79"/>
      <c r="DQ6" s="79"/>
      <c r="DR6" s="66" t="s">
        <v>1873</v>
      </c>
      <c r="DS6" s="66"/>
      <c r="DT6" s="79"/>
      <c r="DU6" s="79"/>
      <c r="DV6" s="79"/>
      <c r="DW6" s="79"/>
      <c r="DX6" s="79"/>
      <c r="DY6" s="78"/>
    </row>
    <row r="7" spans="1:129" x14ac:dyDescent="0.35">
      <c r="A7" s="42" t="s">
        <v>4743</v>
      </c>
      <c r="B7" s="42" t="s">
        <v>4755</v>
      </c>
      <c r="C7" s="42" t="s">
        <v>72</v>
      </c>
      <c r="D7" s="43" t="s">
        <v>87</v>
      </c>
      <c r="E7" s="45"/>
      <c r="F7" s="44" t="s">
        <v>4754</v>
      </c>
      <c r="G7" s="42" t="s">
        <v>4955</v>
      </c>
      <c r="H7" s="42" t="s">
        <v>68</v>
      </c>
      <c r="I7" s="43" t="s">
        <v>68</v>
      </c>
      <c r="J7" s="43" t="s">
        <v>68</v>
      </c>
      <c r="K7" s="43"/>
      <c r="L7" s="43" t="s">
        <v>69</v>
      </c>
      <c r="M7" s="43">
        <v>3</v>
      </c>
      <c r="N7" s="43">
        <v>3</v>
      </c>
      <c r="O7" s="43" t="s">
        <v>69</v>
      </c>
      <c r="P7" s="43">
        <v>4</v>
      </c>
      <c r="Q7" s="43">
        <v>4</v>
      </c>
      <c r="R7" s="43" t="s">
        <v>69</v>
      </c>
      <c r="S7" s="43">
        <v>5</v>
      </c>
      <c r="T7" s="43">
        <v>5</v>
      </c>
      <c r="U7" s="42" t="s">
        <v>4956</v>
      </c>
      <c r="V7" s="42">
        <v>106.73</v>
      </c>
      <c r="W7" s="42">
        <v>106.73</v>
      </c>
      <c r="X7" s="42" t="s">
        <v>4976</v>
      </c>
      <c r="Y7" s="42" t="s">
        <v>4977</v>
      </c>
      <c r="Z7" s="43" t="s">
        <v>4743</v>
      </c>
      <c r="AA7" s="43" t="s">
        <v>4742</v>
      </c>
      <c r="AB7" s="45"/>
      <c r="AC7" s="42" t="s">
        <v>4684</v>
      </c>
      <c r="AD7" s="42" t="s">
        <v>4685</v>
      </c>
      <c r="AE7" s="42" t="s">
        <v>4686</v>
      </c>
      <c r="AF7" s="42" t="s">
        <v>72</v>
      </c>
      <c r="AG7" s="42" t="s">
        <v>4685</v>
      </c>
      <c r="AH7" t="s">
        <v>4956</v>
      </c>
      <c r="AI7" s="42" t="s">
        <v>4959</v>
      </c>
      <c r="AJ7" s="42" t="s">
        <v>4960</v>
      </c>
      <c r="AK7" s="45"/>
      <c r="AL7" s="42" t="s">
        <v>4961</v>
      </c>
      <c r="AM7" s="43">
        <v>106.73</v>
      </c>
      <c r="AN7" s="43">
        <v>106.73</v>
      </c>
      <c r="AO7" s="43" t="s">
        <v>70</v>
      </c>
      <c r="AP7" s="45"/>
      <c r="AQ7" s="43">
        <v>1</v>
      </c>
      <c r="AR7" s="42" t="s">
        <v>4978</v>
      </c>
      <c r="AU7" s="64"/>
      <c r="AV7" s="64">
        <v>62</v>
      </c>
      <c r="AW7" s="64" t="s">
        <v>4955</v>
      </c>
      <c r="AX7" s="64" t="s">
        <v>4744</v>
      </c>
      <c r="AY7" s="66" t="s">
        <v>478</v>
      </c>
      <c r="AZ7" s="66" t="s">
        <v>72</v>
      </c>
      <c r="BA7" s="64">
        <v>106.73</v>
      </c>
      <c r="BB7" s="64">
        <v>106.73</v>
      </c>
      <c r="BC7" s="64" t="s">
        <v>4976</v>
      </c>
      <c r="BD7" s="64" t="s">
        <v>4977</v>
      </c>
      <c r="BE7" s="64" t="s">
        <v>4976</v>
      </c>
      <c r="BF7" s="64" t="s">
        <v>4977</v>
      </c>
      <c r="BG7" s="64" t="s">
        <v>4963</v>
      </c>
      <c r="BH7" s="64" t="s">
        <v>4956</v>
      </c>
      <c r="BI7" s="64" t="s">
        <v>4754</v>
      </c>
      <c r="BJ7" s="64" t="s">
        <v>4954</v>
      </c>
      <c r="BK7" s="64" t="s">
        <v>474</v>
      </c>
      <c r="BL7" s="64" t="s">
        <v>474</v>
      </c>
      <c r="BM7" s="66" t="s">
        <v>1219</v>
      </c>
      <c r="BN7" s="66" t="s">
        <v>1468</v>
      </c>
      <c r="BO7" s="66" t="s">
        <v>1468</v>
      </c>
      <c r="BP7" s="66" t="s">
        <v>1474</v>
      </c>
      <c r="BQ7" s="66" t="s">
        <v>1479</v>
      </c>
      <c r="BR7" s="64">
        <v>0.56999999999999995</v>
      </c>
      <c r="BS7" s="64">
        <v>0.497</v>
      </c>
      <c r="BT7" s="66">
        <v>120</v>
      </c>
      <c r="BU7" s="79"/>
      <c r="BV7" s="79"/>
      <c r="BW7" s="79"/>
      <c r="BX7" s="64">
        <v>0.497</v>
      </c>
      <c r="BY7" s="79"/>
      <c r="BZ7" s="64">
        <v>0.255</v>
      </c>
      <c r="CA7" s="79"/>
      <c r="CB7" s="64">
        <v>91.549295774647888</v>
      </c>
      <c r="CC7" s="64">
        <v>5.7961783439490445E-3</v>
      </c>
      <c r="CD7" s="64" t="s">
        <v>474</v>
      </c>
      <c r="CE7" s="79"/>
      <c r="CF7" s="79"/>
      <c r="CG7" s="79"/>
      <c r="CH7" s="79"/>
      <c r="CI7" s="79"/>
      <c r="CJ7" s="64">
        <v>0.255</v>
      </c>
      <c r="CK7" s="79"/>
      <c r="CL7" s="79"/>
      <c r="CM7" s="79"/>
      <c r="CN7" s="79"/>
      <c r="CO7" s="79"/>
      <c r="CP7" s="79"/>
      <c r="CQ7" s="79"/>
      <c r="CR7" s="79"/>
      <c r="CS7" s="79"/>
      <c r="CT7" s="79"/>
      <c r="CU7" s="79"/>
      <c r="CV7" s="79"/>
      <c r="CW7" s="79"/>
      <c r="CX7" s="79"/>
      <c r="CY7" s="79"/>
      <c r="CZ7" s="79"/>
      <c r="DA7" s="79"/>
      <c r="DB7" s="79"/>
      <c r="DC7" s="79"/>
      <c r="DD7" s="79"/>
      <c r="DE7" s="79"/>
      <c r="DF7" s="79"/>
      <c r="DG7" s="79"/>
      <c r="DH7" s="79"/>
      <c r="DI7" s="79"/>
      <c r="DJ7" s="79"/>
      <c r="DK7" s="79"/>
      <c r="DL7" s="79"/>
      <c r="DM7" s="79"/>
      <c r="DN7" s="79"/>
      <c r="DO7" s="79"/>
      <c r="DP7" s="79"/>
      <c r="DQ7" s="79"/>
      <c r="DR7" s="66" t="s">
        <v>1873</v>
      </c>
      <c r="DS7" s="66"/>
      <c r="DT7" s="79"/>
      <c r="DU7" s="79"/>
      <c r="DV7" s="79"/>
      <c r="DW7" s="79"/>
      <c r="DX7" s="79"/>
      <c r="DY7" s="78"/>
    </row>
    <row r="8" spans="1:129" x14ac:dyDescent="0.35">
      <c r="A8" s="42" t="s">
        <v>4743</v>
      </c>
      <c r="B8" s="42" t="s">
        <v>4757</v>
      </c>
      <c r="C8" s="42" t="s">
        <v>72</v>
      </c>
      <c r="D8" s="43" t="s">
        <v>87</v>
      </c>
      <c r="E8" s="45"/>
      <c r="F8" s="44" t="s">
        <v>4756</v>
      </c>
      <c r="G8" s="42" t="s">
        <v>4955</v>
      </c>
      <c r="H8" s="42" t="s">
        <v>68</v>
      </c>
      <c r="I8" s="43" t="s">
        <v>68</v>
      </c>
      <c r="J8" s="43" t="s">
        <v>68</v>
      </c>
      <c r="K8" s="43"/>
      <c r="L8" s="43" t="s">
        <v>69</v>
      </c>
      <c r="M8" s="43">
        <v>3</v>
      </c>
      <c r="N8" s="43">
        <v>3</v>
      </c>
      <c r="O8" s="43" t="s">
        <v>69</v>
      </c>
      <c r="P8" s="43">
        <v>4</v>
      </c>
      <c r="Q8" s="43">
        <v>4</v>
      </c>
      <c r="R8" s="43" t="s">
        <v>69</v>
      </c>
      <c r="S8" s="43">
        <v>5</v>
      </c>
      <c r="T8" s="43">
        <v>5</v>
      </c>
      <c r="U8" s="42" t="s">
        <v>4967</v>
      </c>
      <c r="V8" s="42">
        <v>106.75</v>
      </c>
      <c r="W8" s="42">
        <v>106.76</v>
      </c>
      <c r="X8" s="42" t="s">
        <v>4979</v>
      </c>
      <c r="Y8" s="42" t="s">
        <v>4980</v>
      </c>
      <c r="Z8" s="43" t="s">
        <v>4743</v>
      </c>
      <c r="AA8" s="43" t="s">
        <v>4742</v>
      </c>
      <c r="AB8" s="45"/>
      <c r="AC8" s="42" t="s">
        <v>4684</v>
      </c>
      <c r="AD8" s="42" t="s">
        <v>4685</v>
      </c>
      <c r="AE8" s="42" t="s">
        <v>4686</v>
      </c>
      <c r="AF8" s="42" t="s">
        <v>72</v>
      </c>
      <c r="AG8" s="42" t="s">
        <v>4685</v>
      </c>
      <c r="AH8" t="s">
        <v>4967</v>
      </c>
      <c r="AI8" s="42" t="s">
        <v>4959</v>
      </c>
      <c r="AJ8" s="42" t="s">
        <v>4970</v>
      </c>
      <c r="AK8" s="45"/>
      <c r="AL8" s="42" t="s">
        <v>4971</v>
      </c>
      <c r="AM8" s="43">
        <v>106.75</v>
      </c>
      <c r="AN8" s="43">
        <v>106.76</v>
      </c>
      <c r="AO8" s="43" t="s">
        <v>70</v>
      </c>
      <c r="AP8" s="45"/>
      <c r="AQ8" s="43">
        <v>1</v>
      </c>
      <c r="AR8" s="42" t="s">
        <v>4981</v>
      </c>
      <c r="AU8" s="64"/>
      <c r="AV8" s="64">
        <v>62</v>
      </c>
      <c r="AW8" s="64" t="s">
        <v>4955</v>
      </c>
      <c r="AX8" s="64" t="s">
        <v>4744</v>
      </c>
      <c r="AY8" s="66" t="s">
        <v>478</v>
      </c>
      <c r="AZ8" s="66" t="s">
        <v>72</v>
      </c>
      <c r="BA8" s="64">
        <v>106.75</v>
      </c>
      <c r="BB8" s="64">
        <v>106.76</v>
      </c>
      <c r="BC8" s="64" t="s">
        <v>4979</v>
      </c>
      <c r="BD8" s="64" t="s">
        <v>4980</v>
      </c>
      <c r="BE8" s="64" t="s">
        <v>4979</v>
      </c>
      <c r="BF8" s="64" t="s">
        <v>4980</v>
      </c>
      <c r="BG8" s="64" t="s">
        <v>4963</v>
      </c>
      <c r="BH8" s="64" t="s">
        <v>4967</v>
      </c>
      <c r="BI8" s="64" t="s">
        <v>4756</v>
      </c>
      <c r="BJ8" s="64" t="s">
        <v>4954</v>
      </c>
      <c r="BK8" s="64" t="s">
        <v>474</v>
      </c>
      <c r="BL8" s="64" t="s">
        <v>474</v>
      </c>
      <c r="BM8" s="66" t="s">
        <v>1219</v>
      </c>
      <c r="BN8" s="66" t="s">
        <v>1468</v>
      </c>
      <c r="BO8" s="66" t="s">
        <v>1468</v>
      </c>
      <c r="BP8" s="66" t="s">
        <v>1474</v>
      </c>
      <c r="BQ8" s="66" t="s">
        <v>1479</v>
      </c>
      <c r="BR8" s="64">
        <v>6.07</v>
      </c>
      <c r="BS8" s="64">
        <v>2.6030000000000002</v>
      </c>
      <c r="BT8" s="66">
        <v>120</v>
      </c>
      <c r="BU8" s="79"/>
      <c r="BV8" s="79"/>
      <c r="BW8" s="79"/>
      <c r="BX8" s="64">
        <v>2.6030000000000002</v>
      </c>
      <c r="BY8" s="79"/>
      <c r="BZ8" s="64">
        <v>0.80500000000000005</v>
      </c>
      <c r="CA8" s="79"/>
      <c r="CB8" s="64">
        <v>113.46139070303494</v>
      </c>
      <c r="CC8" s="64">
        <v>3.7622929936305727E-2</v>
      </c>
      <c r="CD8" s="64" t="s">
        <v>474</v>
      </c>
      <c r="CE8" s="79"/>
      <c r="CF8" s="79"/>
      <c r="CG8" s="79"/>
      <c r="CH8" s="79"/>
      <c r="CI8" s="79"/>
      <c r="CJ8" s="64">
        <v>0.80500000000000005</v>
      </c>
      <c r="CK8" s="79"/>
      <c r="CL8" s="79"/>
      <c r="CM8" s="79"/>
      <c r="CN8" s="79"/>
      <c r="CO8" s="79"/>
      <c r="CP8" s="79"/>
      <c r="CQ8" s="79"/>
      <c r="CR8" s="79"/>
      <c r="CS8" s="79"/>
      <c r="CT8" s="79"/>
      <c r="CU8" s="79"/>
      <c r="CV8" s="79"/>
      <c r="CW8" s="79"/>
      <c r="CX8" s="79"/>
      <c r="CY8" s="79"/>
      <c r="CZ8" s="79"/>
      <c r="DA8" s="79"/>
      <c r="DB8" s="79"/>
      <c r="DC8" s="79"/>
      <c r="DD8" s="79"/>
      <c r="DE8" s="79"/>
      <c r="DF8" s="79"/>
      <c r="DG8" s="79"/>
      <c r="DH8" s="79"/>
      <c r="DI8" s="79"/>
      <c r="DJ8" s="79"/>
      <c r="DK8" s="79"/>
      <c r="DL8" s="79"/>
      <c r="DM8" s="79"/>
      <c r="DN8" s="79"/>
      <c r="DO8" s="79"/>
      <c r="DP8" s="79"/>
      <c r="DQ8" s="79"/>
      <c r="DR8" s="66" t="s">
        <v>1873</v>
      </c>
      <c r="DS8" s="66"/>
      <c r="DT8" s="79"/>
      <c r="DU8" s="79"/>
      <c r="DV8" s="79"/>
      <c r="DW8" s="79"/>
      <c r="DX8" s="79"/>
      <c r="DY8" s="78"/>
    </row>
    <row r="9" spans="1:129" x14ac:dyDescent="0.35">
      <c r="A9" s="42" t="s">
        <v>4743</v>
      </c>
      <c r="B9" s="42" t="s">
        <v>4759</v>
      </c>
      <c r="C9" s="42" t="s">
        <v>72</v>
      </c>
      <c r="D9" s="43" t="s">
        <v>87</v>
      </c>
      <c r="E9" s="45"/>
      <c r="F9" s="44" t="s">
        <v>4758</v>
      </c>
      <c r="G9" s="42" t="s">
        <v>4955</v>
      </c>
      <c r="H9" s="42" t="s">
        <v>68</v>
      </c>
      <c r="I9" s="43" t="s">
        <v>68</v>
      </c>
      <c r="J9" s="43" t="s">
        <v>68</v>
      </c>
      <c r="K9" s="43"/>
      <c r="L9" s="43" t="s">
        <v>69</v>
      </c>
      <c r="M9" s="43">
        <v>3</v>
      </c>
      <c r="N9" s="43">
        <v>3</v>
      </c>
      <c r="O9" s="43" t="s">
        <v>69</v>
      </c>
      <c r="P9" s="43">
        <v>4</v>
      </c>
      <c r="Q9" s="43">
        <v>4</v>
      </c>
      <c r="R9" s="43" t="s">
        <v>69</v>
      </c>
      <c r="S9" s="43">
        <v>5</v>
      </c>
      <c r="T9" s="43">
        <v>5</v>
      </c>
      <c r="U9" s="42" t="s">
        <v>4967</v>
      </c>
      <c r="V9" s="42">
        <v>106.76</v>
      </c>
      <c r="W9" s="42">
        <v>106.76</v>
      </c>
      <c r="X9" s="42" t="s">
        <v>4982</v>
      </c>
      <c r="Y9" s="42" t="s">
        <v>4983</v>
      </c>
      <c r="Z9" s="43" t="s">
        <v>4743</v>
      </c>
      <c r="AA9" s="43" t="s">
        <v>4742</v>
      </c>
      <c r="AB9" s="45"/>
      <c r="AC9" s="42" t="s">
        <v>4684</v>
      </c>
      <c r="AD9" s="42" t="s">
        <v>4685</v>
      </c>
      <c r="AE9" s="42" t="s">
        <v>4686</v>
      </c>
      <c r="AF9" s="42" t="s">
        <v>72</v>
      </c>
      <c r="AG9" s="42" t="s">
        <v>4685</v>
      </c>
      <c r="AH9" t="s">
        <v>4967</v>
      </c>
      <c r="AI9" s="42" t="s">
        <v>4959</v>
      </c>
      <c r="AJ9" s="42" t="s">
        <v>4970</v>
      </c>
      <c r="AK9" s="45"/>
      <c r="AL9" s="42" t="s">
        <v>4971</v>
      </c>
      <c r="AM9" s="43">
        <v>106.76</v>
      </c>
      <c r="AN9" s="43">
        <v>106.76</v>
      </c>
      <c r="AO9" s="43" t="s">
        <v>70</v>
      </c>
      <c r="AP9" s="45"/>
      <c r="AQ9" s="43">
        <v>1</v>
      </c>
      <c r="AR9" s="42" t="s">
        <v>4984</v>
      </c>
      <c r="AU9" s="64"/>
      <c r="AV9" s="64">
        <v>62</v>
      </c>
      <c r="AW9" s="64" t="s">
        <v>4955</v>
      </c>
      <c r="AX9" s="64" t="s">
        <v>4744</v>
      </c>
      <c r="AY9" s="66" t="s">
        <v>478</v>
      </c>
      <c r="AZ9" s="66" t="s">
        <v>72</v>
      </c>
      <c r="BA9" s="64">
        <v>106.76</v>
      </c>
      <c r="BB9" s="64">
        <v>106.76</v>
      </c>
      <c r="BC9" s="64" t="s">
        <v>4982</v>
      </c>
      <c r="BD9" s="64" t="s">
        <v>4983</v>
      </c>
      <c r="BE9" s="64" t="s">
        <v>4982</v>
      </c>
      <c r="BF9" s="64" t="s">
        <v>4983</v>
      </c>
      <c r="BG9" s="64" t="s">
        <v>4963</v>
      </c>
      <c r="BH9" s="64" t="s">
        <v>4967</v>
      </c>
      <c r="BI9" s="64" t="s">
        <v>4758</v>
      </c>
      <c r="BJ9" s="64" t="s">
        <v>4954</v>
      </c>
      <c r="BK9" s="64" t="s">
        <v>474</v>
      </c>
      <c r="BL9" s="64" t="s">
        <v>474</v>
      </c>
      <c r="BM9" s="66" t="s">
        <v>1219</v>
      </c>
      <c r="BN9" s="66" t="s">
        <v>1468</v>
      </c>
      <c r="BO9" s="66" t="s">
        <v>1468</v>
      </c>
      <c r="BP9" s="66" t="s">
        <v>1474</v>
      </c>
      <c r="BQ9" s="66" t="s">
        <v>1479</v>
      </c>
      <c r="BR9" s="64">
        <v>6.07</v>
      </c>
      <c r="BS9" s="64">
        <v>2.6030000000000002</v>
      </c>
      <c r="BT9" s="66">
        <v>120</v>
      </c>
      <c r="BU9" s="79"/>
      <c r="BV9" s="79"/>
      <c r="BW9" s="79"/>
      <c r="BX9" s="64">
        <v>2.6030000000000002</v>
      </c>
      <c r="BY9" s="79"/>
      <c r="BZ9" s="64">
        <v>0.80500000000000005</v>
      </c>
      <c r="CA9" s="79"/>
      <c r="CB9" s="64">
        <v>113.46139070303494</v>
      </c>
      <c r="CC9" s="64">
        <v>3.7622929936305727E-2</v>
      </c>
      <c r="CD9" s="64" t="s">
        <v>474</v>
      </c>
      <c r="CE9" s="79"/>
      <c r="CF9" s="79"/>
      <c r="CG9" s="79"/>
      <c r="CH9" s="79"/>
      <c r="CI9" s="79"/>
      <c r="CJ9" s="64">
        <v>0.80500000000000005</v>
      </c>
      <c r="CK9" s="79"/>
      <c r="CL9" s="79"/>
      <c r="CM9" s="79"/>
      <c r="CN9" s="79"/>
      <c r="CO9" s="79"/>
      <c r="CP9" s="79"/>
      <c r="CQ9" s="79"/>
      <c r="CR9" s="79"/>
      <c r="CS9" s="79"/>
      <c r="CT9" s="79"/>
      <c r="CU9" s="79"/>
      <c r="CV9" s="79"/>
      <c r="CW9" s="79"/>
      <c r="CX9" s="79"/>
      <c r="CY9" s="79"/>
      <c r="CZ9" s="79"/>
      <c r="DA9" s="79"/>
      <c r="DB9" s="79"/>
      <c r="DC9" s="79"/>
      <c r="DD9" s="79"/>
      <c r="DE9" s="79"/>
      <c r="DF9" s="79"/>
      <c r="DG9" s="79"/>
      <c r="DH9" s="79"/>
      <c r="DI9" s="79"/>
      <c r="DJ9" s="79"/>
      <c r="DK9" s="79"/>
      <c r="DL9" s="79"/>
      <c r="DM9" s="79"/>
      <c r="DN9" s="79"/>
      <c r="DO9" s="79"/>
      <c r="DP9" s="79"/>
      <c r="DQ9" s="79"/>
      <c r="DR9" s="66" t="s">
        <v>1873</v>
      </c>
      <c r="DS9" s="66"/>
      <c r="DT9" s="79"/>
      <c r="DU9" s="79"/>
      <c r="DV9" s="79"/>
      <c r="DW9" s="79"/>
      <c r="DX9" s="79"/>
      <c r="DY9" s="78"/>
    </row>
    <row r="10" spans="1:129" x14ac:dyDescent="0.35">
      <c r="A10" s="42" t="s">
        <v>4743</v>
      </c>
      <c r="B10" s="42" t="s">
        <v>4761</v>
      </c>
      <c r="C10" s="42" t="s">
        <v>72</v>
      </c>
      <c r="D10" s="43" t="s">
        <v>87</v>
      </c>
      <c r="E10" s="45"/>
      <c r="F10" s="44" t="s">
        <v>4760</v>
      </c>
      <c r="G10" s="42" t="s">
        <v>4955</v>
      </c>
      <c r="H10" s="42" t="s">
        <v>68</v>
      </c>
      <c r="I10" s="43" t="s">
        <v>68</v>
      </c>
      <c r="J10" s="43" t="s">
        <v>68</v>
      </c>
      <c r="K10" s="43"/>
      <c r="L10" s="43" t="s">
        <v>69</v>
      </c>
      <c r="M10" s="43">
        <v>3</v>
      </c>
      <c r="N10" s="43">
        <v>3</v>
      </c>
      <c r="O10" s="43" t="s">
        <v>69</v>
      </c>
      <c r="P10" s="43">
        <v>4</v>
      </c>
      <c r="Q10" s="43">
        <v>4</v>
      </c>
      <c r="R10" s="43" t="s">
        <v>69</v>
      </c>
      <c r="S10" s="43">
        <v>5</v>
      </c>
      <c r="T10" s="43">
        <v>5</v>
      </c>
      <c r="U10" s="42" t="s">
        <v>4956</v>
      </c>
      <c r="V10" s="42">
        <v>106.75</v>
      </c>
      <c r="W10" s="42">
        <v>106.76</v>
      </c>
      <c r="X10" s="42" t="s">
        <v>4985</v>
      </c>
      <c r="Y10" s="42" t="s">
        <v>4986</v>
      </c>
      <c r="Z10" s="43" t="s">
        <v>4743</v>
      </c>
      <c r="AA10" s="43" t="s">
        <v>4742</v>
      </c>
      <c r="AB10" s="45"/>
      <c r="AC10" s="42" t="s">
        <v>4684</v>
      </c>
      <c r="AD10" s="42" t="s">
        <v>4685</v>
      </c>
      <c r="AE10" s="42" t="s">
        <v>4686</v>
      </c>
      <c r="AF10" s="42" t="s">
        <v>72</v>
      </c>
      <c r="AG10" s="42" t="s">
        <v>4685</v>
      </c>
      <c r="AH10" t="s">
        <v>4956</v>
      </c>
      <c r="AI10" s="42" t="s">
        <v>4959</v>
      </c>
      <c r="AJ10" s="42" t="s">
        <v>4960</v>
      </c>
      <c r="AK10" s="45"/>
      <c r="AL10" s="42" t="s">
        <v>4961</v>
      </c>
      <c r="AM10" s="43">
        <v>106.75</v>
      </c>
      <c r="AN10" s="43">
        <v>106.76</v>
      </c>
      <c r="AO10" s="43" t="s">
        <v>70</v>
      </c>
      <c r="AP10" s="45"/>
      <c r="AQ10" s="43">
        <v>1</v>
      </c>
      <c r="AR10" s="42" t="s">
        <v>4987</v>
      </c>
      <c r="AU10" s="64"/>
      <c r="AV10" s="64">
        <v>62</v>
      </c>
      <c r="AW10" s="64" t="s">
        <v>4955</v>
      </c>
      <c r="AX10" s="64" t="s">
        <v>4744</v>
      </c>
      <c r="AY10" s="66" t="s">
        <v>478</v>
      </c>
      <c r="AZ10" s="66" t="s">
        <v>72</v>
      </c>
      <c r="BA10" s="64">
        <v>106.75</v>
      </c>
      <c r="BB10" s="64">
        <v>106.76</v>
      </c>
      <c r="BC10" s="64" t="s">
        <v>4985</v>
      </c>
      <c r="BD10" s="64" t="s">
        <v>4986</v>
      </c>
      <c r="BE10" s="64" t="s">
        <v>4985</v>
      </c>
      <c r="BF10" s="64" t="s">
        <v>4986</v>
      </c>
      <c r="BG10" s="64" t="s">
        <v>4963</v>
      </c>
      <c r="BH10" s="64" t="s">
        <v>4956</v>
      </c>
      <c r="BI10" s="64" t="s">
        <v>4760</v>
      </c>
      <c r="BJ10" s="64" t="s">
        <v>4954</v>
      </c>
      <c r="BK10" s="64" t="s">
        <v>474</v>
      </c>
      <c r="BL10" s="64" t="s">
        <v>474</v>
      </c>
      <c r="BM10" s="66" t="s">
        <v>1219</v>
      </c>
      <c r="BN10" s="66" t="s">
        <v>1468</v>
      </c>
      <c r="BO10" s="66" t="s">
        <v>1468</v>
      </c>
      <c r="BP10" s="66" t="s">
        <v>1474</v>
      </c>
      <c r="BQ10" s="66" t="s">
        <v>1479</v>
      </c>
      <c r="BR10" s="64">
        <v>0.56999999999999995</v>
      </c>
      <c r="BS10" s="64">
        <v>0.497</v>
      </c>
      <c r="BT10" s="66">
        <v>120</v>
      </c>
      <c r="BU10" s="79"/>
      <c r="BV10" s="79"/>
      <c r="BW10" s="79"/>
      <c r="BX10" s="64">
        <v>0.497</v>
      </c>
      <c r="BY10" s="79"/>
      <c r="BZ10" s="64">
        <v>0.255</v>
      </c>
      <c r="CA10" s="79"/>
      <c r="CB10" s="64">
        <v>91.549295774647888</v>
      </c>
      <c r="CC10" s="64">
        <v>5.7961783439490445E-3</v>
      </c>
      <c r="CD10" s="64" t="s">
        <v>474</v>
      </c>
      <c r="CE10" s="79"/>
      <c r="CF10" s="79"/>
      <c r="CG10" s="79"/>
      <c r="CH10" s="79"/>
      <c r="CI10" s="79"/>
      <c r="CJ10" s="64">
        <v>0.255</v>
      </c>
      <c r="CK10" s="79"/>
      <c r="CL10" s="79"/>
      <c r="CM10" s="79"/>
      <c r="CN10" s="79"/>
      <c r="CO10" s="79"/>
      <c r="CP10" s="79"/>
      <c r="CQ10" s="79"/>
      <c r="CR10" s="79"/>
      <c r="CS10" s="79"/>
      <c r="CT10" s="79"/>
      <c r="CU10" s="79"/>
      <c r="CV10" s="79"/>
      <c r="CW10" s="79"/>
      <c r="CX10" s="79"/>
      <c r="CY10" s="79"/>
      <c r="CZ10" s="79"/>
      <c r="DA10" s="79"/>
      <c r="DB10" s="79"/>
      <c r="DC10" s="79"/>
      <c r="DD10" s="79"/>
      <c r="DE10" s="79"/>
      <c r="DF10" s="79"/>
      <c r="DG10" s="79"/>
      <c r="DH10" s="79"/>
      <c r="DI10" s="79"/>
      <c r="DJ10" s="79"/>
      <c r="DK10" s="79"/>
      <c r="DL10" s="79"/>
      <c r="DM10" s="79"/>
      <c r="DN10" s="79"/>
      <c r="DO10" s="79"/>
      <c r="DP10" s="79"/>
      <c r="DQ10" s="79"/>
      <c r="DR10" s="66" t="s">
        <v>1873</v>
      </c>
      <c r="DS10" s="66"/>
      <c r="DT10" s="79"/>
      <c r="DU10" s="79"/>
      <c r="DV10" s="79"/>
      <c r="DW10" s="79"/>
      <c r="DX10" s="79"/>
      <c r="DY10" s="78"/>
    </row>
    <row r="11" spans="1:129" x14ac:dyDescent="0.35">
      <c r="A11" s="42" t="s">
        <v>4743</v>
      </c>
      <c r="B11" s="42" t="s">
        <v>4763</v>
      </c>
      <c r="C11" s="42" t="s">
        <v>72</v>
      </c>
      <c r="D11" s="43" t="s">
        <v>87</v>
      </c>
      <c r="E11" s="45"/>
      <c r="F11" s="44" t="s">
        <v>4762</v>
      </c>
      <c r="G11" s="42" t="s">
        <v>4955</v>
      </c>
      <c r="H11" s="42" t="s">
        <v>68</v>
      </c>
      <c r="I11" s="43" t="s">
        <v>68</v>
      </c>
      <c r="J11" s="43" t="s">
        <v>68</v>
      </c>
      <c r="K11" s="43"/>
      <c r="L11" s="43" t="s">
        <v>69</v>
      </c>
      <c r="M11" s="43">
        <v>3</v>
      </c>
      <c r="N11" s="43">
        <v>3</v>
      </c>
      <c r="O11" s="43" t="s">
        <v>69</v>
      </c>
      <c r="P11" s="43">
        <v>4</v>
      </c>
      <c r="Q11" s="43">
        <v>4</v>
      </c>
      <c r="R11" s="43" t="s">
        <v>69</v>
      </c>
      <c r="S11" s="43">
        <v>5</v>
      </c>
      <c r="T11" s="43">
        <v>5</v>
      </c>
      <c r="U11" s="42" t="s">
        <v>4988</v>
      </c>
      <c r="V11" s="42">
        <v>106.73</v>
      </c>
      <c r="W11" s="42">
        <v>106.76</v>
      </c>
      <c r="X11" s="42" t="s">
        <v>4989</v>
      </c>
      <c r="Y11" s="42" t="s">
        <v>4990</v>
      </c>
      <c r="Z11" s="43" t="s">
        <v>4743</v>
      </c>
      <c r="AA11" s="43" t="s">
        <v>4742</v>
      </c>
      <c r="AB11" s="45"/>
      <c r="AC11" s="42" t="s">
        <v>4684</v>
      </c>
      <c r="AD11" s="42" t="s">
        <v>4685</v>
      </c>
      <c r="AE11" s="42" t="s">
        <v>4686</v>
      </c>
      <c r="AF11" s="42" t="s">
        <v>72</v>
      </c>
      <c r="AG11" s="42" t="s">
        <v>4685</v>
      </c>
      <c r="AH11" t="s">
        <v>4988</v>
      </c>
      <c r="AI11" s="42" t="s">
        <v>4959</v>
      </c>
      <c r="AJ11" s="42" t="s">
        <v>4991</v>
      </c>
      <c r="AK11" s="45"/>
      <c r="AL11" s="42" t="s">
        <v>4992</v>
      </c>
      <c r="AM11" s="43">
        <v>106.73</v>
      </c>
      <c r="AN11" s="43">
        <v>106.76</v>
      </c>
      <c r="AO11" s="43" t="s">
        <v>70</v>
      </c>
      <c r="AP11" s="45"/>
      <c r="AQ11" s="43">
        <v>1</v>
      </c>
      <c r="AR11" s="42" t="s">
        <v>4993</v>
      </c>
      <c r="AU11" s="64"/>
      <c r="AV11" s="64">
        <v>62</v>
      </c>
      <c r="AW11" s="64" t="s">
        <v>4955</v>
      </c>
      <c r="AX11" s="64" t="s">
        <v>4744</v>
      </c>
      <c r="AY11" s="66" t="s">
        <v>478</v>
      </c>
      <c r="AZ11" s="66" t="s">
        <v>72</v>
      </c>
      <c r="BA11" s="64">
        <v>106.73</v>
      </c>
      <c r="BB11" s="64">
        <v>106.76</v>
      </c>
      <c r="BC11" s="64" t="s">
        <v>4989</v>
      </c>
      <c r="BD11" s="64" t="s">
        <v>4990</v>
      </c>
      <c r="BE11" s="64" t="s">
        <v>4989</v>
      </c>
      <c r="BF11" s="64" t="s">
        <v>4990</v>
      </c>
      <c r="BG11" s="64" t="s">
        <v>4963</v>
      </c>
      <c r="BH11" s="64" t="s">
        <v>4988</v>
      </c>
      <c r="BI11" s="64" t="s">
        <v>4762</v>
      </c>
      <c r="BJ11" s="64" t="s">
        <v>4954</v>
      </c>
      <c r="BK11" s="64" t="s">
        <v>474</v>
      </c>
      <c r="BL11" s="64" t="s">
        <v>474</v>
      </c>
      <c r="BM11" s="66" t="s">
        <v>1244</v>
      </c>
      <c r="BN11" s="66" t="s">
        <v>1468</v>
      </c>
      <c r="BO11" s="66" t="s">
        <v>1468</v>
      </c>
      <c r="BP11" s="66" t="s">
        <v>1474</v>
      </c>
      <c r="BQ11" s="66" t="s">
        <v>1479</v>
      </c>
      <c r="BR11" s="64">
        <v>46.43</v>
      </c>
      <c r="BS11" s="64">
        <v>9.75</v>
      </c>
      <c r="BT11" s="66">
        <v>120</v>
      </c>
      <c r="BU11" s="79"/>
      <c r="BV11" s="79"/>
      <c r="BW11" s="79"/>
      <c r="BX11" s="64">
        <v>9.75</v>
      </c>
      <c r="BY11" s="79"/>
      <c r="BZ11" s="64">
        <v>3.117</v>
      </c>
      <c r="CA11" s="79"/>
      <c r="CB11" s="64" t="s">
        <v>1100</v>
      </c>
      <c r="CC11" s="64" t="s">
        <v>1100</v>
      </c>
      <c r="CD11" s="64" t="s">
        <v>474</v>
      </c>
      <c r="CE11" s="79"/>
      <c r="CF11" s="79"/>
      <c r="CG11" s="79"/>
      <c r="CH11" s="79"/>
      <c r="CI11" s="79"/>
      <c r="CJ11" s="64">
        <v>3.117</v>
      </c>
      <c r="CK11" s="79"/>
      <c r="CL11" s="79"/>
      <c r="CM11" s="79"/>
      <c r="CN11" s="79"/>
      <c r="CO11" s="79"/>
      <c r="CP11" s="79"/>
      <c r="CQ11" s="79"/>
      <c r="CR11" s="79"/>
      <c r="CS11" s="79"/>
      <c r="CT11" s="79"/>
      <c r="CU11" s="79"/>
      <c r="CV11" s="79"/>
      <c r="CW11" s="79"/>
      <c r="CX11" s="79"/>
      <c r="CY11" s="79"/>
      <c r="CZ11" s="79"/>
      <c r="DA11" s="79"/>
      <c r="DB11" s="79"/>
      <c r="DC11" s="79"/>
      <c r="DD11" s="79"/>
      <c r="DE11" s="79"/>
      <c r="DF11" s="79"/>
      <c r="DG11" s="79"/>
      <c r="DH11" s="79"/>
      <c r="DI11" s="79"/>
      <c r="DJ11" s="79"/>
      <c r="DK11" s="79"/>
      <c r="DL11" s="79"/>
      <c r="DM11" s="79"/>
      <c r="DN11" s="79"/>
      <c r="DO11" s="79"/>
      <c r="DP11" s="79"/>
      <c r="DQ11" s="79"/>
      <c r="DR11" s="66"/>
      <c r="DS11" s="66"/>
      <c r="DT11" s="79"/>
      <c r="DU11" s="79"/>
      <c r="DV11" s="79"/>
      <c r="DW11" s="79"/>
      <c r="DX11" s="79"/>
      <c r="DY11" s="78"/>
    </row>
    <row r="12" spans="1:129" x14ac:dyDescent="0.35">
      <c r="A12" s="42" t="s">
        <v>4743</v>
      </c>
      <c r="B12" s="42" t="s">
        <v>4765</v>
      </c>
      <c r="C12" s="42" t="s">
        <v>88</v>
      </c>
      <c r="D12" s="43" t="s">
        <v>89</v>
      </c>
      <c r="E12" s="45"/>
      <c r="F12" s="44" t="s">
        <v>4764</v>
      </c>
      <c r="G12" s="42" t="s">
        <v>4955</v>
      </c>
      <c r="H12" s="42" t="s">
        <v>68</v>
      </c>
      <c r="I12" s="43" t="s">
        <v>68</v>
      </c>
      <c r="J12" s="43" t="s">
        <v>68</v>
      </c>
      <c r="K12" s="43"/>
      <c r="L12" s="43" t="s">
        <v>69</v>
      </c>
      <c r="M12" s="43">
        <v>3</v>
      </c>
      <c r="N12" s="43">
        <v>3</v>
      </c>
      <c r="O12" s="43" t="s">
        <v>69</v>
      </c>
      <c r="P12" s="43">
        <v>4</v>
      </c>
      <c r="Q12" s="43">
        <v>4</v>
      </c>
      <c r="R12" s="43" t="s">
        <v>69</v>
      </c>
      <c r="S12" s="43">
        <v>5</v>
      </c>
      <c r="T12" s="43">
        <v>5</v>
      </c>
      <c r="U12" s="42" t="s">
        <v>4994</v>
      </c>
      <c r="V12" s="42">
        <v>106.73</v>
      </c>
      <c r="W12" s="42">
        <v>106.73</v>
      </c>
      <c r="X12" s="42" t="s">
        <v>4995</v>
      </c>
      <c r="Y12" s="42" t="s">
        <v>4996</v>
      </c>
      <c r="Z12" s="43" t="s">
        <v>4743</v>
      </c>
      <c r="AA12" s="43" t="s">
        <v>4742</v>
      </c>
      <c r="AB12" s="45"/>
      <c r="AC12" s="42" t="s">
        <v>4684</v>
      </c>
      <c r="AD12" s="42" t="s">
        <v>4685</v>
      </c>
      <c r="AE12" s="42" t="s">
        <v>4686</v>
      </c>
      <c r="AF12" s="42" t="s">
        <v>88</v>
      </c>
      <c r="AG12" s="42" t="s">
        <v>4685</v>
      </c>
      <c r="AH12" t="s">
        <v>4994</v>
      </c>
      <c r="AI12" s="42" t="s">
        <v>4959</v>
      </c>
      <c r="AJ12" s="42" t="s">
        <v>4997</v>
      </c>
      <c r="AK12" s="45"/>
      <c r="AL12" s="42" t="s">
        <v>4998</v>
      </c>
      <c r="AM12" s="43">
        <v>106.73</v>
      </c>
      <c r="AN12" s="43">
        <v>106.73</v>
      </c>
      <c r="AO12" s="43" t="s">
        <v>70</v>
      </c>
      <c r="AP12" s="45"/>
      <c r="AQ12" s="43">
        <v>1</v>
      </c>
      <c r="AR12" s="42" t="s">
        <v>4999</v>
      </c>
      <c r="AU12" s="64"/>
      <c r="AV12" s="64">
        <v>62</v>
      </c>
      <c r="AW12" s="64" t="s">
        <v>4955</v>
      </c>
      <c r="AX12" s="64" t="s">
        <v>4744</v>
      </c>
      <c r="AY12" s="66" t="s">
        <v>478</v>
      </c>
      <c r="AZ12" s="66" t="s">
        <v>88</v>
      </c>
      <c r="BA12" s="64">
        <v>106.73</v>
      </c>
      <c r="BB12" s="64">
        <v>106.73</v>
      </c>
      <c r="BC12" s="64" t="s">
        <v>4995</v>
      </c>
      <c r="BD12" s="64" t="s">
        <v>4996</v>
      </c>
      <c r="BE12" s="64" t="s">
        <v>4995</v>
      </c>
      <c r="BF12" s="64" t="s">
        <v>4996</v>
      </c>
      <c r="BG12" s="64" t="s">
        <v>4963</v>
      </c>
      <c r="BH12" s="64" t="s">
        <v>4994</v>
      </c>
      <c r="BI12" s="64" t="s">
        <v>4764</v>
      </c>
      <c r="BJ12" s="64" t="s">
        <v>4954</v>
      </c>
      <c r="BK12" s="64" t="s">
        <v>474</v>
      </c>
      <c r="BL12" s="64" t="s">
        <v>474</v>
      </c>
      <c r="BM12" s="66" t="s">
        <v>1256</v>
      </c>
      <c r="BN12" s="66" t="s">
        <v>1468</v>
      </c>
      <c r="BO12" s="66" t="s">
        <v>1468</v>
      </c>
      <c r="BP12" s="66" t="s">
        <v>1474</v>
      </c>
      <c r="BQ12" s="66" t="s">
        <v>1479</v>
      </c>
      <c r="BR12" s="79"/>
      <c r="BS12" s="64">
        <v>3.2000000000000001E-2</v>
      </c>
      <c r="BT12" s="66">
        <v>25</v>
      </c>
      <c r="BU12" s="79"/>
      <c r="BV12" s="79"/>
      <c r="BW12" s="79"/>
      <c r="BX12" s="79"/>
      <c r="BY12" s="79"/>
      <c r="BZ12" s="79"/>
      <c r="CA12" s="64"/>
      <c r="CB12" s="79"/>
      <c r="CC12" s="79"/>
      <c r="CD12" s="79"/>
      <c r="CE12" s="79"/>
      <c r="CF12" s="79"/>
      <c r="CG12" s="79"/>
      <c r="CH12" s="79"/>
      <c r="CI12" s="79"/>
      <c r="CJ12" s="79"/>
      <c r="CK12" s="79"/>
      <c r="CL12" s="79"/>
      <c r="CM12" s="79"/>
      <c r="CN12" s="79"/>
      <c r="CO12" s="79"/>
      <c r="CP12" s="79"/>
      <c r="CQ12" s="79"/>
      <c r="CR12" s="79"/>
      <c r="CS12" s="79"/>
      <c r="CT12" s="79"/>
      <c r="CU12" s="79"/>
      <c r="CV12" s="79"/>
      <c r="CW12" s="79"/>
      <c r="CX12" s="79"/>
      <c r="CY12" s="79"/>
      <c r="CZ12" s="79"/>
      <c r="DA12" s="79"/>
      <c r="DB12" s="79"/>
      <c r="DC12" s="79"/>
      <c r="DD12" s="79"/>
      <c r="DE12" s="79"/>
      <c r="DF12" s="79"/>
      <c r="DG12" s="79"/>
      <c r="DH12" s="79"/>
      <c r="DI12" s="79"/>
      <c r="DJ12" s="79"/>
      <c r="DK12" s="79"/>
      <c r="DL12" s="79"/>
      <c r="DM12" s="79"/>
      <c r="DN12" s="79"/>
      <c r="DO12" s="79"/>
      <c r="DP12" s="79"/>
      <c r="DQ12" s="79"/>
      <c r="DR12" s="79"/>
      <c r="DS12" s="79"/>
      <c r="DT12" s="79"/>
      <c r="DU12" s="79"/>
      <c r="DV12" s="79"/>
      <c r="DW12" s="79"/>
      <c r="DX12" s="79"/>
      <c r="DY12" s="78"/>
    </row>
    <row r="13" spans="1:129" x14ac:dyDescent="0.35">
      <c r="A13" s="42" t="s">
        <v>4743</v>
      </c>
      <c r="B13" s="42" t="s">
        <v>4767</v>
      </c>
      <c r="C13" s="42" t="s">
        <v>88</v>
      </c>
      <c r="D13" s="43" t="s">
        <v>89</v>
      </c>
      <c r="E13" s="45"/>
      <c r="F13" s="44" t="s">
        <v>4766</v>
      </c>
      <c r="G13" s="42" t="s">
        <v>4955</v>
      </c>
      <c r="H13" s="42" t="s">
        <v>68</v>
      </c>
      <c r="I13" s="43" t="s">
        <v>68</v>
      </c>
      <c r="J13" s="43" t="s">
        <v>68</v>
      </c>
      <c r="K13" s="43"/>
      <c r="L13" s="43" t="s">
        <v>69</v>
      </c>
      <c r="M13" s="43">
        <v>3</v>
      </c>
      <c r="N13" s="43">
        <v>3</v>
      </c>
      <c r="O13" s="43" t="s">
        <v>69</v>
      </c>
      <c r="P13" s="43">
        <v>4</v>
      </c>
      <c r="Q13" s="43">
        <v>4</v>
      </c>
      <c r="R13" s="43" t="s">
        <v>69</v>
      </c>
      <c r="S13" s="43">
        <v>5</v>
      </c>
      <c r="T13" s="43">
        <v>5</v>
      </c>
      <c r="U13" s="42" t="s">
        <v>4994</v>
      </c>
      <c r="V13" s="42">
        <v>106.73</v>
      </c>
      <c r="W13" s="42">
        <v>106.73</v>
      </c>
      <c r="X13" s="42" t="s">
        <v>5000</v>
      </c>
      <c r="Y13" s="42" t="s">
        <v>5001</v>
      </c>
      <c r="Z13" s="43" t="s">
        <v>4743</v>
      </c>
      <c r="AA13" s="43" t="s">
        <v>4742</v>
      </c>
      <c r="AB13" s="45"/>
      <c r="AC13" s="42" t="s">
        <v>4684</v>
      </c>
      <c r="AD13" s="42" t="s">
        <v>4685</v>
      </c>
      <c r="AE13" s="42" t="s">
        <v>4686</v>
      </c>
      <c r="AF13" s="42" t="s">
        <v>88</v>
      </c>
      <c r="AG13" s="42" t="s">
        <v>4685</v>
      </c>
      <c r="AH13" t="s">
        <v>4994</v>
      </c>
      <c r="AI13" s="42" t="s">
        <v>4959</v>
      </c>
      <c r="AJ13" s="42" t="s">
        <v>4997</v>
      </c>
      <c r="AK13" s="45"/>
      <c r="AL13" s="42" t="s">
        <v>4998</v>
      </c>
      <c r="AM13" s="43">
        <v>106.73</v>
      </c>
      <c r="AN13" s="43">
        <v>106.73</v>
      </c>
      <c r="AO13" s="43" t="s">
        <v>70</v>
      </c>
      <c r="AP13" s="45"/>
      <c r="AQ13" s="43">
        <v>1</v>
      </c>
      <c r="AR13" s="42" t="s">
        <v>5002</v>
      </c>
      <c r="AU13" s="64"/>
      <c r="AV13" s="64">
        <v>62</v>
      </c>
      <c r="AW13" s="64" t="s">
        <v>4955</v>
      </c>
      <c r="AX13" s="64" t="s">
        <v>4744</v>
      </c>
      <c r="AY13" s="66" t="s">
        <v>478</v>
      </c>
      <c r="AZ13" s="66" t="s">
        <v>88</v>
      </c>
      <c r="BA13" s="64">
        <v>106.73</v>
      </c>
      <c r="BB13" s="64">
        <v>106.73</v>
      </c>
      <c r="BC13" s="64" t="s">
        <v>5000</v>
      </c>
      <c r="BD13" s="64" t="s">
        <v>5001</v>
      </c>
      <c r="BE13" s="64" t="s">
        <v>5000</v>
      </c>
      <c r="BF13" s="64" t="s">
        <v>5001</v>
      </c>
      <c r="BG13" s="64" t="s">
        <v>4963</v>
      </c>
      <c r="BH13" s="64" t="s">
        <v>4994</v>
      </c>
      <c r="BI13" s="64" t="s">
        <v>4766</v>
      </c>
      <c r="BJ13" s="64" t="s">
        <v>4954</v>
      </c>
      <c r="BK13" s="64" t="s">
        <v>474</v>
      </c>
      <c r="BL13" s="64" t="s">
        <v>474</v>
      </c>
      <c r="BM13" s="66" t="s">
        <v>1256</v>
      </c>
      <c r="BN13" s="66" t="s">
        <v>1468</v>
      </c>
      <c r="BO13" s="66" t="s">
        <v>1468</v>
      </c>
      <c r="BP13" s="66" t="s">
        <v>1474</v>
      </c>
      <c r="BQ13" s="66" t="s">
        <v>1479</v>
      </c>
      <c r="BR13" s="79"/>
      <c r="BS13" s="64">
        <v>3.2000000000000001E-2</v>
      </c>
      <c r="BT13" s="66">
        <v>25</v>
      </c>
      <c r="BU13" s="79"/>
      <c r="BV13" s="79"/>
      <c r="BW13" s="79"/>
      <c r="BX13" s="79"/>
      <c r="BY13" s="79"/>
      <c r="BZ13" s="79"/>
      <c r="CA13" s="64"/>
      <c r="CB13" s="79"/>
      <c r="CC13" s="79"/>
      <c r="CD13" s="79"/>
      <c r="CE13" s="79"/>
      <c r="CF13" s="79"/>
      <c r="CG13" s="79"/>
      <c r="CH13" s="79"/>
      <c r="CI13" s="79"/>
      <c r="CJ13" s="79"/>
      <c r="CK13" s="79"/>
      <c r="CL13" s="79"/>
      <c r="CM13" s="79"/>
      <c r="CN13" s="79"/>
      <c r="CO13" s="79"/>
      <c r="CP13" s="79"/>
      <c r="CQ13" s="79"/>
      <c r="CR13" s="79"/>
      <c r="CS13" s="79"/>
      <c r="CT13" s="79"/>
      <c r="CU13" s="79"/>
      <c r="CV13" s="79"/>
      <c r="CW13" s="79"/>
      <c r="CX13" s="79"/>
      <c r="CY13" s="79"/>
      <c r="CZ13" s="79"/>
      <c r="DA13" s="79"/>
      <c r="DB13" s="79"/>
      <c r="DC13" s="79"/>
      <c r="DD13" s="79"/>
      <c r="DE13" s="79"/>
      <c r="DF13" s="79"/>
      <c r="DG13" s="79"/>
      <c r="DH13" s="79"/>
      <c r="DI13" s="79"/>
      <c r="DJ13" s="79"/>
      <c r="DK13" s="79"/>
      <c r="DL13" s="79"/>
      <c r="DM13" s="79"/>
      <c r="DN13" s="79"/>
      <c r="DO13" s="79"/>
      <c r="DP13" s="79"/>
      <c r="DQ13" s="79"/>
      <c r="DR13" s="79"/>
      <c r="DS13" s="79"/>
      <c r="DT13" s="79"/>
      <c r="DU13" s="79"/>
      <c r="DV13" s="79"/>
      <c r="DW13" s="79"/>
      <c r="DX13" s="79"/>
      <c r="DY13" s="78"/>
    </row>
    <row r="14" spans="1:129" x14ac:dyDescent="0.35">
      <c r="A14" s="42" t="s">
        <v>4743</v>
      </c>
      <c r="B14" s="42" t="s">
        <v>4769</v>
      </c>
      <c r="C14" s="42" t="s">
        <v>88</v>
      </c>
      <c r="D14" s="43" t="s">
        <v>89</v>
      </c>
      <c r="E14" s="45"/>
      <c r="F14" s="44" t="s">
        <v>4768</v>
      </c>
      <c r="G14" s="42" t="s">
        <v>4955</v>
      </c>
      <c r="H14" s="42" t="s">
        <v>68</v>
      </c>
      <c r="I14" s="43" t="s">
        <v>68</v>
      </c>
      <c r="J14" s="43" t="s">
        <v>68</v>
      </c>
      <c r="K14" s="43"/>
      <c r="L14" s="43" t="s">
        <v>69</v>
      </c>
      <c r="M14" s="43">
        <v>3</v>
      </c>
      <c r="N14" s="43">
        <v>3</v>
      </c>
      <c r="O14" s="43" t="s">
        <v>69</v>
      </c>
      <c r="P14" s="43">
        <v>4</v>
      </c>
      <c r="Q14" s="43">
        <v>4</v>
      </c>
      <c r="R14" s="43" t="s">
        <v>69</v>
      </c>
      <c r="S14" s="43">
        <v>5</v>
      </c>
      <c r="T14" s="43">
        <v>5</v>
      </c>
      <c r="U14" s="42" t="s">
        <v>4994</v>
      </c>
      <c r="V14" s="42">
        <v>106.75</v>
      </c>
      <c r="W14" s="42">
        <v>106.75</v>
      </c>
      <c r="X14" s="42" t="s">
        <v>5003</v>
      </c>
      <c r="Y14" s="42" t="s">
        <v>5004</v>
      </c>
      <c r="Z14" s="43" t="s">
        <v>4743</v>
      </c>
      <c r="AA14" s="43" t="s">
        <v>4742</v>
      </c>
      <c r="AB14" s="45"/>
      <c r="AC14" s="42" t="s">
        <v>4684</v>
      </c>
      <c r="AD14" s="42" t="s">
        <v>4685</v>
      </c>
      <c r="AE14" s="42" t="s">
        <v>4686</v>
      </c>
      <c r="AF14" s="42" t="s">
        <v>88</v>
      </c>
      <c r="AG14" s="42" t="s">
        <v>4685</v>
      </c>
      <c r="AH14" t="s">
        <v>4994</v>
      </c>
      <c r="AI14" s="42" t="s">
        <v>4959</v>
      </c>
      <c r="AJ14" s="42" t="s">
        <v>4997</v>
      </c>
      <c r="AK14" s="45"/>
      <c r="AL14" s="42" t="s">
        <v>4998</v>
      </c>
      <c r="AM14" s="43">
        <v>106.75</v>
      </c>
      <c r="AN14" s="43">
        <v>106.75</v>
      </c>
      <c r="AO14" s="43" t="s">
        <v>70</v>
      </c>
      <c r="AP14" s="45"/>
      <c r="AQ14" s="43">
        <v>1</v>
      </c>
      <c r="AR14" s="42" t="s">
        <v>5005</v>
      </c>
      <c r="AU14" s="64"/>
      <c r="AV14" s="64">
        <v>62</v>
      </c>
      <c r="AW14" s="64" t="s">
        <v>4955</v>
      </c>
      <c r="AX14" s="64" t="s">
        <v>4744</v>
      </c>
      <c r="AY14" s="66" t="s">
        <v>478</v>
      </c>
      <c r="AZ14" s="66" t="s">
        <v>88</v>
      </c>
      <c r="BA14" s="64">
        <v>106.75</v>
      </c>
      <c r="BB14" s="64">
        <v>106.75</v>
      </c>
      <c r="BC14" s="64" t="s">
        <v>5003</v>
      </c>
      <c r="BD14" s="64" t="s">
        <v>5004</v>
      </c>
      <c r="BE14" s="64" t="s">
        <v>5003</v>
      </c>
      <c r="BF14" s="64" t="s">
        <v>5004</v>
      </c>
      <c r="BG14" s="64" t="s">
        <v>4963</v>
      </c>
      <c r="BH14" s="64" t="s">
        <v>4994</v>
      </c>
      <c r="BI14" s="64" t="s">
        <v>4768</v>
      </c>
      <c r="BJ14" s="64" t="s">
        <v>4954</v>
      </c>
      <c r="BK14" s="64" t="s">
        <v>474</v>
      </c>
      <c r="BL14" s="64" t="s">
        <v>474</v>
      </c>
      <c r="BM14" s="66" t="s">
        <v>1256</v>
      </c>
      <c r="BN14" s="66" t="s">
        <v>1468</v>
      </c>
      <c r="BO14" s="66" t="s">
        <v>1468</v>
      </c>
      <c r="BP14" s="66" t="s">
        <v>1474</v>
      </c>
      <c r="BQ14" s="66" t="s">
        <v>1479</v>
      </c>
      <c r="BR14" s="79"/>
      <c r="BS14" s="64">
        <v>3.2000000000000001E-2</v>
      </c>
      <c r="BT14" s="66">
        <v>25</v>
      </c>
      <c r="BU14" s="79"/>
      <c r="BV14" s="79"/>
      <c r="BW14" s="79"/>
      <c r="BX14" s="79"/>
      <c r="BY14" s="79"/>
      <c r="BZ14" s="79"/>
      <c r="CA14" s="64"/>
      <c r="CB14" s="79"/>
      <c r="CC14" s="79"/>
      <c r="CD14" s="79"/>
      <c r="CE14" s="79"/>
      <c r="CF14" s="79"/>
      <c r="CG14" s="79"/>
      <c r="CH14" s="79"/>
      <c r="CI14" s="79"/>
      <c r="CJ14" s="79"/>
      <c r="CK14" s="79"/>
      <c r="CL14" s="79"/>
      <c r="CM14" s="79"/>
      <c r="CN14" s="79"/>
      <c r="CO14" s="79"/>
      <c r="CP14" s="79"/>
      <c r="CQ14" s="79"/>
      <c r="CR14" s="79"/>
      <c r="CS14" s="79"/>
      <c r="CT14" s="79"/>
      <c r="CU14" s="79"/>
      <c r="CV14" s="79"/>
      <c r="CW14" s="79"/>
      <c r="CX14" s="79"/>
      <c r="CY14" s="79"/>
      <c r="CZ14" s="79"/>
      <c r="DA14" s="79"/>
      <c r="DB14" s="79"/>
      <c r="DC14" s="79"/>
      <c r="DD14" s="79"/>
      <c r="DE14" s="79"/>
      <c r="DF14" s="79"/>
      <c r="DG14" s="79"/>
      <c r="DH14" s="79"/>
      <c r="DI14" s="79"/>
      <c r="DJ14" s="79"/>
      <c r="DK14" s="79"/>
      <c r="DL14" s="79"/>
      <c r="DM14" s="79"/>
      <c r="DN14" s="79"/>
      <c r="DO14" s="79"/>
      <c r="DP14" s="79"/>
      <c r="DQ14" s="79"/>
      <c r="DR14" s="79"/>
      <c r="DS14" s="79"/>
      <c r="DT14" s="79"/>
      <c r="DU14" s="79"/>
      <c r="DV14" s="79"/>
      <c r="DW14" s="79"/>
      <c r="DX14" s="79"/>
      <c r="DY14" s="78"/>
    </row>
    <row r="15" spans="1:129" x14ac:dyDescent="0.35">
      <c r="A15" s="42" t="s">
        <v>4743</v>
      </c>
      <c r="B15" s="42" t="s">
        <v>4771</v>
      </c>
      <c r="C15" s="42" t="s">
        <v>88</v>
      </c>
      <c r="D15" s="43" t="s">
        <v>89</v>
      </c>
      <c r="E15" s="45"/>
      <c r="F15" s="44" t="s">
        <v>4770</v>
      </c>
      <c r="G15" s="42" t="s">
        <v>4955</v>
      </c>
      <c r="H15" s="42" t="s">
        <v>68</v>
      </c>
      <c r="I15" s="43" t="s">
        <v>68</v>
      </c>
      <c r="J15" s="43" t="s">
        <v>68</v>
      </c>
      <c r="K15" s="43"/>
      <c r="L15" s="43" t="s">
        <v>69</v>
      </c>
      <c r="M15" s="43">
        <v>3</v>
      </c>
      <c r="N15" s="43">
        <v>3</v>
      </c>
      <c r="O15" s="43" t="s">
        <v>69</v>
      </c>
      <c r="P15" s="43">
        <v>4</v>
      </c>
      <c r="Q15" s="43">
        <v>4</v>
      </c>
      <c r="R15" s="43" t="s">
        <v>69</v>
      </c>
      <c r="S15" s="43">
        <v>5</v>
      </c>
      <c r="T15" s="43">
        <v>5</v>
      </c>
      <c r="U15" s="42" t="s">
        <v>4994</v>
      </c>
      <c r="V15" s="42">
        <v>106.75</v>
      </c>
      <c r="W15" s="42">
        <v>106.75</v>
      </c>
      <c r="X15" s="42" t="s">
        <v>5006</v>
      </c>
      <c r="Y15" s="42" t="s">
        <v>5007</v>
      </c>
      <c r="Z15" s="43" t="s">
        <v>4743</v>
      </c>
      <c r="AA15" s="43" t="s">
        <v>4742</v>
      </c>
      <c r="AB15" s="45"/>
      <c r="AC15" s="42" t="s">
        <v>4684</v>
      </c>
      <c r="AD15" s="42" t="s">
        <v>4685</v>
      </c>
      <c r="AE15" s="42" t="s">
        <v>4686</v>
      </c>
      <c r="AF15" s="42" t="s">
        <v>88</v>
      </c>
      <c r="AG15" s="42" t="s">
        <v>4685</v>
      </c>
      <c r="AH15" t="s">
        <v>4994</v>
      </c>
      <c r="AI15" s="42" t="s">
        <v>4959</v>
      </c>
      <c r="AJ15" s="42" t="s">
        <v>4997</v>
      </c>
      <c r="AK15" s="45"/>
      <c r="AL15" s="42" t="s">
        <v>4998</v>
      </c>
      <c r="AM15" s="43">
        <v>106.75</v>
      </c>
      <c r="AN15" s="43">
        <v>106.75</v>
      </c>
      <c r="AO15" s="43" t="s">
        <v>70</v>
      </c>
      <c r="AP15" s="45"/>
      <c r="AQ15" s="43">
        <v>1</v>
      </c>
      <c r="AR15" s="42" t="s">
        <v>5008</v>
      </c>
      <c r="AU15" s="64"/>
      <c r="AV15" s="64">
        <v>62</v>
      </c>
      <c r="AW15" s="64" t="s">
        <v>4955</v>
      </c>
      <c r="AX15" s="64" t="s">
        <v>4744</v>
      </c>
      <c r="AY15" s="66" t="s">
        <v>478</v>
      </c>
      <c r="AZ15" s="66" t="s">
        <v>88</v>
      </c>
      <c r="BA15" s="64">
        <v>106.75</v>
      </c>
      <c r="BB15" s="64">
        <v>106.75</v>
      </c>
      <c r="BC15" s="64" t="s">
        <v>5006</v>
      </c>
      <c r="BD15" s="64" t="s">
        <v>5007</v>
      </c>
      <c r="BE15" s="64" t="s">
        <v>5006</v>
      </c>
      <c r="BF15" s="64" t="s">
        <v>5007</v>
      </c>
      <c r="BG15" s="64" t="s">
        <v>4963</v>
      </c>
      <c r="BH15" s="64" t="s">
        <v>4994</v>
      </c>
      <c r="BI15" s="64" t="s">
        <v>4770</v>
      </c>
      <c r="BJ15" s="64" t="s">
        <v>4954</v>
      </c>
      <c r="BK15" s="64" t="s">
        <v>474</v>
      </c>
      <c r="BL15" s="64" t="s">
        <v>474</v>
      </c>
      <c r="BM15" s="66" t="s">
        <v>1256</v>
      </c>
      <c r="BN15" s="66" t="s">
        <v>1468</v>
      </c>
      <c r="BO15" s="66" t="s">
        <v>1468</v>
      </c>
      <c r="BP15" s="66" t="s">
        <v>1474</v>
      </c>
      <c r="BQ15" s="66" t="s">
        <v>1479</v>
      </c>
      <c r="BR15" s="79"/>
      <c r="BS15" s="64">
        <v>3.2000000000000001E-2</v>
      </c>
      <c r="BT15" s="66">
        <v>25</v>
      </c>
      <c r="BU15" s="79"/>
      <c r="BV15" s="79"/>
      <c r="BW15" s="79"/>
      <c r="BX15" s="79"/>
      <c r="BY15" s="79"/>
      <c r="BZ15" s="79"/>
      <c r="CA15" s="64"/>
      <c r="CB15" s="79"/>
      <c r="CC15" s="79"/>
      <c r="CD15" s="79"/>
      <c r="CE15" s="79"/>
      <c r="CF15" s="79"/>
      <c r="CG15" s="79"/>
      <c r="CH15" s="79"/>
      <c r="CI15" s="79"/>
      <c r="CJ15" s="79"/>
      <c r="CK15" s="79"/>
      <c r="CL15" s="79"/>
      <c r="CM15" s="79"/>
      <c r="CN15" s="79"/>
      <c r="CO15" s="79"/>
      <c r="CP15" s="79"/>
      <c r="CQ15" s="79"/>
      <c r="CR15" s="79"/>
      <c r="CS15" s="79"/>
      <c r="CT15" s="79"/>
      <c r="CU15" s="79"/>
      <c r="CV15" s="79"/>
      <c r="CW15" s="79"/>
      <c r="CX15" s="79"/>
      <c r="CY15" s="79"/>
      <c r="CZ15" s="79"/>
      <c r="DA15" s="79"/>
      <c r="DB15" s="79"/>
      <c r="DC15" s="79"/>
      <c r="DD15" s="79"/>
      <c r="DE15" s="79"/>
      <c r="DF15" s="79"/>
      <c r="DG15" s="79"/>
      <c r="DH15" s="79"/>
      <c r="DI15" s="79"/>
      <c r="DJ15" s="79"/>
      <c r="DK15" s="79"/>
      <c r="DL15" s="79"/>
      <c r="DM15" s="79"/>
      <c r="DN15" s="79"/>
      <c r="DO15" s="79"/>
      <c r="DP15" s="79"/>
      <c r="DQ15" s="79"/>
      <c r="DR15" s="79"/>
      <c r="DS15" s="79"/>
      <c r="DT15" s="79"/>
      <c r="DU15" s="79"/>
      <c r="DV15" s="79"/>
      <c r="DW15" s="79"/>
      <c r="DX15" s="79"/>
      <c r="DY15" s="78"/>
    </row>
    <row r="16" spans="1:129" x14ac:dyDescent="0.35">
      <c r="A16" s="42" t="s">
        <v>4743</v>
      </c>
      <c r="B16" s="42" t="s">
        <v>5009</v>
      </c>
      <c r="C16" s="42" t="s">
        <v>90</v>
      </c>
      <c r="D16" s="43" t="s">
        <v>91</v>
      </c>
      <c r="F16" s="44" t="s">
        <v>5010</v>
      </c>
      <c r="G16" s="42" t="s">
        <v>4955</v>
      </c>
      <c r="H16" s="42" t="s">
        <v>68</v>
      </c>
      <c r="I16" s="43" t="s">
        <v>68</v>
      </c>
      <c r="J16" s="43" t="s">
        <v>68</v>
      </c>
      <c r="K16" s="43"/>
      <c r="L16" s="43" t="s">
        <v>69</v>
      </c>
      <c r="M16" s="43">
        <v>3</v>
      </c>
      <c r="N16" s="43">
        <v>3</v>
      </c>
      <c r="O16" s="43" t="s">
        <v>69</v>
      </c>
      <c r="P16" s="43">
        <v>4</v>
      </c>
      <c r="Q16" s="43">
        <v>4</v>
      </c>
      <c r="R16" s="43" t="s">
        <v>69</v>
      </c>
      <c r="S16" s="43">
        <v>5</v>
      </c>
      <c r="T16" s="43">
        <v>5</v>
      </c>
      <c r="U16" s="42" t="s">
        <v>5011</v>
      </c>
      <c r="V16" s="42">
        <v>106.72</v>
      </c>
      <c r="W16" s="42">
        <v>106.72</v>
      </c>
      <c r="X16" s="42" t="s">
        <v>5012</v>
      </c>
      <c r="Y16" s="42" t="s">
        <v>5013</v>
      </c>
      <c r="Z16" s="43" t="s">
        <v>4743</v>
      </c>
      <c r="AA16" s="43" t="s">
        <v>4742</v>
      </c>
      <c r="AC16" s="42" t="s">
        <v>4684</v>
      </c>
      <c r="AD16" s="42" t="s">
        <v>4685</v>
      </c>
      <c r="AE16" s="42" t="s">
        <v>4686</v>
      </c>
      <c r="AF16" s="42" t="s">
        <v>90</v>
      </c>
      <c r="AG16" s="42" t="s">
        <v>4685</v>
      </c>
      <c r="AH16" t="s">
        <v>5011</v>
      </c>
      <c r="AI16" s="42" t="s">
        <v>4959</v>
      </c>
      <c r="AJ16" s="42" t="s">
        <v>5014</v>
      </c>
      <c r="AL16" s="42" t="s">
        <v>5015</v>
      </c>
      <c r="AM16" s="43">
        <v>106.72</v>
      </c>
      <c r="AN16" s="43">
        <v>106.72</v>
      </c>
      <c r="AO16" s="43" t="s">
        <v>70</v>
      </c>
      <c r="AQ16" s="43">
        <v>1</v>
      </c>
      <c r="AR16" s="42" t="s">
        <v>5016</v>
      </c>
      <c r="AU16" s="64"/>
      <c r="AV16" s="64">
        <v>62</v>
      </c>
      <c r="AW16" s="64" t="s">
        <v>4955</v>
      </c>
      <c r="AX16" s="64" t="s">
        <v>4744</v>
      </c>
      <c r="AY16" s="66" t="s">
        <v>478</v>
      </c>
      <c r="AZ16" s="66" t="s">
        <v>90</v>
      </c>
      <c r="BA16" s="64">
        <v>106.72</v>
      </c>
      <c r="BB16" s="64">
        <v>106.72</v>
      </c>
      <c r="BC16" s="64" t="s">
        <v>5012</v>
      </c>
      <c r="BD16" s="64" t="s">
        <v>5013</v>
      </c>
      <c r="BE16" s="64" t="s">
        <v>5012</v>
      </c>
      <c r="BF16" s="64" t="s">
        <v>5013</v>
      </c>
      <c r="BG16" s="64" t="s">
        <v>4963</v>
      </c>
      <c r="BH16" s="64" t="s">
        <v>5011</v>
      </c>
      <c r="BI16" s="64" t="s">
        <v>5010</v>
      </c>
      <c r="BJ16" s="64" t="s">
        <v>4954</v>
      </c>
      <c r="BK16" s="64" t="s">
        <v>474</v>
      </c>
      <c r="BL16" s="64" t="s">
        <v>474</v>
      </c>
      <c r="BM16" s="66" t="s">
        <v>1275</v>
      </c>
      <c r="BN16" s="66" t="s">
        <v>1468</v>
      </c>
      <c r="BO16" s="66" t="s">
        <v>1468</v>
      </c>
      <c r="BP16" s="66" t="s">
        <v>1474</v>
      </c>
      <c r="BQ16" s="66" t="s">
        <v>1479</v>
      </c>
      <c r="BR16" s="79"/>
      <c r="BS16" s="64">
        <v>0.02</v>
      </c>
      <c r="BT16" s="66">
        <v>30</v>
      </c>
      <c r="BU16" s="79"/>
      <c r="BV16" s="79"/>
      <c r="BW16" s="79"/>
      <c r="BX16" s="79"/>
      <c r="BY16" s="64">
        <v>1.498</v>
      </c>
      <c r="BZ16" s="79"/>
      <c r="CA16" s="79"/>
      <c r="CB16" s="79"/>
      <c r="CC16" s="79"/>
      <c r="CD16" s="64" t="s">
        <v>474</v>
      </c>
      <c r="CE16" s="79"/>
      <c r="CF16" s="79"/>
      <c r="CG16" s="79"/>
      <c r="CH16" s="79"/>
      <c r="CI16" s="79"/>
      <c r="CJ16" s="79"/>
      <c r="CK16" s="79"/>
      <c r="CL16" s="79"/>
      <c r="CM16" s="79"/>
      <c r="CN16" s="79"/>
      <c r="CO16" s="79"/>
      <c r="CP16" s="79"/>
      <c r="CQ16" s="79"/>
      <c r="CR16" s="79"/>
      <c r="CS16" s="79"/>
      <c r="CT16" s="79"/>
      <c r="CU16" s="79"/>
      <c r="CV16" s="79"/>
      <c r="CW16" s="79"/>
      <c r="CX16" s="79"/>
      <c r="CY16" s="79"/>
      <c r="CZ16" s="79"/>
      <c r="DA16" s="79"/>
      <c r="DB16" s="79"/>
      <c r="DC16" s="79"/>
      <c r="DD16" s="79"/>
      <c r="DE16" s="79"/>
      <c r="DF16" s="79"/>
      <c r="DG16" s="79"/>
      <c r="DH16" s="79"/>
      <c r="DI16" s="79"/>
      <c r="DJ16" s="79"/>
      <c r="DK16" s="79"/>
      <c r="DL16" s="79"/>
      <c r="DM16" s="79"/>
      <c r="DN16" s="79"/>
      <c r="DO16" s="79"/>
      <c r="DP16" s="79"/>
      <c r="DQ16" s="79"/>
      <c r="DR16" s="79"/>
      <c r="DS16" s="79"/>
      <c r="DT16" s="79"/>
      <c r="DU16" s="79"/>
      <c r="DV16" s="79"/>
      <c r="DW16" s="79"/>
      <c r="DX16" s="79"/>
      <c r="DY16" s="78"/>
    </row>
    <row r="17" spans="1:129" x14ac:dyDescent="0.35">
      <c r="A17" s="42" t="s">
        <v>4743</v>
      </c>
      <c r="B17" s="42" t="s">
        <v>5017</v>
      </c>
      <c r="C17" s="42" t="s">
        <v>90</v>
      </c>
      <c r="D17" s="43" t="s">
        <v>91</v>
      </c>
      <c r="F17" s="44" t="s">
        <v>5018</v>
      </c>
      <c r="G17" s="42" t="s">
        <v>4955</v>
      </c>
      <c r="H17" s="42" t="s">
        <v>68</v>
      </c>
      <c r="I17" s="43" t="s">
        <v>68</v>
      </c>
      <c r="J17" s="43" t="s">
        <v>68</v>
      </c>
      <c r="K17" s="43"/>
      <c r="L17" s="43" t="s">
        <v>69</v>
      </c>
      <c r="M17" s="43">
        <v>3</v>
      </c>
      <c r="N17" s="43">
        <v>3</v>
      </c>
      <c r="O17" s="43" t="s">
        <v>69</v>
      </c>
      <c r="P17" s="43">
        <v>4</v>
      </c>
      <c r="Q17" s="43">
        <v>4</v>
      </c>
      <c r="R17" s="43" t="s">
        <v>69</v>
      </c>
      <c r="S17" s="43">
        <v>5</v>
      </c>
      <c r="T17" s="43">
        <v>5</v>
      </c>
      <c r="U17" s="42" t="s">
        <v>5011</v>
      </c>
      <c r="V17" s="42">
        <v>106.72</v>
      </c>
      <c r="W17" s="42">
        <v>106.73</v>
      </c>
      <c r="X17" s="42" t="s">
        <v>5019</v>
      </c>
      <c r="Y17" s="42" t="s">
        <v>5020</v>
      </c>
      <c r="Z17" s="43" t="s">
        <v>4743</v>
      </c>
      <c r="AA17" s="43" t="s">
        <v>4742</v>
      </c>
      <c r="AC17" s="42" t="s">
        <v>4684</v>
      </c>
      <c r="AD17" s="42" t="s">
        <v>4685</v>
      </c>
      <c r="AE17" s="42" t="s">
        <v>4686</v>
      </c>
      <c r="AF17" s="42" t="s">
        <v>90</v>
      </c>
      <c r="AG17" s="42" t="s">
        <v>4685</v>
      </c>
      <c r="AH17" t="s">
        <v>5011</v>
      </c>
      <c r="AI17" s="42" t="s">
        <v>4959</v>
      </c>
      <c r="AJ17" s="42" t="s">
        <v>5014</v>
      </c>
      <c r="AL17" s="42" t="s">
        <v>5015</v>
      </c>
      <c r="AM17" s="43">
        <v>106.72</v>
      </c>
      <c r="AN17" s="43">
        <v>106.73</v>
      </c>
      <c r="AO17" s="43" t="s">
        <v>70</v>
      </c>
      <c r="AQ17" s="43">
        <v>1</v>
      </c>
      <c r="AR17" s="42" t="s">
        <v>5021</v>
      </c>
      <c r="AU17" s="64"/>
      <c r="AV17" s="64">
        <v>62</v>
      </c>
      <c r="AW17" s="64" t="s">
        <v>4955</v>
      </c>
      <c r="AX17" s="64" t="s">
        <v>4744</v>
      </c>
      <c r="AY17" s="66" t="s">
        <v>478</v>
      </c>
      <c r="AZ17" s="66" t="s">
        <v>90</v>
      </c>
      <c r="BA17" s="64">
        <v>106.72</v>
      </c>
      <c r="BB17" s="64">
        <v>106.73</v>
      </c>
      <c r="BC17" s="64" t="s">
        <v>5019</v>
      </c>
      <c r="BD17" s="64" t="s">
        <v>5020</v>
      </c>
      <c r="BE17" s="64" t="s">
        <v>5019</v>
      </c>
      <c r="BF17" s="64" t="s">
        <v>5020</v>
      </c>
      <c r="BG17" s="64" t="s">
        <v>4963</v>
      </c>
      <c r="BH17" s="64" t="s">
        <v>5011</v>
      </c>
      <c r="BI17" s="64" t="s">
        <v>5018</v>
      </c>
      <c r="BJ17" s="64" t="s">
        <v>4954</v>
      </c>
      <c r="BK17" s="64" t="s">
        <v>474</v>
      </c>
      <c r="BL17" s="64" t="s">
        <v>474</v>
      </c>
      <c r="BM17" s="66" t="s">
        <v>1275</v>
      </c>
      <c r="BN17" s="66" t="s">
        <v>1468</v>
      </c>
      <c r="BO17" s="66" t="s">
        <v>1468</v>
      </c>
      <c r="BP17" s="66" t="s">
        <v>1474</v>
      </c>
      <c r="BQ17" s="66" t="s">
        <v>1479</v>
      </c>
      <c r="BR17" s="79"/>
      <c r="BS17" s="64">
        <v>0.02</v>
      </c>
      <c r="BT17" s="66">
        <v>30</v>
      </c>
      <c r="BU17" s="79"/>
      <c r="BV17" s="79"/>
      <c r="BW17" s="79"/>
      <c r="BX17" s="79"/>
      <c r="BY17" s="64">
        <v>1.498</v>
      </c>
      <c r="BZ17" s="79"/>
      <c r="CA17" s="79"/>
      <c r="CB17" s="79"/>
      <c r="CC17" s="79"/>
      <c r="CD17" s="64" t="s">
        <v>474</v>
      </c>
      <c r="CE17" s="79"/>
      <c r="CF17" s="79"/>
      <c r="CG17" s="79"/>
      <c r="CH17" s="79"/>
      <c r="CI17" s="79"/>
      <c r="CJ17" s="79"/>
      <c r="CK17" s="79"/>
      <c r="CL17" s="79"/>
      <c r="CM17" s="79"/>
      <c r="CN17" s="79"/>
      <c r="CO17" s="79"/>
      <c r="CP17" s="79"/>
      <c r="CQ17" s="79"/>
      <c r="CR17" s="79"/>
      <c r="CS17" s="79"/>
      <c r="CT17" s="79"/>
      <c r="CU17" s="79"/>
      <c r="CV17" s="79"/>
      <c r="CW17" s="79"/>
      <c r="CX17" s="79"/>
      <c r="CY17" s="79"/>
      <c r="CZ17" s="79"/>
      <c r="DA17" s="79"/>
      <c r="DB17" s="79"/>
      <c r="DC17" s="79"/>
      <c r="DD17" s="79"/>
      <c r="DE17" s="79"/>
      <c r="DF17" s="79"/>
      <c r="DG17" s="79"/>
      <c r="DH17" s="79"/>
      <c r="DI17" s="79"/>
      <c r="DJ17" s="79"/>
      <c r="DK17" s="79"/>
      <c r="DL17" s="79"/>
      <c r="DM17" s="79"/>
      <c r="DN17" s="79"/>
      <c r="DO17" s="79"/>
      <c r="DP17" s="79"/>
      <c r="DQ17" s="79"/>
      <c r="DR17" s="79"/>
      <c r="DS17" s="79"/>
      <c r="DT17" s="79"/>
      <c r="DU17" s="79"/>
      <c r="DV17" s="79"/>
      <c r="DW17" s="79"/>
      <c r="DX17" s="79"/>
      <c r="DY17" s="78"/>
    </row>
    <row r="18" spans="1:129" x14ac:dyDescent="0.35">
      <c r="A18" s="42" t="s">
        <v>4743</v>
      </c>
      <c r="B18" s="42" t="s">
        <v>5022</v>
      </c>
      <c r="C18" s="42" t="s">
        <v>90</v>
      </c>
      <c r="D18" s="43" t="s">
        <v>91</v>
      </c>
      <c r="F18" s="44" t="s">
        <v>5023</v>
      </c>
      <c r="G18" s="42" t="s">
        <v>4955</v>
      </c>
      <c r="H18" s="42" t="s">
        <v>68</v>
      </c>
      <c r="I18" s="43" t="s">
        <v>68</v>
      </c>
      <c r="J18" s="43" t="s">
        <v>68</v>
      </c>
      <c r="K18" s="43"/>
      <c r="L18" s="43" t="s">
        <v>69</v>
      </c>
      <c r="M18" s="43">
        <v>3</v>
      </c>
      <c r="N18" s="43">
        <v>3</v>
      </c>
      <c r="O18" s="43" t="s">
        <v>69</v>
      </c>
      <c r="P18" s="43">
        <v>4</v>
      </c>
      <c r="Q18" s="43">
        <v>4</v>
      </c>
      <c r="R18" s="43" t="s">
        <v>69</v>
      </c>
      <c r="S18" s="43">
        <v>5</v>
      </c>
      <c r="T18" s="43">
        <v>5</v>
      </c>
      <c r="U18" s="42" t="s">
        <v>5011</v>
      </c>
      <c r="V18" s="42">
        <v>106.72</v>
      </c>
      <c r="W18" s="42">
        <v>106.72</v>
      </c>
      <c r="X18" s="42" t="s">
        <v>5024</v>
      </c>
      <c r="Y18" s="42" t="s">
        <v>5025</v>
      </c>
      <c r="Z18" s="43" t="s">
        <v>4743</v>
      </c>
      <c r="AA18" s="43" t="s">
        <v>4742</v>
      </c>
      <c r="AC18" s="42" t="s">
        <v>4684</v>
      </c>
      <c r="AD18" s="42" t="s">
        <v>4685</v>
      </c>
      <c r="AE18" s="42" t="s">
        <v>4686</v>
      </c>
      <c r="AF18" s="42" t="s">
        <v>90</v>
      </c>
      <c r="AG18" s="42" t="s">
        <v>4685</v>
      </c>
      <c r="AH18" t="s">
        <v>5011</v>
      </c>
      <c r="AI18" s="42" t="s">
        <v>4959</v>
      </c>
      <c r="AJ18" s="42" t="s">
        <v>5014</v>
      </c>
      <c r="AL18" s="42" t="s">
        <v>5015</v>
      </c>
      <c r="AM18" s="43">
        <v>106.72</v>
      </c>
      <c r="AN18" s="43">
        <v>106.72</v>
      </c>
      <c r="AO18" s="43" t="s">
        <v>70</v>
      </c>
      <c r="AQ18" s="43">
        <v>1</v>
      </c>
      <c r="AR18" s="42" t="s">
        <v>5026</v>
      </c>
      <c r="AU18" s="64"/>
      <c r="AV18" s="64">
        <v>62</v>
      </c>
      <c r="AW18" s="64" t="s">
        <v>4955</v>
      </c>
      <c r="AX18" s="64" t="s">
        <v>4744</v>
      </c>
      <c r="AY18" s="66" t="s">
        <v>478</v>
      </c>
      <c r="AZ18" s="66" t="s">
        <v>90</v>
      </c>
      <c r="BA18" s="64">
        <v>106.72</v>
      </c>
      <c r="BB18" s="64">
        <v>106.72</v>
      </c>
      <c r="BC18" s="64" t="s">
        <v>5024</v>
      </c>
      <c r="BD18" s="64" t="s">
        <v>5025</v>
      </c>
      <c r="BE18" s="64" t="s">
        <v>5024</v>
      </c>
      <c r="BF18" s="64" t="s">
        <v>5025</v>
      </c>
      <c r="BG18" s="64" t="s">
        <v>4963</v>
      </c>
      <c r="BH18" s="64" t="s">
        <v>5011</v>
      </c>
      <c r="BI18" s="64" t="s">
        <v>5023</v>
      </c>
      <c r="BJ18" s="64" t="s">
        <v>4954</v>
      </c>
      <c r="BK18" s="64" t="s">
        <v>474</v>
      </c>
      <c r="BL18" s="64" t="s">
        <v>474</v>
      </c>
      <c r="BM18" s="66" t="s">
        <v>1275</v>
      </c>
      <c r="BN18" s="66" t="s">
        <v>1468</v>
      </c>
      <c r="BO18" s="66" t="s">
        <v>1468</v>
      </c>
      <c r="BP18" s="66" t="s">
        <v>1474</v>
      </c>
      <c r="BQ18" s="66" t="s">
        <v>1479</v>
      </c>
      <c r="BR18" s="79"/>
      <c r="BS18" s="64">
        <v>0.02</v>
      </c>
      <c r="BT18" s="66">
        <v>30</v>
      </c>
      <c r="BU18" s="79"/>
      <c r="BV18" s="79"/>
      <c r="BW18" s="79"/>
      <c r="BX18" s="79"/>
      <c r="BY18" s="64">
        <v>1.498</v>
      </c>
      <c r="BZ18" s="79"/>
      <c r="CA18" s="79"/>
      <c r="CB18" s="79"/>
      <c r="CC18" s="79"/>
      <c r="CD18" s="64" t="s">
        <v>474</v>
      </c>
      <c r="CE18" s="79"/>
      <c r="CF18" s="79"/>
      <c r="CG18" s="79"/>
      <c r="CH18" s="79"/>
      <c r="CI18" s="79"/>
      <c r="CJ18" s="79"/>
      <c r="CK18" s="79"/>
      <c r="CL18" s="79"/>
      <c r="CM18" s="79"/>
      <c r="CN18" s="79"/>
      <c r="CO18" s="79"/>
      <c r="CP18" s="79"/>
      <c r="CQ18" s="79"/>
      <c r="CR18" s="79"/>
      <c r="CS18" s="79"/>
      <c r="CT18" s="79"/>
      <c r="CU18" s="79"/>
      <c r="CV18" s="79"/>
      <c r="CW18" s="79"/>
      <c r="CX18" s="79"/>
      <c r="CY18" s="79"/>
      <c r="CZ18" s="79"/>
      <c r="DA18" s="79"/>
      <c r="DB18" s="79"/>
      <c r="DC18" s="79"/>
      <c r="DD18" s="79"/>
      <c r="DE18" s="79"/>
      <c r="DF18" s="79"/>
      <c r="DG18" s="79"/>
      <c r="DH18" s="79"/>
      <c r="DI18" s="79"/>
      <c r="DJ18" s="79"/>
      <c r="DK18" s="79"/>
      <c r="DL18" s="79"/>
      <c r="DM18" s="79"/>
      <c r="DN18" s="79"/>
      <c r="DO18" s="79"/>
      <c r="DP18" s="79"/>
      <c r="DQ18" s="79"/>
      <c r="DR18" s="79"/>
      <c r="DS18" s="79"/>
      <c r="DT18" s="79"/>
      <c r="DU18" s="79"/>
      <c r="DV18" s="79"/>
      <c r="DW18" s="79"/>
      <c r="DX18" s="79"/>
      <c r="DY18" s="78"/>
    </row>
    <row r="19" spans="1:129" x14ac:dyDescent="0.35">
      <c r="A19" s="42" t="s">
        <v>4743</v>
      </c>
      <c r="B19" s="42" t="s">
        <v>5027</v>
      </c>
      <c r="C19" s="42" t="s">
        <v>90</v>
      </c>
      <c r="D19" s="43" t="s">
        <v>91</v>
      </c>
      <c r="F19" s="44" t="s">
        <v>5028</v>
      </c>
      <c r="G19" s="42" t="s">
        <v>4955</v>
      </c>
      <c r="H19" s="42" t="s">
        <v>68</v>
      </c>
      <c r="I19" s="43" t="s">
        <v>68</v>
      </c>
      <c r="J19" s="43" t="s">
        <v>68</v>
      </c>
      <c r="K19" s="43"/>
      <c r="L19" s="43" t="s">
        <v>69</v>
      </c>
      <c r="M19" s="43">
        <v>3</v>
      </c>
      <c r="N19" s="43">
        <v>3</v>
      </c>
      <c r="O19" s="43" t="s">
        <v>69</v>
      </c>
      <c r="P19" s="43">
        <v>4</v>
      </c>
      <c r="Q19" s="43">
        <v>4</v>
      </c>
      <c r="R19" s="43" t="s">
        <v>69</v>
      </c>
      <c r="S19" s="43">
        <v>5</v>
      </c>
      <c r="T19" s="43">
        <v>5</v>
      </c>
      <c r="U19" s="42" t="s">
        <v>5011</v>
      </c>
      <c r="V19" s="42">
        <v>106.76</v>
      </c>
      <c r="W19" s="42">
        <v>106.76</v>
      </c>
      <c r="X19" s="42" t="s">
        <v>5029</v>
      </c>
      <c r="Y19" s="42" t="s">
        <v>5030</v>
      </c>
      <c r="Z19" s="43" t="s">
        <v>4743</v>
      </c>
      <c r="AA19" s="43" t="s">
        <v>4742</v>
      </c>
      <c r="AC19" s="42" t="s">
        <v>4684</v>
      </c>
      <c r="AD19" s="42" t="s">
        <v>4685</v>
      </c>
      <c r="AE19" s="42" t="s">
        <v>4686</v>
      </c>
      <c r="AF19" s="42" t="s">
        <v>90</v>
      </c>
      <c r="AG19" s="42" t="s">
        <v>4685</v>
      </c>
      <c r="AH19" t="s">
        <v>5011</v>
      </c>
      <c r="AI19" s="42" t="s">
        <v>4959</v>
      </c>
      <c r="AJ19" s="42" t="s">
        <v>5014</v>
      </c>
      <c r="AL19" s="42" t="s">
        <v>5015</v>
      </c>
      <c r="AM19" s="43">
        <v>106.76</v>
      </c>
      <c r="AN19" s="43">
        <v>106.76</v>
      </c>
      <c r="AO19" s="43" t="s">
        <v>70</v>
      </c>
      <c r="AQ19" s="43">
        <v>1</v>
      </c>
      <c r="AR19" s="42" t="s">
        <v>5031</v>
      </c>
      <c r="AU19" s="64"/>
      <c r="AV19" s="64">
        <v>62</v>
      </c>
      <c r="AW19" s="64" t="s">
        <v>4955</v>
      </c>
      <c r="AX19" s="64" t="s">
        <v>4744</v>
      </c>
      <c r="AY19" s="66" t="s">
        <v>478</v>
      </c>
      <c r="AZ19" s="66" t="s">
        <v>90</v>
      </c>
      <c r="BA19" s="64">
        <v>106.76</v>
      </c>
      <c r="BB19" s="64">
        <v>106.76</v>
      </c>
      <c r="BC19" s="64" t="s">
        <v>5029</v>
      </c>
      <c r="BD19" s="64" t="s">
        <v>5030</v>
      </c>
      <c r="BE19" s="64" t="s">
        <v>5029</v>
      </c>
      <c r="BF19" s="64" t="s">
        <v>5030</v>
      </c>
      <c r="BG19" s="64" t="s">
        <v>4963</v>
      </c>
      <c r="BH19" s="64" t="s">
        <v>5011</v>
      </c>
      <c r="BI19" s="64" t="s">
        <v>5028</v>
      </c>
      <c r="BJ19" s="64" t="s">
        <v>4954</v>
      </c>
      <c r="BK19" s="64" t="s">
        <v>474</v>
      </c>
      <c r="BL19" s="64" t="s">
        <v>474</v>
      </c>
      <c r="BM19" s="66" t="s">
        <v>1275</v>
      </c>
      <c r="BN19" s="66" t="s">
        <v>1468</v>
      </c>
      <c r="BO19" s="66" t="s">
        <v>1468</v>
      </c>
      <c r="BP19" s="66" t="s">
        <v>1474</v>
      </c>
      <c r="BQ19" s="66" t="s">
        <v>1479</v>
      </c>
      <c r="BR19" s="79"/>
      <c r="BS19" s="64">
        <v>0.02</v>
      </c>
      <c r="BT19" s="66">
        <v>30</v>
      </c>
      <c r="BU19" s="79"/>
      <c r="BV19" s="79"/>
      <c r="BW19" s="79"/>
      <c r="BX19" s="79"/>
      <c r="BY19" s="64">
        <v>1.498</v>
      </c>
      <c r="BZ19" s="79"/>
      <c r="CA19" s="79"/>
      <c r="CB19" s="79"/>
      <c r="CC19" s="79"/>
      <c r="CD19" s="64" t="s">
        <v>474</v>
      </c>
      <c r="CE19" s="79"/>
      <c r="CF19" s="79"/>
      <c r="CG19" s="79"/>
      <c r="CH19" s="79"/>
      <c r="CI19" s="79"/>
      <c r="CJ19" s="79"/>
      <c r="CK19" s="79"/>
      <c r="CL19" s="79"/>
      <c r="CM19" s="79"/>
      <c r="CN19" s="79"/>
      <c r="CO19" s="79"/>
      <c r="CP19" s="79"/>
      <c r="CQ19" s="79"/>
      <c r="CR19" s="79"/>
      <c r="CS19" s="79"/>
      <c r="CT19" s="79"/>
      <c r="CU19" s="79"/>
      <c r="CV19" s="79"/>
      <c r="CW19" s="79"/>
      <c r="CX19" s="79"/>
      <c r="CY19" s="79"/>
      <c r="CZ19" s="79"/>
      <c r="DA19" s="79"/>
      <c r="DB19" s="79"/>
      <c r="DC19" s="79"/>
      <c r="DD19" s="79"/>
      <c r="DE19" s="79"/>
      <c r="DF19" s="79"/>
      <c r="DG19" s="79"/>
      <c r="DH19" s="79"/>
      <c r="DI19" s="79"/>
      <c r="DJ19" s="79"/>
      <c r="DK19" s="79"/>
      <c r="DL19" s="79"/>
      <c r="DM19" s="79"/>
      <c r="DN19" s="79"/>
      <c r="DO19" s="79"/>
      <c r="DP19" s="79"/>
      <c r="DQ19" s="79"/>
      <c r="DR19" s="79"/>
      <c r="DS19" s="79"/>
      <c r="DT19" s="79"/>
      <c r="DU19" s="79"/>
      <c r="DV19" s="79"/>
      <c r="DW19" s="79"/>
      <c r="DX19" s="79"/>
      <c r="DY19" s="78"/>
    </row>
    <row r="20" spans="1:129" x14ac:dyDescent="0.35">
      <c r="A20" s="42" t="s">
        <v>4743</v>
      </c>
      <c r="B20" s="42" t="s">
        <v>5032</v>
      </c>
      <c r="C20" s="42" t="s">
        <v>90</v>
      </c>
      <c r="D20" s="43" t="s">
        <v>91</v>
      </c>
      <c r="F20" s="44" t="s">
        <v>5033</v>
      </c>
      <c r="G20" s="42" t="s">
        <v>4955</v>
      </c>
      <c r="H20" s="42" t="s">
        <v>68</v>
      </c>
      <c r="I20" s="43" t="s">
        <v>68</v>
      </c>
      <c r="J20" s="43" t="s">
        <v>68</v>
      </c>
      <c r="K20" s="43"/>
      <c r="L20" s="43" t="s">
        <v>69</v>
      </c>
      <c r="M20" s="43">
        <v>3</v>
      </c>
      <c r="N20" s="43">
        <v>3</v>
      </c>
      <c r="O20" s="43" t="s">
        <v>69</v>
      </c>
      <c r="P20" s="43">
        <v>4</v>
      </c>
      <c r="Q20" s="43">
        <v>4</v>
      </c>
      <c r="R20" s="43" t="s">
        <v>69</v>
      </c>
      <c r="S20" s="43">
        <v>5</v>
      </c>
      <c r="T20" s="43">
        <v>5</v>
      </c>
      <c r="U20" s="42" t="s">
        <v>5011</v>
      </c>
      <c r="V20" s="42">
        <v>106.76</v>
      </c>
      <c r="W20" s="42">
        <v>106.76</v>
      </c>
      <c r="X20" s="42" t="s">
        <v>5034</v>
      </c>
      <c r="Y20" s="42" t="s">
        <v>5035</v>
      </c>
      <c r="Z20" s="43" t="s">
        <v>4743</v>
      </c>
      <c r="AA20" s="43" t="s">
        <v>4742</v>
      </c>
      <c r="AC20" s="42" t="s">
        <v>4684</v>
      </c>
      <c r="AD20" s="42" t="s">
        <v>4685</v>
      </c>
      <c r="AE20" s="42" t="s">
        <v>4686</v>
      </c>
      <c r="AF20" s="42" t="s">
        <v>90</v>
      </c>
      <c r="AG20" s="42" t="s">
        <v>4685</v>
      </c>
      <c r="AH20" t="s">
        <v>5011</v>
      </c>
      <c r="AI20" s="42" t="s">
        <v>4959</v>
      </c>
      <c r="AJ20" s="42" t="s">
        <v>5014</v>
      </c>
      <c r="AL20" s="42" t="s">
        <v>5015</v>
      </c>
      <c r="AM20" s="43">
        <v>106.76</v>
      </c>
      <c r="AN20" s="43">
        <v>106.76</v>
      </c>
      <c r="AO20" s="43" t="s">
        <v>70</v>
      </c>
      <c r="AQ20" s="43">
        <v>1</v>
      </c>
      <c r="AR20" s="42" t="s">
        <v>5036</v>
      </c>
      <c r="AU20" s="64"/>
      <c r="AV20" s="64">
        <v>62</v>
      </c>
      <c r="AW20" s="64" t="s">
        <v>4955</v>
      </c>
      <c r="AX20" s="64" t="s">
        <v>4744</v>
      </c>
      <c r="AY20" s="66" t="s">
        <v>478</v>
      </c>
      <c r="AZ20" s="66" t="s">
        <v>90</v>
      </c>
      <c r="BA20" s="64">
        <v>106.76</v>
      </c>
      <c r="BB20" s="64">
        <v>106.76</v>
      </c>
      <c r="BC20" s="64" t="s">
        <v>5034</v>
      </c>
      <c r="BD20" s="64" t="s">
        <v>5035</v>
      </c>
      <c r="BE20" s="64" t="s">
        <v>5034</v>
      </c>
      <c r="BF20" s="64" t="s">
        <v>5035</v>
      </c>
      <c r="BG20" s="64" t="s">
        <v>4963</v>
      </c>
      <c r="BH20" s="64" t="s">
        <v>5011</v>
      </c>
      <c r="BI20" s="64" t="s">
        <v>5033</v>
      </c>
      <c r="BJ20" s="64" t="s">
        <v>4954</v>
      </c>
      <c r="BK20" s="64" t="s">
        <v>474</v>
      </c>
      <c r="BL20" s="64" t="s">
        <v>474</v>
      </c>
      <c r="BM20" s="66" t="s">
        <v>1275</v>
      </c>
      <c r="BN20" s="66" t="s">
        <v>1468</v>
      </c>
      <c r="BO20" s="66" t="s">
        <v>1468</v>
      </c>
      <c r="BP20" s="66" t="s">
        <v>1474</v>
      </c>
      <c r="BQ20" s="66" t="s">
        <v>1479</v>
      </c>
      <c r="BR20" s="79"/>
      <c r="BS20" s="64">
        <v>0.02</v>
      </c>
      <c r="BT20" s="66">
        <v>30</v>
      </c>
      <c r="BU20" s="79"/>
      <c r="BV20" s="79"/>
      <c r="BW20" s="79"/>
      <c r="BX20" s="79"/>
      <c r="BY20" s="64">
        <v>1.498</v>
      </c>
      <c r="BZ20" s="79"/>
      <c r="CA20" s="79"/>
      <c r="CB20" s="79"/>
      <c r="CC20" s="79"/>
      <c r="CD20" s="64" t="s">
        <v>474</v>
      </c>
      <c r="CE20" s="79"/>
      <c r="CF20" s="79"/>
      <c r="CG20" s="79"/>
      <c r="CH20" s="79"/>
      <c r="CI20" s="79"/>
      <c r="CJ20" s="79"/>
      <c r="CK20" s="79"/>
      <c r="CL20" s="79"/>
      <c r="CM20" s="79"/>
      <c r="CN20" s="79"/>
      <c r="CO20" s="79"/>
      <c r="CP20" s="79"/>
      <c r="CQ20" s="79"/>
      <c r="CR20" s="79"/>
      <c r="CS20" s="79"/>
      <c r="CT20" s="79"/>
      <c r="CU20" s="79"/>
      <c r="CV20" s="79"/>
      <c r="CW20" s="79"/>
      <c r="CX20" s="79"/>
      <c r="CY20" s="79"/>
      <c r="CZ20" s="79"/>
      <c r="DA20" s="79"/>
      <c r="DB20" s="79"/>
      <c r="DC20" s="79"/>
      <c r="DD20" s="79"/>
      <c r="DE20" s="79"/>
      <c r="DF20" s="79"/>
      <c r="DG20" s="79"/>
      <c r="DH20" s="79"/>
      <c r="DI20" s="79"/>
      <c r="DJ20" s="79"/>
      <c r="DK20" s="79"/>
      <c r="DL20" s="79"/>
      <c r="DM20" s="79"/>
      <c r="DN20" s="79"/>
      <c r="DO20" s="79"/>
      <c r="DP20" s="79"/>
      <c r="DQ20" s="79"/>
      <c r="DR20" s="79"/>
      <c r="DS20" s="79"/>
      <c r="DT20" s="79"/>
      <c r="DU20" s="79"/>
      <c r="DV20" s="79"/>
      <c r="DW20" s="79"/>
      <c r="DX20" s="79"/>
      <c r="DY20" s="78"/>
    </row>
    <row r="21" spans="1:129" x14ac:dyDescent="0.35">
      <c r="A21" s="42" t="s">
        <v>4743</v>
      </c>
      <c r="B21" s="42" t="s">
        <v>5037</v>
      </c>
      <c r="C21" s="42" t="s">
        <v>90</v>
      </c>
      <c r="D21" s="43" t="s">
        <v>91</v>
      </c>
      <c r="F21" s="44" t="s">
        <v>5038</v>
      </c>
      <c r="G21" s="42" t="s">
        <v>4955</v>
      </c>
      <c r="H21" s="42" t="s">
        <v>68</v>
      </c>
      <c r="I21" s="43" t="s">
        <v>68</v>
      </c>
      <c r="J21" s="43" t="s">
        <v>68</v>
      </c>
      <c r="K21" s="43"/>
      <c r="L21" s="43" t="s">
        <v>69</v>
      </c>
      <c r="M21" s="43">
        <v>3</v>
      </c>
      <c r="N21" s="43">
        <v>3</v>
      </c>
      <c r="O21" s="43" t="s">
        <v>69</v>
      </c>
      <c r="P21" s="43">
        <v>4</v>
      </c>
      <c r="Q21" s="43">
        <v>4</v>
      </c>
      <c r="R21" s="43" t="s">
        <v>69</v>
      </c>
      <c r="S21" s="43">
        <v>5</v>
      </c>
      <c r="T21" s="43">
        <v>5</v>
      </c>
      <c r="U21" s="42" t="s">
        <v>5011</v>
      </c>
      <c r="V21" s="42">
        <v>106.76</v>
      </c>
      <c r="W21" s="42">
        <v>106.76</v>
      </c>
      <c r="X21" s="42" t="s">
        <v>5039</v>
      </c>
      <c r="Y21" s="42" t="s">
        <v>5040</v>
      </c>
      <c r="Z21" s="43" t="s">
        <v>4743</v>
      </c>
      <c r="AA21" s="43" t="s">
        <v>4742</v>
      </c>
      <c r="AC21" s="42" t="s">
        <v>4684</v>
      </c>
      <c r="AD21" s="42" t="s">
        <v>4685</v>
      </c>
      <c r="AE21" s="42" t="s">
        <v>4686</v>
      </c>
      <c r="AF21" s="42" t="s">
        <v>90</v>
      </c>
      <c r="AG21" s="42" t="s">
        <v>4685</v>
      </c>
      <c r="AH21" t="s">
        <v>5011</v>
      </c>
      <c r="AI21" s="42" t="s">
        <v>4959</v>
      </c>
      <c r="AJ21" s="42" t="s">
        <v>5014</v>
      </c>
      <c r="AL21" s="42" t="s">
        <v>5015</v>
      </c>
      <c r="AM21" s="43">
        <v>106.76</v>
      </c>
      <c r="AN21" s="43">
        <v>106.76</v>
      </c>
      <c r="AO21" s="43" t="s">
        <v>70</v>
      </c>
      <c r="AQ21" s="43">
        <v>1</v>
      </c>
      <c r="AR21" s="42" t="s">
        <v>5041</v>
      </c>
      <c r="AU21" s="64"/>
      <c r="AV21" s="64">
        <v>62</v>
      </c>
      <c r="AW21" s="64" t="s">
        <v>4955</v>
      </c>
      <c r="AX21" s="64" t="s">
        <v>4744</v>
      </c>
      <c r="AY21" s="66" t="s">
        <v>478</v>
      </c>
      <c r="AZ21" s="66" t="s">
        <v>90</v>
      </c>
      <c r="BA21" s="64">
        <v>106.76</v>
      </c>
      <c r="BB21" s="64">
        <v>106.76</v>
      </c>
      <c r="BC21" s="64" t="s">
        <v>5039</v>
      </c>
      <c r="BD21" s="64" t="s">
        <v>5040</v>
      </c>
      <c r="BE21" s="64" t="s">
        <v>5039</v>
      </c>
      <c r="BF21" s="64" t="s">
        <v>5040</v>
      </c>
      <c r="BG21" s="64" t="s">
        <v>4963</v>
      </c>
      <c r="BH21" s="64" t="s">
        <v>5011</v>
      </c>
      <c r="BI21" s="64" t="s">
        <v>5038</v>
      </c>
      <c r="BJ21" s="64" t="s">
        <v>4954</v>
      </c>
      <c r="BK21" s="64" t="s">
        <v>474</v>
      </c>
      <c r="BL21" s="64" t="s">
        <v>474</v>
      </c>
      <c r="BM21" s="66" t="s">
        <v>1275</v>
      </c>
      <c r="BN21" s="66" t="s">
        <v>1468</v>
      </c>
      <c r="BO21" s="66" t="s">
        <v>1468</v>
      </c>
      <c r="BP21" s="66" t="s">
        <v>1474</v>
      </c>
      <c r="BQ21" s="66" t="s">
        <v>1479</v>
      </c>
      <c r="BR21" s="79"/>
      <c r="BS21" s="64">
        <v>0.02</v>
      </c>
      <c r="BT21" s="66">
        <v>30</v>
      </c>
      <c r="BU21" s="79"/>
      <c r="BV21" s="79"/>
      <c r="BW21" s="79"/>
      <c r="BX21" s="79"/>
      <c r="BY21" s="64">
        <v>1.498</v>
      </c>
      <c r="BZ21" s="79"/>
      <c r="CA21" s="79"/>
      <c r="CB21" s="79"/>
      <c r="CC21" s="79"/>
      <c r="CD21" s="64" t="s">
        <v>474</v>
      </c>
      <c r="CE21" s="79"/>
      <c r="CF21" s="79"/>
      <c r="CG21" s="79"/>
      <c r="CH21" s="79"/>
      <c r="CI21" s="79"/>
      <c r="CJ21" s="79"/>
      <c r="CK21" s="79"/>
      <c r="CL21" s="79"/>
      <c r="CM21" s="79"/>
      <c r="CN21" s="79"/>
      <c r="CO21" s="79"/>
      <c r="CP21" s="79"/>
      <c r="CQ21" s="79"/>
      <c r="CR21" s="79"/>
      <c r="CS21" s="79"/>
      <c r="CT21" s="79"/>
      <c r="CU21" s="79"/>
      <c r="CV21" s="79"/>
      <c r="CW21" s="79"/>
      <c r="CX21" s="79"/>
      <c r="CY21" s="79"/>
      <c r="CZ21" s="79"/>
      <c r="DA21" s="79"/>
      <c r="DB21" s="79"/>
      <c r="DC21" s="79"/>
      <c r="DD21" s="79"/>
      <c r="DE21" s="79"/>
      <c r="DF21" s="79"/>
      <c r="DG21" s="79"/>
      <c r="DH21" s="79"/>
      <c r="DI21" s="79"/>
      <c r="DJ21" s="79"/>
      <c r="DK21" s="79"/>
      <c r="DL21" s="79"/>
      <c r="DM21" s="79"/>
      <c r="DN21" s="79"/>
      <c r="DO21" s="79"/>
      <c r="DP21" s="79"/>
      <c r="DQ21" s="79"/>
      <c r="DR21" s="79"/>
      <c r="DS21" s="79"/>
      <c r="DT21" s="79"/>
      <c r="DU21" s="79"/>
      <c r="DV21" s="79"/>
      <c r="DW21" s="79"/>
      <c r="DX21" s="79"/>
      <c r="DY21" s="78"/>
    </row>
    <row r="22" spans="1:129" x14ac:dyDescent="0.35">
      <c r="A22" s="42" t="s">
        <v>4743</v>
      </c>
      <c r="B22" s="42" t="s">
        <v>4773</v>
      </c>
      <c r="C22" s="42" t="s">
        <v>126</v>
      </c>
      <c r="D22" s="43" t="s">
        <v>127</v>
      </c>
      <c r="F22" s="44" t="s">
        <v>4772</v>
      </c>
      <c r="G22" s="42" t="s">
        <v>4955</v>
      </c>
      <c r="H22" s="42" t="s">
        <v>68</v>
      </c>
      <c r="I22" s="43" t="s">
        <v>68</v>
      </c>
      <c r="J22" s="43" t="s">
        <v>68</v>
      </c>
      <c r="K22" s="43"/>
      <c r="L22" s="43" t="s">
        <v>69</v>
      </c>
      <c r="M22" s="43">
        <v>3</v>
      </c>
      <c r="N22" s="43">
        <v>3</v>
      </c>
      <c r="O22" s="43" t="s">
        <v>69</v>
      </c>
      <c r="P22" s="43">
        <v>4</v>
      </c>
      <c r="Q22" s="43">
        <v>4</v>
      </c>
      <c r="R22" s="43" t="s">
        <v>69</v>
      </c>
      <c r="S22" s="43">
        <v>5</v>
      </c>
      <c r="T22" s="43">
        <v>5</v>
      </c>
      <c r="U22" s="42" t="s">
        <v>5042</v>
      </c>
      <c r="V22" s="42">
        <v>106.73</v>
      </c>
      <c r="W22" s="42">
        <v>106.73</v>
      </c>
      <c r="X22" s="42" t="s">
        <v>5043</v>
      </c>
      <c r="Y22" s="42" t="s">
        <v>5044</v>
      </c>
      <c r="Z22" s="43" t="s">
        <v>4743</v>
      </c>
      <c r="AA22" s="43" t="s">
        <v>4742</v>
      </c>
      <c r="AC22" s="42" t="s">
        <v>4684</v>
      </c>
      <c r="AD22" s="42" t="s">
        <v>4685</v>
      </c>
      <c r="AE22" s="42" t="s">
        <v>4686</v>
      </c>
      <c r="AF22" s="42" t="s">
        <v>126</v>
      </c>
      <c r="AG22" s="42" t="s">
        <v>4685</v>
      </c>
      <c r="AH22" t="s">
        <v>5042</v>
      </c>
      <c r="AI22" s="42" t="s">
        <v>4959</v>
      </c>
      <c r="AJ22" s="42" t="s">
        <v>5045</v>
      </c>
      <c r="AL22" s="42" t="s">
        <v>5046</v>
      </c>
      <c r="AM22" s="43">
        <v>106.73</v>
      </c>
      <c r="AN22" s="43">
        <v>106.73</v>
      </c>
      <c r="AO22" s="43" t="s">
        <v>70</v>
      </c>
      <c r="AQ22" s="43">
        <v>1</v>
      </c>
      <c r="AR22" s="42" t="s">
        <v>5047</v>
      </c>
      <c r="AU22" s="64"/>
      <c r="AV22" s="64">
        <v>62</v>
      </c>
      <c r="AW22" s="64" t="s">
        <v>4955</v>
      </c>
      <c r="AX22" s="64" t="s">
        <v>4744</v>
      </c>
      <c r="AY22" s="66" t="s">
        <v>478</v>
      </c>
      <c r="AZ22" s="66" t="s">
        <v>126</v>
      </c>
      <c r="BA22" s="64">
        <v>106.73</v>
      </c>
      <c r="BB22" s="64">
        <v>106.73</v>
      </c>
      <c r="BC22" s="64" t="s">
        <v>5043</v>
      </c>
      <c r="BD22" s="64" t="s">
        <v>5044</v>
      </c>
      <c r="BE22" s="64" t="s">
        <v>5043</v>
      </c>
      <c r="BF22" s="64" t="s">
        <v>5044</v>
      </c>
      <c r="BG22" s="64" t="s">
        <v>4963</v>
      </c>
      <c r="BH22" s="64" t="s">
        <v>5042</v>
      </c>
      <c r="BI22" s="64" t="s">
        <v>4772</v>
      </c>
      <c r="BJ22" s="64" t="s">
        <v>4954</v>
      </c>
      <c r="BK22" s="64" t="s">
        <v>474</v>
      </c>
      <c r="BL22" s="64" t="s">
        <v>474</v>
      </c>
      <c r="BM22" s="66" t="s">
        <v>1289</v>
      </c>
      <c r="BN22" s="66" t="s">
        <v>1468</v>
      </c>
      <c r="BO22" s="66" t="s">
        <v>1468</v>
      </c>
      <c r="BP22" s="66" t="s">
        <v>1474</v>
      </c>
      <c r="BQ22" s="66" t="s">
        <v>1479</v>
      </c>
      <c r="BR22" s="64">
        <v>6.04</v>
      </c>
      <c r="BS22" s="64">
        <v>2.593</v>
      </c>
      <c r="BT22" s="66">
        <v>120</v>
      </c>
      <c r="BU22" s="79"/>
      <c r="BV22" s="79"/>
      <c r="BW22" s="79"/>
      <c r="BX22" s="79"/>
      <c r="BY22" s="79"/>
      <c r="BZ22" s="79"/>
      <c r="CA22" s="79"/>
      <c r="CB22" s="79"/>
      <c r="CC22" s="79"/>
      <c r="CD22" s="79"/>
      <c r="CE22" s="79"/>
      <c r="CF22" s="79"/>
      <c r="CG22" s="66" t="s">
        <v>1473</v>
      </c>
      <c r="CH22" s="79"/>
      <c r="CI22" s="64"/>
      <c r="CJ22" s="79"/>
      <c r="CK22" s="79"/>
      <c r="CL22" s="79"/>
      <c r="CM22" s="79"/>
      <c r="CN22" s="79"/>
      <c r="CO22" s="79"/>
      <c r="CP22" s="79"/>
      <c r="CQ22" s="64"/>
      <c r="CR22" s="64" t="s">
        <v>4745</v>
      </c>
      <c r="CS22" s="64"/>
      <c r="CT22" s="66"/>
      <c r="CU22" s="64"/>
      <c r="CV22" s="64"/>
      <c r="CW22" s="64"/>
      <c r="CX22" s="64"/>
      <c r="CY22" s="66"/>
      <c r="CZ22" s="64"/>
      <c r="DA22" s="64"/>
      <c r="DB22" s="64"/>
      <c r="DC22" s="64"/>
      <c r="DD22" s="64"/>
      <c r="DE22" s="64"/>
      <c r="DF22" s="66"/>
      <c r="DG22" s="79"/>
      <c r="DH22" s="79"/>
      <c r="DI22" s="79"/>
      <c r="DJ22" s="79"/>
      <c r="DK22" s="79"/>
      <c r="DL22" s="79"/>
      <c r="DM22" s="79"/>
      <c r="DN22" s="79"/>
      <c r="DO22" s="79"/>
      <c r="DP22" s="79"/>
      <c r="DQ22" s="79"/>
      <c r="DR22" s="79"/>
      <c r="DS22" s="79"/>
      <c r="DT22" s="79"/>
      <c r="DU22" s="79"/>
      <c r="DV22" s="79"/>
      <c r="DW22" s="79"/>
      <c r="DX22" s="79"/>
      <c r="DY22" s="78"/>
    </row>
    <row r="23" spans="1:129" x14ac:dyDescent="0.35">
      <c r="A23" s="42" t="s">
        <v>4743</v>
      </c>
      <c r="B23" s="42" t="s">
        <v>4775</v>
      </c>
      <c r="C23" s="42" t="s">
        <v>126</v>
      </c>
      <c r="D23" s="43" t="s">
        <v>127</v>
      </c>
      <c r="F23" s="44" t="s">
        <v>4774</v>
      </c>
      <c r="G23" s="42" t="s">
        <v>4955</v>
      </c>
      <c r="H23" s="42" t="s">
        <v>68</v>
      </c>
      <c r="I23" s="43" t="s">
        <v>68</v>
      </c>
      <c r="J23" s="43" t="s">
        <v>68</v>
      </c>
      <c r="K23" s="43"/>
      <c r="L23" s="43" t="s">
        <v>69</v>
      </c>
      <c r="M23" s="43">
        <v>3</v>
      </c>
      <c r="N23" s="43">
        <v>3</v>
      </c>
      <c r="O23" s="43" t="s">
        <v>69</v>
      </c>
      <c r="P23" s="43">
        <v>4</v>
      </c>
      <c r="Q23" s="43">
        <v>4</v>
      </c>
      <c r="R23" s="43" t="s">
        <v>69</v>
      </c>
      <c r="S23" s="43">
        <v>5</v>
      </c>
      <c r="T23" s="43">
        <v>5</v>
      </c>
      <c r="U23" s="42" t="s">
        <v>5042</v>
      </c>
      <c r="V23" s="42">
        <v>106.73</v>
      </c>
      <c r="W23" s="42">
        <v>106.73</v>
      </c>
      <c r="X23" s="42" t="s">
        <v>5048</v>
      </c>
      <c r="Y23" s="42" t="s">
        <v>5049</v>
      </c>
      <c r="Z23" s="43" t="s">
        <v>4743</v>
      </c>
      <c r="AA23" s="43" t="s">
        <v>4742</v>
      </c>
      <c r="AC23" s="42" t="s">
        <v>4684</v>
      </c>
      <c r="AD23" s="42" t="s">
        <v>4685</v>
      </c>
      <c r="AE23" s="42" t="s">
        <v>4686</v>
      </c>
      <c r="AF23" s="42" t="s">
        <v>126</v>
      </c>
      <c r="AG23" s="42" t="s">
        <v>4685</v>
      </c>
      <c r="AH23" t="s">
        <v>5042</v>
      </c>
      <c r="AI23" s="42" t="s">
        <v>4959</v>
      </c>
      <c r="AJ23" s="42" t="s">
        <v>5045</v>
      </c>
      <c r="AL23" s="42" t="s">
        <v>5046</v>
      </c>
      <c r="AM23" s="43">
        <v>106.73</v>
      </c>
      <c r="AN23" s="43">
        <v>106.73</v>
      </c>
      <c r="AO23" s="43" t="s">
        <v>70</v>
      </c>
      <c r="AQ23" s="43">
        <v>1</v>
      </c>
      <c r="AR23" s="42" t="s">
        <v>5050</v>
      </c>
      <c r="AU23" s="64"/>
      <c r="AV23" s="64">
        <v>62</v>
      </c>
      <c r="AW23" s="64" t="s">
        <v>4955</v>
      </c>
      <c r="AX23" s="64" t="s">
        <v>4744</v>
      </c>
      <c r="AY23" s="66" t="s">
        <v>478</v>
      </c>
      <c r="AZ23" s="66" t="s">
        <v>126</v>
      </c>
      <c r="BA23" s="64">
        <v>106.73</v>
      </c>
      <c r="BB23" s="64">
        <v>106.73</v>
      </c>
      <c r="BC23" s="64" t="s">
        <v>5048</v>
      </c>
      <c r="BD23" s="64" t="s">
        <v>5049</v>
      </c>
      <c r="BE23" s="64" t="s">
        <v>5048</v>
      </c>
      <c r="BF23" s="64" t="s">
        <v>5049</v>
      </c>
      <c r="BG23" s="64" t="s">
        <v>4963</v>
      </c>
      <c r="BH23" s="64" t="s">
        <v>5042</v>
      </c>
      <c r="BI23" s="64" t="s">
        <v>4774</v>
      </c>
      <c r="BJ23" s="64" t="s">
        <v>4954</v>
      </c>
      <c r="BK23" s="64" t="s">
        <v>474</v>
      </c>
      <c r="BL23" s="64" t="s">
        <v>474</v>
      </c>
      <c r="BM23" s="66" t="s">
        <v>1289</v>
      </c>
      <c r="BN23" s="66" t="s">
        <v>1468</v>
      </c>
      <c r="BO23" s="66" t="s">
        <v>1468</v>
      </c>
      <c r="BP23" s="66" t="s">
        <v>1474</v>
      </c>
      <c r="BQ23" s="66" t="s">
        <v>1479</v>
      </c>
      <c r="BR23" s="64">
        <v>0.3</v>
      </c>
      <c r="BS23" s="64">
        <v>1.9039999999999999</v>
      </c>
      <c r="BT23" s="66">
        <v>120</v>
      </c>
      <c r="BU23" s="79"/>
      <c r="BV23" s="79"/>
      <c r="BW23" s="79"/>
      <c r="BX23" s="79"/>
      <c r="BY23" s="79"/>
      <c r="BZ23" s="79"/>
      <c r="CA23" s="79"/>
      <c r="CB23" s="79"/>
      <c r="CC23" s="79"/>
      <c r="CD23" s="79"/>
      <c r="CE23" s="79"/>
      <c r="CF23" s="79"/>
      <c r="CG23" s="66" t="s">
        <v>1473</v>
      </c>
      <c r="CH23" s="79"/>
      <c r="CI23" s="64"/>
      <c r="CJ23" s="79"/>
      <c r="CK23" s="79"/>
      <c r="CL23" s="79"/>
      <c r="CM23" s="79"/>
      <c r="CN23" s="79"/>
      <c r="CO23" s="79"/>
      <c r="CP23" s="79"/>
      <c r="CQ23" s="64"/>
      <c r="CR23" s="64" t="s">
        <v>4745</v>
      </c>
      <c r="CS23" s="64"/>
      <c r="CT23" s="66"/>
      <c r="CU23" s="64"/>
      <c r="CV23" s="64"/>
      <c r="CW23" s="64"/>
      <c r="CX23" s="64"/>
      <c r="CY23" s="66"/>
      <c r="CZ23" s="64"/>
      <c r="DA23" s="64"/>
      <c r="DB23" s="64"/>
      <c r="DC23" s="64"/>
      <c r="DD23" s="64"/>
      <c r="DE23" s="64"/>
      <c r="DF23" s="66"/>
      <c r="DG23" s="79"/>
      <c r="DH23" s="79"/>
      <c r="DI23" s="79"/>
      <c r="DJ23" s="79"/>
      <c r="DK23" s="79"/>
      <c r="DL23" s="79"/>
      <c r="DM23" s="79"/>
      <c r="DN23" s="79"/>
      <c r="DO23" s="79"/>
      <c r="DP23" s="79"/>
      <c r="DQ23" s="79"/>
      <c r="DR23" s="79"/>
      <c r="DS23" s="79"/>
      <c r="DT23" s="79"/>
      <c r="DU23" s="79"/>
      <c r="DV23" s="79"/>
      <c r="DW23" s="79"/>
      <c r="DX23" s="79"/>
      <c r="DY23" s="78"/>
    </row>
    <row r="24" spans="1:129" x14ac:dyDescent="0.35">
      <c r="A24" s="42" t="s">
        <v>4743</v>
      </c>
      <c r="B24" s="42" t="s">
        <v>4777</v>
      </c>
      <c r="C24" s="42" t="s">
        <v>126</v>
      </c>
      <c r="D24" s="43" t="s">
        <v>127</v>
      </c>
      <c r="F24" s="44" t="s">
        <v>4776</v>
      </c>
      <c r="G24" s="42" t="s">
        <v>4955</v>
      </c>
      <c r="H24" s="42" t="s">
        <v>68</v>
      </c>
      <c r="I24" s="43" t="s">
        <v>68</v>
      </c>
      <c r="J24" s="43" t="s">
        <v>68</v>
      </c>
      <c r="K24" s="43"/>
      <c r="L24" s="43" t="s">
        <v>69</v>
      </c>
      <c r="M24" s="43">
        <v>3</v>
      </c>
      <c r="N24" s="43">
        <v>3</v>
      </c>
      <c r="O24" s="43" t="s">
        <v>69</v>
      </c>
      <c r="P24" s="43">
        <v>4</v>
      </c>
      <c r="Q24" s="43">
        <v>4</v>
      </c>
      <c r="R24" s="43" t="s">
        <v>69</v>
      </c>
      <c r="S24" s="43">
        <v>5</v>
      </c>
      <c r="T24" s="43">
        <v>5</v>
      </c>
      <c r="U24" s="42" t="s">
        <v>5042</v>
      </c>
      <c r="V24" s="42">
        <v>106.72</v>
      </c>
      <c r="W24" s="42">
        <v>106.73</v>
      </c>
      <c r="X24" s="42" t="s">
        <v>5051</v>
      </c>
      <c r="Y24" s="42" t="s">
        <v>5052</v>
      </c>
      <c r="Z24" s="43" t="s">
        <v>4743</v>
      </c>
      <c r="AA24" s="43" t="s">
        <v>4742</v>
      </c>
      <c r="AC24" s="42" t="s">
        <v>4684</v>
      </c>
      <c r="AD24" s="42" t="s">
        <v>4685</v>
      </c>
      <c r="AE24" s="42" t="s">
        <v>4686</v>
      </c>
      <c r="AF24" s="42" t="s">
        <v>126</v>
      </c>
      <c r="AG24" s="42" t="s">
        <v>4685</v>
      </c>
      <c r="AH24" t="s">
        <v>5042</v>
      </c>
      <c r="AI24" s="42" t="s">
        <v>4959</v>
      </c>
      <c r="AJ24" s="42" t="s">
        <v>5045</v>
      </c>
      <c r="AL24" s="42" t="s">
        <v>5046</v>
      </c>
      <c r="AM24" s="43">
        <v>106.72</v>
      </c>
      <c r="AN24" s="43">
        <v>106.73</v>
      </c>
      <c r="AO24" s="43" t="s">
        <v>70</v>
      </c>
      <c r="AQ24" s="43">
        <v>1</v>
      </c>
      <c r="AR24" s="42" t="s">
        <v>5053</v>
      </c>
      <c r="AU24" s="64"/>
      <c r="AV24" s="64">
        <v>62</v>
      </c>
      <c r="AW24" s="64" t="s">
        <v>4955</v>
      </c>
      <c r="AX24" s="64" t="s">
        <v>4744</v>
      </c>
      <c r="AY24" s="66" t="s">
        <v>478</v>
      </c>
      <c r="AZ24" s="66" t="s">
        <v>126</v>
      </c>
      <c r="BA24" s="64">
        <v>106.72</v>
      </c>
      <c r="BB24" s="64">
        <v>106.73</v>
      </c>
      <c r="BC24" s="64" t="s">
        <v>5051</v>
      </c>
      <c r="BD24" s="64" t="s">
        <v>5052</v>
      </c>
      <c r="BE24" s="64" t="s">
        <v>5051</v>
      </c>
      <c r="BF24" s="64" t="s">
        <v>5052</v>
      </c>
      <c r="BG24" s="64" t="s">
        <v>4963</v>
      </c>
      <c r="BH24" s="64" t="s">
        <v>5042</v>
      </c>
      <c r="BI24" s="64" t="s">
        <v>4776</v>
      </c>
      <c r="BJ24" s="64" t="s">
        <v>4954</v>
      </c>
      <c r="BK24" s="64" t="s">
        <v>474</v>
      </c>
      <c r="BL24" s="64" t="s">
        <v>474</v>
      </c>
      <c r="BM24" s="66" t="s">
        <v>1289</v>
      </c>
      <c r="BN24" s="66" t="s">
        <v>1468</v>
      </c>
      <c r="BO24" s="66" t="s">
        <v>1468</v>
      </c>
      <c r="BP24" s="66" t="s">
        <v>1474</v>
      </c>
      <c r="BQ24" s="66" t="s">
        <v>1479</v>
      </c>
      <c r="BR24" s="64">
        <v>6.04</v>
      </c>
      <c r="BS24" s="64">
        <v>2.593</v>
      </c>
      <c r="BT24" s="66">
        <v>120</v>
      </c>
      <c r="BU24" s="79"/>
      <c r="BV24" s="79"/>
      <c r="BW24" s="79"/>
      <c r="BX24" s="79"/>
      <c r="BY24" s="79"/>
      <c r="BZ24" s="79"/>
      <c r="CA24" s="79"/>
      <c r="CB24" s="79"/>
      <c r="CC24" s="79"/>
      <c r="CD24" s="79"/>
      <c r="CE24" s="79"/>
      <c r="CF24" s="79"/>
      <c r="CG24" s="66" t="s">
        <v>1473</v>
      </c>
      <c r="CH24" s="79"/>
      <c r="CI24" s="64"/>
      <c r="CJ24" s="79"/>
      <c r="CK24" s="79"/>
      <c r="CL24" s="79"/>
      <c r="CM24" s="79"/>
      <c r="CN24" s="79"/>
      <c r="CO24" s="79"/>
      <c r="CP24" s="79"/>
      <c r="CQ24" s="64"/>
      <c r="CR24" s="64" t="s">
        <v>4745</v>
      </c>
      <c r="CS24" s="64"/>
      <c r="CT24" s="66"/>
      <c r="CU24" s="64"/>
      <c r="CV24" s="64"/>
      <c r="CW24" s="64"/>
      <c r="CX24" s="64"/>
      <c r="CY24" s="66"/>
      <c r="CZ24" s="64"/>
      <c r="DA24" s="64"/>
      <c r="DB24" s="64"/>
      <c r="DC24" s="64"/>
      <c r="DD24" s="64"/>
      <c r="DE24" s="64"/>
      <c r="DF24" s="66"/>
      <c r="DG24" s="79"/>
      <c r="DH24" s="79"/>
      <c r="DI24" s="79"/>
      <c r="DJ24" s="79"/>
      <c r="DK24" s="79"/>
      <c r="DL24" s="79"/>
      <c r="DM24" s="79"/>
      <c r="DN24" s="79"/>
      <c r="DO24" s="79"/>
      <c r="DP24" s="79"/>
      <c r="DQ24" s="79"/>
      <c r="DR24" s="79"/>
      <c r="DS24" s="79"/>
      <c r="DT24" s="79"/>
      <c r="DU24" s="79"/>
      <c r="DV24" s="79"/>
      <c r="DW24" s="79"/>
      <c r="DX24" s="79"/>
      <c r="DY24" s="78"/>
    </row>
    <row r="25" spans="1:129" x14ac:dyDescent="0.35">
      <c r="A25" s="42" t="s">
        <v>4743</v>
      </c>
      <c r="B25" s="42" t="s">
        <v>4779</v>
      </c>
      <c r="C25" s="42" t="s">
        <v>126</v>
      </c>
      <c r="D25" s="43" t="s">
        <v>127</v>
      </c>
      <c r="F25" s="44" t="s">
        <v>4778</v>
      </c>
      <c r="G25" s="42" t="s">
        <v>4955</v>
      </c>
      <c r="H25" s="42" t="s">
        <v>68</v>
      </c>
      <c r="I25" s="43" t="s">
        <v>68</v>
      </c>
      <c r="J25" s="43" t="s">
        <v>68</v>
      </c>
      <c r="K25" s="43"/>
      <c r="L25" s="43" t="s">
        <v>69</v>
      </c>
      <c r="M25" s="43">
        <v>3</v>
      </c>
      <c r="N25" s="43">
        <v>3</v>
      </c>
      <c r="O25" s="43" t="s">
        <v>69</v>
      </c>
      <c r="P25" s="43">
        <v>4</v>
      </c>
      <c r="Q25" s="43">
        <v>4</v>
      </c>
      <c r="R25" s="43" t="s">
        <v>69</v>
      </c>
      <c r="S25" s="43">
        <v>5</v>
      </c>
      <c r="T25" s="43">
        <v>5</v>
      </c>
      <c r="U25" s="42" t="s">
        <v>5054</v>
      </c>
      <c r="V25" s="42">
        <v>106.73</v>
      </c>
      <c r="W25" s="42">
        <v>106.73</v>
      </c>
      <c r="X25" s="42" t="s">
        <v>5055</v>
      </c>
      <c r="Y25" s="42" t="s">
        <v>5056</v>
      </c>
      <c r="Z25" s="43" t="s">
        <v>4743</v>
      </c>
      <c r="AA25" s="43" t="s">
        <v>4742</v>
      </c>
      <c r="AC25" s="42" t="s">
        <v>4684</v>
      </c>
      <c r="AD25" s="42" t="s">
        <v>4685</v>
      </c>
      <c r="AE25" s="42" t="s">
        <v>4686</v>
      </c>
      <c r="AF25" s="42" t="s">
        <v>126</v>
      </c>
      <c r="AG25" s="42" t="s">
        <v>4685</v>
      </c>
      <c r="AH25" t="s">
        <v>5054</v>
      </c>
      <c r="AI25" s="42" t="s">
        <v>4959</v>
      </c>
      <c r="AJ25" s="42" t="s">
        <v>5057</v>
      </c>
      <c r="AL25" s="42" t="s">
        <v>5058</v>
      </c>
      <c r="AM25" s="43">
        <v>106.73</v>
      </c>
      <c r="AN25" s="43">
        <v>106.73</v>
      </c>
      <c r="AO25" s="43" t="s">
        <v>70</v>
      </c>
      <c r="AQ25" s="43">
        <v>1</v>
      </c>
      <c r="AR25" s="42" t="s">
        <v>5059</v>
      </c>
      <c r="AU25" s="64"/>
      <c r="AV25" s="64">
        <v>62</v>
      </c>
      <c r="AW25" s="64" t="s">
        <v>4955</v>
      </c>
      <c r="AX25" s="64" t="s">
        <v>4744</v>
      </c>
      <c r="AY25" s="66" t="s">
        <v>478</v>
      </c>
      <c r="AZ25" s="66" t="s">
        <v>126</v>
      </c>
      <c r="BA25" s="64">
        <v>106.73</v>
      </c>
      <c r="BB25" s="64">
        <v>106.73</v>
      </c>
      <c r="BC25" s="64" t="s">
        <v>5055</v>
      </c>
      <c r="BD25" s="64" t="s">
        <v>5056</v>
      </c>
      <c r="BE25" s="64" t="s">
        <v>5055</v>
      </c>
      <c r="BF25" s="64" t="s">
        <v>5056</v>
      </c>
      <c r="BG25" s="64" t="s">
        <v>4963</v>
      </c>
      <c r="BH25" s="64" t="s">
        <v>5054</v>
      </c>
      <c r="BI25" s="64" t="s">
        <v>4778</v>
      </c>
      <c r="BJ25" s="64" t="s">
        <v>4954</v>
      </c>
      <c r="BK25" s="64" t="s">
        <v>474</v>
      </c>
      <c r="BL25" s="64" t="s">
        <v>474</v>
      </c>
      <c r="BM25" s="66" t="s">
        <v>1274</v>
      </c>
      <c r="BN25" s="66" t="s">
        <v>1468</v>
      </c>
      <c r="BO25" s="66" t="s">
        <v>1468</v>
      </c>
      <c r="BP25" s="66" t="s">
        <v>1474</v>
      </c>
      <c r="BQ25" s="66" t="s">
        <v>1479</v>
      </c>
      <c r="BR25" s="64">
        <v>0.56999999999999995</v>
      </c>
      <c r="BS25" s="64">
        <v>0.01</v>
      </c>
      <c r="BT25" s="66">
        <v>120</v>
      </c>
      <c r="BU25" s="79"/>
      <c r="BV25" s="79"/>
      <c r="BW25" s="79"/>
      <c r="BX25" s="79"/>
      <c r="BY25" s="79"/>
      <c r="BZ25" s="79"/>
      <c r="CA25" s="79"/>
      <c r="CB25" s="79"/>
      <c r="CC25" s="79"/>
      <c r="CD25" s="79"/>
      <c r="CE25" s="79"/>
      <c r="CF25" s="79"/>
      <c r="CG25" s="66" t="s">
        <v>1474</v>
      </c>
      <c r="CH25" s="79"/>
      <c r="CI25" s="64"/>
      <c r="CJ25" s="79"/>
      <c r="CK25" s="79"/>
      <c r="CL25" s="79"/>
      <c r="CM25" s="79"/>
      <c r="CN25" s="79"/>
      <c r="CO25" s="79"/>
      <c r="CP25" s="79"/>
      <c r="CQ25" s="64">
        <v>166</v>
      </c>
      <c r="CR25" s="64" t="s">
        <v>4745</v>
      </c>
      <c r="CS25" s="64"/>
      <c r="CT25" s="66"/>
      <c r="CU25" s="64">
        <v>134.96799999999999</v>
      </c>
      <c r="CV25" s="64" t="s">
        <v>5060</v>
      </c>
      <c r="CW25" s="64">
        <v>0.15</v>
      </c>
      <c r="CX25" s="64">
        <v>132.89699999999999</v>
      </c>
      <c r="CY25" s="66" t="s">
        <v>1710</v>
      </c>
      <c r="CZ25" s="64"/>
      <c r="DA25" s="64"/>
      <c r="DB25" s="64"/>
      <c r="DC25" s="64"/>
      <c r="DD25" s="64"/>
      <c r="DE25" s="64">
        <v>15</v>
      </c>
      <c r="DF25" s="66" t="s">
        <v>1594</v>
      </c>
      <c r="DG25" s="79"/>
      <c r="DH25" s="79"/>
      <c r="DI25" s="79"/>
      <c r="DJ25" s="79"/>
      <c r="DK25" s="79"/>
      <c r="DL25" s="79"/>
      <c r="DM25" s="79"/>
      <c r="DN25" s="79"/>
      <c r="DO25" s="79"/>
      <c r="DP25" s="79"/>
      <c r="DQ25" s="79"/>
      <c r="DR25" s="79"/>
      <c r="DS25" s="79"/>
      <c r="DT25" s="79"/>
      <c r="DU25" s="79"/>
      <c r="DV25" s="79"/>
      <c r="DW25" s="79"/>
      <c r="DX25" s="79"/>
      <c r="DY25" s="78"/>
    </row>
    <row r="26" spans="1:129" x14ac:dyDescent="0.35">
      <c r="A26" s="42" t="s">
        <v>4743</v>
      </c>
      <c r="B26" s="42" t="s">
        <v>4781</v>
      </c>
      <c r="C26" s="42" t="s">
        <v>126</v>
      </c>
      <c r="D26" s="43" t="s">
        <v>127</v>
      </c>
      <c r="F26" s="44" t="s">
        <v>4780</v>
      </c>
      <c r="G26" s="42" t="s">
        <v>4955</v>
      </c>
      <c r="H26" s="42" t="s">
        <v>68</v>
      </c>
      <c r="I26" s="43" t="s">
        <v>68</v>
      </c>
      <c r="J26" s="43" t="s">
        <v>68</v>
      </c>
      <c r="K26" s="43"/>
      <c r="L26" s="43" t="s">
        <v>69</v>
      </c>
      <c r="M26" s="43">
        <v>3</v>
      </c>
      <c r="N26" s="43">
        <v>3</v>
      </c>
      <c r="O26" s="43" t="s">
        <v>69</v>
      </c>
      <c r="P26" s="43">
        <v>4</v>
      </c>
      <c r="Q26" s="43">
        <v>4</v>
      </c>
      <c r="R26" s="43" t="s">
        <v>69</v>
      </c>
      <c r="S26" s="43">
        <v>5</v>
      </c>
      <c r="T26" s="43">
        <v>5</v>
      </c>
      <c r="U26" s="42" t="s">
        <v>5054</v>
      </c>
      <c r="V26" s="42">
        <v>106.73</v>
      </c>
      <c r="W26" s="42">
        <v>106.73</v>
      </c>
      <c r="X26" s="42" t="s">
        <v>5061</v>
      </c>
      <c r="Y26" s="42" t="s">
        <v>5062</v>
      </c>
      <c r="Z26" s="43" t="s">
        <v>4743</v>
      </c>
      <c r="AA26" s="43" t="s">
        <v>4742</v>
      </c>
      <c r="AC26" s="42" t="s">
        <v>4684</v>
      </c>
      <c r="AD26" s="42" t="s">
        <v>4685</v>
      </c>
      <c r="AE26" s="42" t="s">
        <v>4686</v>
      </c>
      <c r="AF26" s="42" t="s">
        <v>126</v>
      </c>
      <c r="AG26" s="42" t="s">
        <v>4685</v>
      </c>
      <c r="AH26" t="s">
        <v>5054</v>
      </c>
      <c r="AI26" s="42" t="s">
        <v>4959</v>
      </c>
      <c r="AJ26" s="42" t="s">
        <v>5057</v>
      </c>
      <c r="AL26" s="42" t="s">
        <v>5058</v>
      </c>
      <c r="AM26" s="43">
        <v>106.73</v>
      </c>
      <c r="AN26" s="43">
        <v>106.73</v>
      </c>
      <c r="AO26" s="43" t="s">
        <v>70</v>
      </c>
      <c r="AQ26" s="43">
        <v>1</v>
      </c>
      <c r="AR26" s="42" t="s">
        <v>5063</v>
      </c>
      <c r="AU26" s="64"/>
      <c r="AV26" s="64">
        <v>62</v>
      </c>
      <c r="AW26" s="64" t="s">
        <v>4955</v>
      </c>
      <c r="AX26" s="64" t="s">
        <v>4744</v>
      </c>
      <c r="AY26" s="66" t="s">
        <v>478</v>
      </c>
      <c r="AZ26" s="66" t="s">
        <v>126</v>
      </c>
      <c r="BA26" s="64">
        <v>106.73</v>
      </c>
      <c r="BB26" s="64">
        <v>106.73</v>
      </c>
      <c r="BC26" s="64" t="s">
        <v>5061</v>
      </c>
      <c r="BD26" s="64" t="s">
        <v>5062</v>
      </c>
      <c r="BE26" s="64" t="s">
        <v>5061</v>
      </c>
      <c r="BF26" s="64" t="s">
        <v>5062</v>
      </c>
      <c r="BG26" s="64" t="s">
        <v>4963</v>
      </c>
      <c r="BH26" s="64" t="s">
        <v>5054</v>
      </c>
      <c r="BI26" s="64" t="s">
        <v>4780</v>
      </c>
      <c r="BJ26" s="64" t="s">
        <v>4954</v>
      </c>
      <c r="BK26" s="64" t="s">
        <v>474</v>
      </c>
      <c r="BL26" s="64" t="s">
        <v>474</v>
      </c>
      <c r="BM26" s="66" t="s">
        <v>1274</v>
      </c>
      <c r="BN26" s="66" t="s">
        <v>1468</v>
      </c>
      <c r="BO26" s="66" t="s">
        <v>1468</v>
      </c>
      <c r="BP26" s="66" t="s">
        <v>1474</v>
      </c>
      <c r="BQ26" s="66" t="s">
        <v>1479</v>
      </c>
      <c r="BR26" s="64">
        <v>0.56999999999999995</v>
      </c>
      <c r="BS26" s="64">
        <v>0.01</v>
      </c>
      <c r="BT26" s="66">
        <v>120</v>
      </c>
      <c r="BU26" s="79"/>
      <c r="BV26" s="79"/>
      <c r="BW26" s="79"/>
      <c r="BX26" s="79"/>
      <c r="BY26" s="79"/>
      <c r="BZ26" s="79"/>
      <c r="CA26" s="79"/>
      <c r="CB26" s="79"/>
      <c r="CC26" s="79"/>
      <c r="CD26" s="79"/>
      <c r="CE26" s="79"/>
      <c r="CF26" s="79"/>
      <c r="CG26" s="66" t="s">
        <v>1474</v>
      </c>
      <c r="CH26" s="79"/>
      <c r="CI26" s="64"/>
      <c r="CJ26" s="79"/>
      <c r="CK26" s="79"/>
      <c r="CL26" s="79"/>
      <c r="CM26" s="79"/>
      <c r="CN26" s="79"/>
      <c r="CO26" s="79"/>
      <c r="CP26" s="79"/>
      <c r="CQ26" s="64">
        <v>166</v>
      </c>
      <c r="CR26" s="64" t="s">
        <v>4745</v>
      </c>
      <c r="CS26" s="64"/>
      <c r="CT26" s="66"/>
      <c r="CU26" s="64">
        <v>134.96799999999999</v>
      </c>
      <c r="CV26" s="64" t="s">
        <v>5064</v>
      </c>
      <c r="CW26" s="64">
        <v>0.15</v>
      </c>
      <c r="CX26" s="64">
        <v>132.89699999999999</v>
      </c>
      <c r="CY26" s="66" t="s">
        <v>1710</v>
      </c>
      <c r="CZ26" s="64"/>
      <c r="DA26" s="64"/>
      <c r="DB26" s="64"/>
      <c r="DC26" s="64"/>
      <c r="DD26" s="64"/>
      <c r="DE26" s="64">
        <v>15</v>
      </c>
      <c r="DF26" s="66" t="s">
        <v>1594</v>
      </c>
      <c r="DG26" s="79"/>
      <c r="DH26" s="79"/>
      <c r="DI26" s="79"/>
      <c r="DJ26" s="79"/>
      <c r="DK26" s="79"/>
      <c r="DL26" s="79"/>
      <c r="DM26" s="79"/>
      <c r="DN26" s="79"/>
      <c r="DO26" s="79"/>
      <c r="DP26" s="79"/>
      <c r="DQ26" s="79"/>
      <c r="DR26" s="79"/>
      <c r="DS26" s="79"/>
      <c r="DT26" s="79"/>
      <c r="DU26" s="79"/>
      <c r="DV26" s="79"/>
      <c r="DW26" s="79"/>
      <c r="DX26" s="79"/>
      <c r="DY26" s="78"/>
    </row>
    <row r="27" spans="1:129" x14ac:dyDescent="0.35">
      <c r="A27" s="42" t="s">
        <v>4743</v>
      </c>
      <c r="B27" s="42" t="s">
        <v>4783</v>
      </c>
      <c r="C27" s="42" t="s">
        <v>126</v>
      </c>
      <c r="D27" s="43" t="s">
        <v>127</v>
      </c>
      <c r="F27" s="44" t="s">
        <v>4782</v>
      </c>
      <c r="G27" s="42" t="s">
        <v>4955</v>
      </c>
      <c r="H27" s="42" t="s">
        <v>68</v>
      </c>
      <c r="I27" s="43" t="s">
        <v>68</v>
      </c>
      <c r="J27" s="43" t="s">
        <v>68</v>
      </c>
      <c r="K27" s="43"/>
      <c r="L27" s="43" t="s">
        <v>69</v>
      </c>
      <c r="M27" s="43">
        <v>3</v>
      </c>
      <c r="N27" s="43">
        <v>3</v>
      </c>
      <c r="O27" s="43" t="s">
        <v>69</v>
      </c>
      <c r="P27" s="43">
        <v>4</v>
      </c>
      <c r="Q27" s="43">
        <v>4</v>
      </c>
      <c r="R27" s="43" t="s">
        <v>69</v>
      </c>
      <c r="S27" s="43">
        <v>5</v>
      </c>
      <c r="T27" s="43">
        <v>5</v>
      </c>
      <c r="U27" s="42" t="s">
        <v>5042</v>
      </c>
      <c r="V27" s="42">
        <v>106.75</v>
      </c>
      <c r="W27" s="42">
        <v>106.76</v>
      </c>
      <c r="X27" s="42" t="s">
        <v>5065</v>
      </c>
      <c r="Y27" s="42" t="s">
        <v>5066</v>
      </c>
      <c r="Z27" s="43" t="s">
        <v>4743</v>
      </c>
      <c r="AA27" s="43" t="s">
        <v>4742</v>
      </c>
      <c r="AC27" s="42" t="s">
        <v>4684</v>
      </c>
      <c r="AD27" s="42" t="s">
        <v>4685</v>
      </c>
      <c r="AE27" s="42" t="s">
        <v>4686</v>
      </c>
      <c r="AF27" s="42" t="s">
        <v>126</v>
      </c>
      <c r="AG27" s="42" t="s">
        <v>4685</v>
      </c>
      <c r="AH27" t="s">
        <v>5042</v>
      </c>
      <c r="AI27" s="42" t="s">
        <v>4959</v>
      </c>
      <c r="AJ27" s="42" t="s">
        <v>5045</v>
      </c>
      <c r="AL27" s="42" t="s">
        <v>5046</v>
      </c>
      <c r="AM27" s="43">
        <v>106.75</v>
      </c>
      <c r="AN27" s="43">
        <v>106.76</v>
      </c>
      <c r="AO27" s="43" t="s">
        <v>70</v>
      </c>
      <c r="AQ27" s="43">
        <v>1</v>
      </c>
      <c r="AR27" s="42" t="s">
        <v>5067</v>
      </c>
      <c r="AU27" s="64"/>
      <c r="AV27" s="64">
        <v>62</v>
      </c>
      <c r="AW27" s="64" t="s">
        <v>4955</v>
      </c>
      <c r="AX27" s="64" t="s">
        <v>4744</v>
      </c>
      <c r="AY27" s="66" t="s">
        <v>478</v>
      </c>
      <c r="AZ27" s="66" t="s">
        <v>126</v>
      </c>
      <c r="BA27" s="64">
        <v>106.75</v>
      </c>
      <c r="BB27" s="64">
        <v>106.76</v>
      </c>
      <c r="BC27" s="64" t="s">
        <v>5065</v>
      </c>
      <c r="BD27" s="64" t="s">
        <v>5066</v>
      </c>
      <c r="BE27" s="64" t="s">
        <v>5065</v>
      </c>
      <c r="BF27" s="64" t="s">
        <v>5066</v>
      </c>
      <c r="BG27" s="64" t="s">
        <v>4963</v>
      </c>
      <c r="BH27" s="64" t="s">
        <v>5042</v>
      </c>
      <c r="BI27" s="64" t="s">
        <v>4782</v>
      </c>
      <c r="BJ27" s="64" t="s">
        <v>4954</v>
      </c>
      <c r="BK27" s="64" t="s">
        <v>474</v>
      </c>
      <c r="BL27" s="64" t="s">
        <v>474</v>
      </c>
      <c r="BM27" s="66" t="s">
        <v>1289</v>
      </c>
      <c r="BN27" s="66" t="s">
        <v>1468</v>
      </c>
      <c r="BO27" s="66" t="s">
        <v>1468</v>
      </c>
      <c r="BP27" s="66" t="s">
        <v>1474</v>
      </c>
      <c r="BQ27" s="66" t="s">
        <v>1479</v>
      </c>
      <c r="BR27" s="64">
        <v>6.0410000000000004</v>
      </c>
      <c r="BS27" s="64">
        <v>2.593</v>
      </c>
      <c r="BT27" s="66">
        <v>120</v>
      </c>
      <c r="BU27" s="79"/>
      <c r="BV27" s="79"/>
      <c r="BW27" s="79"/>
      <c r="BX27" s="79"/>
      <c r="BY27" s="79"/>
      <c r="BZ27" s="79"/>
      <c r="CA27" s="79"/>
      <c r="CB27" s="79"/>
      <c r="CC27" s="79"/>
      <c r="CD27" s="79"/>
      <c r="CE27" s="79"/>
      <c r="CF27" s="79"/>
      <c r="CG27" s="66" t="s">
        <v>1473</v>
      </c>
      <c r="CH27" s="79"/>
      <c r="CI27" s="64"/>
      <c r="CJ27" s="79"/>
      <c r="CK27" s="79"/>
      <c r="CL27" s="79"/>
      <c r="CM27" s="79"/>
      <c r="CN27" s="79"/>
      <c r="CO27" s="79"/>
      <c r="CP27" s="79"/>
      <c r="CQ27" s="64"/>
      <c r="CR27" s="64" t="s">
        <v>4745</v>
      </c>
      <c r="CS27" s="64"/>
      <c r="CT27" s="66"/>
      <c r="CU27" s="64"/>
      <c r="CV27" s="64"/>
      <c r="CW27" s="64"/>
      <c r="CX27" s="64"/>
      <c r="CY27" s="66"/>
      <c r="CZ27" s="64"/>
      <c r="DA27" s="64"/>
      <c r="DB27" s="64"/>
      <c r="DC27" s="64"/>
      <c r="DD27" s="64"/>
      <c r="DE27" s="64"/>
      <c r="DF27" s="66"/>
      <c r="DG27" s="79"/>
      <c r="DH27" s="79"/>
      <c r="DI27" s="79"/>
      <c r="DJ27" s="79"/>
      <c r="DK27" s="79"/>
      <c r="DL27" s="79"/>
      <c r="DM27" s="79"/>
      <c r="DN27" s="79"/>
      <c r="DO27" s="79"/>
      <c r="DP27" s="79"/>
      <c r="DQ27" s="79"/>
      <c r="DR27" s="79"/>
      <c r="DS27" s="79"/>
      <c r="DT27" s="79"/>
      <c r="DU27" s="79"/>
      <c r="DV27" s="79"/>
      <c r="DW27" s="79"/>
      <c r="DX27" s="79"/>
      <c r="DY27" s="78"/>
    </row>
    <row r="28" spans="1:129" x14ac:dyDescent="0.35">
      <c r="A28" s="42" t="s">
        <v>4743</v>
      </c>
      <c r="B28" s="42" t="s">
        <v>4785</v>
      </c>
      <c r="C28" s="42" t="s">
        <v>126</v>
      </c>
      <c r="D28" s="43" t="s">
        <v>127</v>
      </c>
      <c r="F28" s="44" t="s">
        <v>4784</v>
      </c>
      <c r="G28" s="42" t="s">
        <v>4955</v>
      </c>
      <c r="H28" s="42" t="s">
        <v>68</v>
      </c>
      <c r="I28" s="43" t="s">
        <v>68</v>
      </c>
      <c r="J28" s="43" t="s">
        <v>68</v>
      </c>
      <c r="K28" s="43"/>
      <c r="L28" s="43" t="s">
        <v>69</v>
      </c>
      <c r="M28" s="43">
        <v>3</v>
      </c>
      <c r="N28" s="43">
        <v>3</v>
      </c>
      <c r="O28" s="43" t="s">
        <v>69</v>
      </c>
      <c r="P28" s="43">
        <v>4</v>
      </c>
      <c r="Q28" s="43">
        <v>4</v>
      </c>
      <c r="R28" s="43" t="s">
        <v>69</v>
      </c>
      <c r="S28" s="43">
        <v>5</v>
      </c>
      <c r="T28" s="43">
        <v>5</v>
      </c>
      <c r="U28" s="42" t="s">
        <v>5042</v>
      </c>
      <c r="V28" s="42">
        <v>106.75</v>
      </c>
      <c r="W28" s="42">
        <v>106.76</v>
      </c>
      <c r="X28" s="42" t="s">
        <v>5068</v>
      </c>
      <c r="Y28" s="42" t="s">
        <v>5069</v>
      </c>
      <c r="Z28" s="43" t="s">
        <v>4743</v>
      </c>
      <c r="AA28" s="43" t="s">
        <v>4742</v>
      </c>
      <c r="AC28" s="42" t="s">
        <v>4684</v>
      </c>
      <c r="AD28" s="42" t="s">
        <v>4685</v>
      </c>
      <c r="AE28" s="42" t="s">
        <v>4686</v>
      </c>
      <c r="AF28" s="42" t="s">
        <v>126</v>
      </c>
      <c r="AG28" s="42" t="s">
        <v>4685</v>
      </c>
      <c r="AH28" t="s">
        <v>5042</v>
      </c>
      <c r="AI28" s="42" t="s">
        <v>4959</v>
      </c>
      <c r="AJ28" s="42" t="s">
        <v>5045</v>
      </c>
      <c r="AL28" s="42" t="s">
        <v>5046</v>
      </c>
      <c r="AM28" s="43">
        <v>106.75</v>
      </c>
      <c r="AN28" s="43">
        <v>106.76</v>
      </c>
      <c r="AO28" s="43" t="s">
        <v>70</v>
      </c>
      <c r="AQ28" s="43">
        <v>1</v>
      </c>
      <c r="AR28" s="42" t="s">
        <v>5070</v>
      </c>
      <c r="AU28" s="64"/>
      <c r="AV28" s="64">
        <v>62</v>
      </c>
      <c r="AW28" s="64" t="s">
        <v>4955</v>
      </c>
      <c r="AX28" s="64" t="s">
        <v>4744</v>
      </c>
      <c r="AY28" s="66" t="s">
        <v>478</v>
      </c>
      <c r="AZ28" s="66" t="s">
        <v>126</v>
      </c>
      <c r="BA28" s="64">
        <v>106.75</v>
      </c>
      <c r="BB28" s="64">
        <v>106.76</v>
      </c>
      <c r="BC28" s="64" t="s">
        <v>5068</v>
      </c>
      <c r="BD28" s="64" t="s">
        <v>5069</v>
      </c>
      <c r="BE28" s="64" t="s">
        <v>5068</v>
      </c>
      <c r="BF28" s="64" t="s">
        <v>5069</v>
      </c>
      <c r="BG28" s="64" t="s">
        <v>4963</v>
      </c>
      <c r="BH28" s="64" t="s">
        <v>5042</v>
      </c>
      <c r="BI28" s="64" t="s">
        <v>4784</v>
      </c>
      <c r="BJ28" s="64" t="s">
        <v>4954</v>
      </c>
      <c r="BK28" s="64" t="s">
        <v>474</v>
      </c>
      <c r="BL28" s="64" t="s">
        <v>474</v>
      </c>
      <c r="BM28" s="66" t="s">
        <v>1289</v>
      </c>
      <c r="BN28" s="66" t="s">
        <v>1468</v>
      </c>
      <c r="BO28" s="66" t="s">
        <v>1468</v>
      </c>
      <c r="BP28" s="66" t="s">
        <v>1474</v>
      </c>
      <c r="BQ28" s="66" t="s">
        <v>1479</v>
      </c>
      <c r="BR28" s="64">
        <v>0.3</v>
      </c>
      <c r="BS28" s="64">
        <v>1.9039999999999999</v>
      </c>
      <c r="BT28" s="66">
        <v>120</v>
      </c>
      <c r="BU28" s="79"/>
      <c r="BV28" s="79"/>
      <c r="BW28" s="79"/>
      <c r="BX28" s="79"/>
      <c r="BY28" s="79"/>
      <c r="BZ28" s="79"/>
      <c r="CA28" s="79"/>
      <c r="CB28" s="79"/>
      <c r="CC28" s="79"/>
      <c r="CD28" s="79"/>
      <c r="CE28" s="79"/>
      <c r="CF28" s="79"/>
      <c r="CG28" s="66" t="s">
        <v>1473</v>
      </c>
      <c r="CH28" s="79"/>
      <c r="CI28" s="64"/>
      <c r="CJ28" s="79"/>
      <c r="CK28" s="79"/>
      <c r="CL28" s="79"/>
      <c r="CM28" s="79"/>
      <c r="CN28" s="79"/>
      <c r="CO28" s="79"/>
      <c r="CP28" s="79"/>
      <c r="CQ28" s="64"/>
      <c r="CR28" s="64" t="s">
        <v>4745</v>
      </c>
      <c r="CS28" s="64"/>
      <c r="CT28" s="66"/>
      <c r="CU28" s="64"/>
      <c r="CV28" s="64"/>
      <c r="CW28" s="64"/>
      <c r="CX28" s="64"/>
      <c r="CY28" s="66"/>
      <c r="CZ28" s="64"/>
      <c r="DA28" s="64"/>
      <c r="DB28" s="64"/>
      <c r="DC28" s="64"/>
      <c r="DD28" s="64"/>
      <c r="DE28" s="64"/>
      <c r="DF28" s="66"/>
      <c r="DG28" s="79"/>
      <c r="DH28" s="79"/>
      <c r="DI28" s="79"/>
      <c r="DJ28" s="79"/>
      <c r="DK28" s="79"/>
      <c r="DL28" s="79"/>
      <c r="DM28" s="79"/>
      <c r="DN28" s="79"/>
      <c r="DO28" s="79"/>
      <c r="DP28" s="79"/>
      <c r="DQ28" s="79"/>
      <c r="DR28" s="79"/>
      <c r="DS28" s="79"/>
      <c r="DT28" s="79"/>
      <c r="DU28" s="79"/>
      <c r="DV28" s="79"/>
      <c r="DW28" s="79"/>
      <c r="DX28" s="79"/>
      <c r="DY28" s="78"/>
    </row>
    <row r="29" spans="1:129" x14ac:dyDescent="0.35">
      <c r="A29" s="42" t="s">
        <v>4743</v>
      </c>
      <c r="B29" s="42" t="s">
        <v>4787</v>
      </c>
      <c r="C29" s="42" t="s">
        <v>126</v>
      </c>
      <c r="D29" s="43" t="s">
        <v>127</v>
      </c>
      <c r="F29" s="44" t="s">
        <v>4786</v>
      </c>
      <c r="G29" s="42" t="s">
        <v>4955</v>
      </c>
      <c r="H29" s="42" t="s">
        <v>68</v>
      </c>
      <c r="I29" s="43" t="s">
        <v>68</v>
      </c>
      <c r="J29" s="43" t="s">
        <v>68</v>
      </c>
      <c r="K29" s="43"/>
      <c r="L29" s="43" t="s">
        <v>69</v>
      </c>
      <c r="M29" s="43">
        <v>3</v>
      </c>
      <c r="N29" s="43">
        <v>3</v>
      </c>
      <c r="O29" s="43" t="s">
        <v>69</v>
      </c>
      <c r="P29" s="43">
        <v>4</v>
      </c>
      <c r="Q29" s="43">
        <v>4</v>
      </c>
      <c r="R29" s="43" t="s">
        <v>69</v>
      </c>
      <c r="S29" s="43">
        <v>5</v>
      </c>
      <c r="T29" s="43">
        <v>5</v>
      </c>
      <c r="U29" s="42" t="s">
        <v>5042</v>
      </c>
      <c r="V29" s="42">
        <v>106.76</v>
      </c>
      <c r="W29" s="42">
        <v>106.76</v>
      </c>
      <c r="X29" s="42" t="s">
        <v>5071</v>
      </c>
      <c r="Y29" s="42" t="s">
        <v>5072</v>
      </c>
      <c r="Z29" s="43" t="s">
        <v>4743</v>
      </c>
      <c r="AA29" s="43" t="s">
        <v>4742</v>
      </c>
      <c r="AC29" s="42" t="s">
        <v>4684</v>
      </c>
      <c r="AD29" s="42" t="s">
        <v>4685</v>
      </c>
      <c r="AE29" s="42" t="s">
        <v>4686</v>
      </c>
      <c r="AF29" s="42" t="s">
        <v>126</v>
      </c>
      <c r="AG29" s="42" t="s">
        <v>4685</v>
      </c>
      <c r="AH29" t="s">
        <v>5042</v>
      </c>
      <c r="AI29" s="42" t="s">
        <v>4959</v>
      </c>
      <c r="AJ29" s="42" t="s">
        <v>5045</v>
      </c>
      <c r="AL29" s="42" t="s">
        <v>5046</v>
      </c>
      <c r="AM29" s="43">
        <v>106.76</v>
      </c>
      <c r="AN29" s="43">
        <v>106.76</v>
      </c>
      <c r="AO29" s="43" t="s">
        <v>70</v>
      </c>
      <c r="AQ29" s="43">
        <v>1</v>
      </c>
      <c r="AR29" s="42" t="s">
        <v>5073</v>
      </c>
      <c r="AU29" s="64"/>
      <c r="AV29" s="64">
        <v>62</v>
      </c>
      <c r="AW29" s="64" t="s">
        <v>4955</v>
      </c>
      <c r="AX29" s="64" t="s">
        <v>4744</v>
      </c>
      <c r="AY29" s="66" t="s">
        <v>478</v>
      </c>
      <c r="AZ29" s="66" t="s">
        <v>126</v>
      </c>
      <c r="BA29" s="64">
        <v>106.76</v>
      </c>
      <c r="BB29" s="64">
        <v>106.76</v>
      </c>
      <c r="BC29" s="64" t="s">
        <v>5071</v>
      </c>
      <c r="BD29" s="64" t="s">
        <v>5072</v>
      </c>
      <c r="BE29" s="64" t="s">
        <v>5071</v>
      </c>
      <c r="BF29" s="64" t="s">
        <v>5072</v>
      </c>
      <c r="BG29" s="64" t="s">
        <v>4963</v>
      </c>
      <c r="BH29" s="64" t="s">
        <v>5042</v>
      </c>
      <c r="BI29" s="64" t="s">
        <v>4786</v>
      </c>
      <c r="BJ29" s="64" t="s">
        <v>4954</v>
      </c>
      <c r="BK29" s="64" t="s">
        <v>474</v>
      </c>
      <c r="BL29" s="64" t="s">
        <v>474</v>
      </c>
      <c r="BM29" s="66" t="s">
        <v>1289</v>
      </c>
      <c r="BN29" s="66" t="s">
        <v>1468</v>
      </c>
      <c r="BO29" s="66" t="s">
        <v>1468</v>
      </c>
      <c r="BP29" s="66" t="s">
        <v>1474</v>
      </c>
      <c r="BQ29" s="66" t="s">
        <v>1479</v>
      </c>
      <c r="BR29" s="64">
        <v>6.0410000000000004</v>
      </c>
      <c r="BS29" s="64">
        <v>2.593</v>
      </c>
      <c r="BT29" s="66">
        <v>120</v>
      </c>
      <c r="BU29" s="79"/>
      <c r="BV29" s="79"/>
      <c r="BW29" s="79"/>
      <c r="BX29" s="79"/>
      <c r="BY29" s="79"/>
      <c r="BZ29" s="79"/>
      <c r="CA29" s="79"/>
      <c r="CB29" s="79"/>
      <c r="CC29" s="79"/>
      <c r="CD29" s="79"/>
      <c r="CE29" s="79"/>
      <c r="CF29" s="79"/>
      <c r="CG29" s="66" t="s">
        <v>1473</v>
      </c>
      <c r="CH29" s="79"/>
      <c r="CI29" s="64"/>
      <c r="CJ29" s="79"/>
      <c r="CK29" s="79"/>
      <c r="CL29" s="79"/>
      <c r="CM29" s="79"/>
      <c r="CN29" s="79"/>
      <c r="CO29" s="79"/>
      <c r="CP29" s="79"/>
      <c r="CQ29" s="64"/>
      <c r="CR29" s="64" t="s">
        <v>4745</v>
      </c>
      <c r="CS29" s="64"/>
      <c r="CT29" s="66"/>
      <c r="CU29" s="64"/>
      <c r="CV29" s="64"/>
      <c r="CW29" s="64"/>
      <c r="CX29" s="64"/>
      <c r="CY29" s="66"/>
      <c r="CZ29" s="64"/>
      <c r="DA29" s="64"/>
      <c r="DB29" s="64"/>
      <c r="DC29" s="64"/>
      <c r="DD29" s="64"/>
      <c r="DE29" s="64"/>
      <c r="DF29" s="66"/>
      <c r="DG29" s="79"/>
      <c r="DH29" s="79"/>
      <c r="DI29" s="79"/>
      <c r="DJ29" s="79"/>
      <c r="DK29" s="79"/>
      <c r="DL29" s="79"/>
      <c r="DM29" s="79"/>
      <c r="DN29" s="79"/>
      <c r="DO29" s="79"/>
      <c r="DP29" s="79"/>
      <c r="DQ29" s="79"/>
      <c r="DR29" s="79"/>
      <c r="DS29" s="79"/>
      <c r="DT29" s="79"/>
      <c r="DU29" s="79"/>
      <c r="DV29" s="79"/>
      <c r="DW29" s="79"/>
      <c r="DX29" s="79"/>
      <c r="DY29" s="78"/>
    </row>
    <row r="30" spans="1:129" x14ac:dyDescent="0.35">
      <c r="A30" s="42" t="s">
        <v>4743</v>
      </c>
      <c r="B30" s="42" t="s">
        <v>4789</v>
      </c>
      <c r="C30" s="42" t="s">
        <v>126</v>
      </c>
      <c r="D30" s="43" t="s">
        <v>127</v>
      </c>
      <c r="F30" s="44" t="s">
        <v>4788</v>
      </c>
      <c r="G30" s="42" t="s">
        <v>4955</v>
      </c>
      <c r="H30" s="42" t="s">
        <v>68</v>
      </c>
      <c r="I30" s="43" t="s">
        <v>68</v>
      </c>
      <c r="J30" s="43" t="s">
        <v>68</v>
      </c>
      <c r="K30" s="43"/>
      <c r="L30" s="43" t="s">
        <v>69</v>
      </c>
      <c r="M30" s="43">
        <v>3</v>
      </c>
      <c r="N30" s="43">
        <v>3</v>
      </c>
      <c r="O30" s="43" t="s">
        <v>69</v>
      </c>
      <c r="P30" s="43">
        <v>4</v>
      </c>
      <c r="Q30" s="43">
        <v>4</v>
      </c>
      <c r="R30" s="43" t="s">
        <v>69</v>
      </c>
      <c r="S30" s="43">
        <v>5</v>
      </c>
      <c r="T30" s="43">
        <v>5</v>
      </c>
      <c r="U30" s="42" t="s">
        <v>5054</v>
      </c>
      <c r="V30" s="42">
        <v>106.75</v>
      </c>
      <c r="W30" s="42">
        <v>106.75</v>
      </c>
      <c r="X30" s="42" t="s">
        <v>5074</v>
      </c>
      <c r="Y30" s="42" t="s">
        <v>5075</v>
      </c>
      <c r="Z30" s="43" t="s">
        <v>4743</v>
      </c>
      <c r="AA30" s="43" t="s">
        <v>4742</v>
      </c>
      <c r="AC30" s="42" t="s">
        <v>4684</v>
      </c>
      <c r="AD30" s="42" t="s">
        <v>4685</v>
      </c>
      <c r="AE30" s="42" t="s">
        <v>4686</v>
      </c>
      <c r="AF30" s="42" t="s">
        <v>126</v>
      </c>
      <c r="AG30" s="42" t="s">
        <v>4685</v>
      </c>
      <c r="AH30" t="s">
        <v>5054</v>
      </c>
      <c r="AI30" s="42" t="s">
        <v>4959</v>
      </c>
      <c r="AJ30" s="42" t="s">
        <v>5057</v>
      </c>
      <c r="AL30" s="42" t="s">
        <v>5058</v>
      </c>
      <c r="AM30" s="43">
        <v>106.75</v>
      </c>
      <c r="AN30" s="43">
        <v>106.75</v>
      </c>
      <c r="AO30" s="43" t="s">
        <v>70</v>
      </c>
      <c r="AQ30" s="43">
        <v>1</v>
      </c>
      <c r="AR30" s="42" t="s">
        <v>5076</v>
      </c>
      <c r="AU30" s="64"/>
      <c r="AV30" s="64">
        <v>62</v>
      </c>
      <c r="AW30" s="64" t="s">
        <v>4955</v>
      </c>
      <c r="AX30" s="64" t="s">
        <v>4744</v>
      </c>
      <c r="AY30" s="66" t="s">
        <v>478</v>
      </c>
      <c r="AZ30" s="66" t="s">
        <v>126</v>
      </c>
      <c r="BA30" s="64">
        <v>106.75</v>
      </c>
      <c r="BB30" s="64">
        <v>106.75</v>
      </c>
      <c r="BC30" s="64" t="s">
        <v>5074</v>
      </c>
      <c r="BD30" s="64" t="s">
        <v>5075</v>
      </c>
      <c r="BE30" s="64" t="s">
        <v>5074</v>
      </c>
      <c r="BF30" s="64" t="s">
        <v>5075</v>
      </c>
      <c r="BG30" s="64" t="s">
        <v>4963</v>
      </c>
      <c r="BH30" s="64" t="s">
        <v>5054</v>
      </c>
      <c r="BI30" s="64" t="s">
        <v>4788</v>
      </c>
      <c r="BJ30" s="64" t="s">
        <v>4954</v>
      </c>
      <c r="BK30" s="64" t="s">
        <v>474</v>
      </c>
      <c r="BL30" s="64" t="s">
        <v>474</v>
      </c>
      <c r="BM30" s="66" t="s">
        <v>1274</v>
      </c>
      <c r="BN30" s="66" t="s">
        <v>1468</v>
      </c>
      <c r="BO30" s="66" t="s">
        <v>1468</v>
      </c>
      <c r="BP30" s="66" t="s">
        <v>1474</v>
      </c>
      <c r="BQ30" s="66" t="s">
        <v>1479</v>
      </c>
      <c r="BR30" s="64">
        <v>0.56999999999999995</v>
      </c>
      <c r="BS30" s="64">
        <v>0.01</v>
      </c>
      <c r="BT30" s="66">
        <v>120</v>
      </c>
      <c r="BU30" s="79"/>
      <c r="BV30" s="79"/>
      <c r="BW30" s="79"/>
      <c r="BX30" s="79"/>
      <c r="BY30" s="79"/>
      <c r="BZ30" s="79"/>
      <c r="CA30" s="79"/>
      <c r="CB30" s="79"/>
      <c r="CC30" s="79"/>
      <c r="CD30" s="79"/>
      <c r="CE30" s="79"/>
      <c r="CF30" s="79"/>
      <c r="CG30" s="66" t="s">
        <v>1474</v>
      </c>
      <c r="CH30" s="79"/>
      <c r="CI30" s="64"/>
      <c r="CJ30" s="79"/>
      <c r="CK30" s="79"/>
      <c r="CL30" s="79"/>
      <c r="CM30" s="79"/>
      <c r="CN30" s="79"/>
      <c r="CO30" s="79"/>
      <c r="CP30" s="79"/>
      <c r="CQ30" s="64">
        <v>166</v>
      </c>
      <c r="CR30" s="64" t="s">
        <v>4745</v>
      </c>
      <c r="CS30" s="64"/>
      <c r="CT30" s="66"/>
      <c r="CU30" s="64">
        <v>134.96799999999999</v>
      </c>
      <c r="CV30" s="64" t="s">
        <v>5077</v>
      </c>
      <c r="CW30" s="64">
        <v>0.15</v>
      </c>
      <c r="CX30" s="64">
        <v>132.89699999999999</v>
      </c>
      <c r="CY30" s="66" t="s">
        <v>1710</v>
      </c>
      <c r="CZ30" s="64"/>
      <c r="DA30" s="64"/>
      <c r="DB30" s="64"/>
      <c r="DC30" s="64"/>
      <c r="DD30" s="64"/>
      <c r="DE30" s="64">
        <v>15</v>
      </c>
      <c r="DF30" s="66" t="s">
        <v>1594</v>
      </c>
      <c r="DG30" s="79"/>
      <c r="DH30" s="79"/>
      <c r="DI30" s="79"/>
      <c r="DJ30" s="79"/>
      <c r="DK30" s="79"/>
      <c r="DL30" s="79"/>
      <c r="DM30" s="79"/>
      <c r="DN30" s="79"/>
      <c r="DO30" s="79"/>
      <c r="DP30" s="79"/>
      <c r="DQ30" s="79"/>
      <c r="DR30" s="79"/>
      <c r="DS30" s="79"/>
      <c r="DT30" s="79"/>
      <c r="DU30" s="79"/>
      <c r="DV30" s="79"/>
      <c r="DW30" s="79"/>
      <c r="DX30" s="79"/>
      <c r="DY30" s="78"/>
    </row>
    <row r="31" spans="1:129" x14ac:dyDescent="0.35">
      <c r="A31" s="42" t="s">
        <v>4743</v>
      </c>
      <c r="B31" s="42" t="s">
        <v>4791</v>
      </c>
      <c r="C31" s="42" t="s">
        <v>126</v>
      </c>
      <c r="D31" s="43" t="s">
        <v>127</v>
      </c>
      <c r="F31" s="44" t="s">
        <v>4790</v>
      </c>
      <c r="G31" s="42" t="s">
        <v>4955</v>
      </c>
      <c r="H31" s="42" t="s">
        <v>68</v>
      </c>
      <c r="I31" s="43" t="s">
        <v>68</v>
      </c>
      <c r="J31" s="43" t="s">
        <v>68</v>
      </c>
      <c r="K31" s="43"/>
      <c r="L31" s="43" t="s">
        <v>69</v>
      </c>
      <c r="M31" s="43">
        <v>3</v>
      </c>
      <c r="N31" s="43">
        <v>3</v>
      </c>
      <c r="O31" s="43" t="s">
        <v>69</v>
      </c>
      <c r="P31" s="43">
        <v>4</v>
      </c>
      <c r="Q31" s="43">
        <v>4</v>
      </c>
      <c r="R31" s="43" t="s">
        <v>69</v>
      </c>
      <c r="S31" s="43">
        <v>5</v>
      </c>
      <c r="T31" s="43">
        <v>5</v>
      </c>
      <c r="U31" s="42" t="s">
        <v>5054</v>
      </c>
      <c r="V31" s="42">
        <v>106.75</v>
      </c>
      <c r="W31" s="42">
        <v>106.75</v>
      </c>
      <c r="X31" s="42" t="s">
        <v>5078</v>
      </c>
      <c r="Y31" s="42" t="s">
        <v>5079</v>
      </c>
      <c r="Z31" s="43" t="s">
        <v>4743</v>
      </c>
      <c r="AA31" s="43" t="s">
        <v>4742</v>
      </c>
      <c r="AC31" s="42" t="s">
        <v>4684</v>
      </c>
      <c r="AD31" s="42" t="s">
        <v>4685</v>
      </c>
      <c r="AE31" s="42" t="s">
        <v>4686</v>
      </c>
      <c r="AF31" s="42" t="s">
        <v>126</v>
      </c>
      <c r="AG31" s="42" t="s">
        <v>4685</v>
      </c>
      <c r="AH31" t="s">
        <v>5054</v>
      </c>
      <c r="AI31" s="42" t="s">
        <v>4959</v>
      </c>
      <c r="AJ31" s="42" t="s">
        <v>5057</v>
      </c>
      <c r="AL31" s="42" t="s">
        <v>5058</v>
      </c>
      <c r="AM31" s="43">
        <v>106.75</v>
      </c>
      <c r="AN31" s="43">
        <v>106.75</v>
      </c>
      <c r="AO31" s="43" t="s">
        <v>70</v>
      </c>
      <c r="AQ31" s="43">
        <v>1</v>
      </c>
      <c r="AR31" s="42" t="s">
        <v>5080</v>
      </c>
      <c r="AU31" s="64"/>
      <c r="AV31" s="64">
        <v>62</v>
      </c>
      <c r="AW31" s="64" t="s">
        <v>4955</v>
      </c>
      <c r="AX31" s="64" t="s">
        <v>4744</v>
      </c>
      <c r="AY31" s="66" t="s">
        <v>478</v>
      </c>
      <c r="AZ31" s="66" t="s">
        <v>126</v>
      </c>
      <c r="BA31" s="64">
        <v>106.75</v>
      </c>
      <c r="BB31" s="64">
        <v>106.75</v>
      </c>
      <c r="BC31" s="64" t="s">
        <v>5078</v>
      </c>
      <c r="BD31" s="64" t="s">
        <v>5079</v>
      </c>
      <c r="BE31" s="64" t="s">
        <v>5078</v>
      </c>
      <c r="BF31" s="64" t="s">
        <v>5079</v>
      </c>
      <c r="BG31" s="64" t="s">
        <v>4963</v>
      </c>
      <c r="BH31" s="64" t="s">
        <v>5054</v>
      </c>
      <c r="BI31" s="64" t="s">
        <v>4790</v>
      </c>
      <c r="BJ31" s="64" t="s">
        <v>4954</v>
      </c>
      <c r="BK31" s="64" t="s">
        <v>474</v>
      </c>
      <c r="BL31" s="64" t="s">
        <v>474</v>
      </c>
      <c r="BM31" s="66" t="s">
        <v>1274</v>
      </c>
      <c r="BN31" s="66" t="s">
        <v>1468</v>
      </c>
      <c r="BO31" s="66" t="s">
        <v>1468</v>
      </c>
      <c r="BP31" s="66" t="s">
        <v>1474</v>
      </c>
      <c r="BQ31" s="66" t="s">
        <v>1479</v>
      </c>
      <c r="BR31" s="64">
        <v>0.56999999999999995</v>
      </c>
      <c r="BS31" s="64">
        <v>0.01</v>
      </c>
      <c r="BT31" s="66">
        <v>120</v>
      </c>
      <c r="BU31" s="79"/>
      <c r="BV31" s="79"/>
      <c r="BW31" s="79"/>
      <c r="BX31" s="79"/>
      <c r="BY31" s="79"/>
      <c r="BZ31" s="79"/>
      <c r="CA31" s="79"/>
      <c r="CB31" s="79"/>
      <c r="CC31" s="79"/>
      <c r="CD31" s="79"/>
      <c r="CE31" s="79"/>
      <c r="CF31" s="79"/>
      <c r="CG31" s="66" t="s">
        <v>1474</v>
      </c>
      <c r="CH31" s="79"/>
      <c r="CI31" s="64"/>
      <c r="CJ31" s="79"/>
      <c r="CK31" s="79"/>
      <c r="CL31" s="79"/>
      <c r="CM31" s="79"/>
      <c r="CN31" s="79"/>
      <c r="CO31" s="79"/>
      <c r="CP31" s="79"/>
      <c r="CQ31" s="64">
        <v>166</v>
      </c>
      <c r="CR31" s="64" t="s">
        <v>4745</v>
      </c>
      <c r="CS31" s="64"/>
      <c r="CT31" s="66"/>
      <c r="CU31" s="64">
        <v>134.96799999999999</v>
      </c>
      <c r="CV31" s="64" t="s">
        <v>5081</v>
      </c>
      <c r="CW31" s="64">
        <v>0.15</v>
      </c>
      <c r="CX31" s="64">
        <v>132.89699999999999</v>
      </c>
      <c r="CY31" s="66" t="s">
        <v>1710</v>
      </c>
      <c r="CZ31" s="64"/>
      <c r="DA31" s="64"/>
      <c r="DB31" s="64"/>
      <c r="DC31" s="64"/>
      <c r="DD31" s="64"/>
      <c r="DE31" s="64">
        <v>15</v>
      </c>
      <c r="DF31" s="66" t="s">
        <v>1594</v>
      </c>
      <c r="DG31" s="79"/>
      <c r="DH31" s="79"/>
      <c r="DI31" s="79"/>
      <c r="DJ31" s="79"/>
      <c r="DK31" s="79"/>
      <c r="DL31" s="79"/>
      <c r="DM31" s="79"/>
      <c r="DN31" s="79"/>
      <c r="DO31" s="79"/>
      <c r="DP31" s="79"/>
      <c r="DQ31" s="79"/>
      <c r="DR31" s="79"/>
      <c r="DS31" s="79"/>
      <c r="DT31" s="79"/>
      <c r="DU31" s="79"/>
      <c r="DV31" s="79"/>
      <c r="DW31" s="79"/>
      <c r="DX31" s="79"/>
      <c r="DY31" s="78"/>
    </row>
    <row r="32" spans="1:129" x14ac:dyDescent="0.35">
      <c r="A32" s="42" t="s">
        <v>4743</v>
      </c>
      <c r="B32" s="42" t="s">
        <v>5082</v>
      </c>
      <c r="C32" s="42" t="s">
        <v>132</v>
      </c>
      <c r="D32" s="43" t="s">
        <v>133</v>
      </c>
      <c r="F32" s="44" t="s">
        <v>5083</v>
      </c>
      <c r="G32" s="42" t="s">
        <v>4955</v>
      </c>
      <c r="H32" s="42" t="s">
        <v>68</v>
      </c>
      <c r="I32" s="43" t="s">
        <v>68</v>
      </c>
      <c r="J32" s="43" t="s">
        <v>68</v>
      </c>
      <c r="K32" s="43"/>
      <c r="L32" s="43" t="s">
        <v>69</v>
      </c>
      <c r="M32" s="43">
        <v>3</v>
      </c>
      <c r="N32" s="43">
        <v>3</v>
      </c>
      <c r="O32" s="43" t="s">
        <v>69</v>
      </c>
      <c r="P32" s="43">
        <v>4</v>
      </c>
      <c r="Q32" s="43">
        <v>4</v>
      </c>
      <c r="R32" s="43" t="s">
        <v>69</v>
      </c>
      <c r="S32" s="43">
        <v>5</v>
      </c>
      <c r="T32" s="43">
        <v>5</v>
      </c>
      <c r="U32" s="42" t="s">
        <v>5084</v>
      </c>
      <c r="V32" s="42">
        <v>106.73</v>
      </c>
      <c r="W32" s="42">
        <v>106.73</v>
      </c>
      <c r="X32" s="42" t="s">
        <v>5085</v>
      </c>
      <c r="Y32" s="42" t="s">
        <v>5086</v>
      </c>
      <c r="Z32" s="43" t="s">
        <v>4743</v>
      </c>
      <c r="AA32" s="43" t="s">
        <v>4742</v>
      </c>
      <c r="AC32" s="42" t="s">
        <v>4684</v>
      </c>
      <c r="AD32" s="42" t="s">
        <v>4685</v>
      </c>
      <c r="AE32" s="42" t="s">
        <v>4686</v>
      </c>
      <c r="AF32" s="42" t="s">
        <v>132</v>
      </c>
      <c r="AG32" s="42" t="s">
        <v>4685</v>
      </c>
      <c r="AH32" t="s">
        <v>5084</v>
      </c>
      <c r="AI32" s="42" t="s">
        <v>4959</v>
      </c>
      <c r="AJ32" s="42" t="s">
        <v>5087</v>
      </c>
      <c r="AL32" s="42" t="s">
        <v>5088</v>
      </c>
      <c r="AM32" s="43">
        <v>106.73</v>
      </c>
      <c r="AN32" s="43">
        <v>106.73</v>
      </c>
      <c r="AO32" s="43" t="s">
        <v>70</v>
      </c>
      <c r="AQ32" s="43">
        <v>1</v>
      </c>
      <c r="AR32" s="42" t="s">
        <v>5089</v>
      </c>
      <c r="AU32" s="64"/>
      <c r="AV32" s="64">
        <v>62</v>
      </c>
      <c r="AW32" s="64" t="s">
        <v>4955</v>
      </c>
      <c r="AX32" s="64" t="s">
        <v>4744</v>
      </c>
      <c r="AY32" s="66" t="s">
        <v>478</v>
      </c>
      <c r="AZ32" s="66" t="s">
        <v>132</v>
      </c>
      <c r="BA32" s="64">
        <v>106.73</v>
      </c>
      <c r="BB32" s="64">
        <v>106.73</v>
      </c>
      <c r="BC32" s="64" t="s">
        <v>5085</v>
      </c>
      <c r="BD32" s="64" t="s">
        <v>5086</v>
      </c>
      <c r="BE32" s="64" t="s">
        <v>5085</v>
      </c>
      <c r="BF32" s="64" t="s">
        <v>5086</v>
      </c>
      <c r="BG32" s="64" t="s">
        <v>4963</v>
      </c>
      <c r="BH32" s="64" t="s">
        <v>5084</v>
      </c>
      <c r="BI32" s="64" t="s">
        <v>5083</v>
      </c>
      <c r="BJ32" s="64" t="s">
        <v>4954</v>
      </c>
      <c r="BK32" s="64" t="s">
        <v>474</v>
      </c>
      <c r="BL32" s="64" t="s">
        <v>474</v>
      </c>
      <c r="BM32" s="66" t="s">
        <v>1297</v>
      </c>
      <c r="BN32" s="66" t="s">
        <v>1468</v>
      </c>
      <c r="BO32" s="66" t="s">
        <v>1468</v>
      </c>
      <c r="BP32" s="66" t="s">
        <v>1474</v>
      </c>
      <c r="BQ32" s="66" t="s">
        <v>1479</v>
      </c>
      <c r="BR32" s="64">
        <v>0.55400000000000005</v>
      </c>
      <c r="BS32" s="64">
        <v>0.13400000000000001</v>
      </c>
      <c r="BT32" s="66">
        <v>25</v>
      </c>
      <c r="BU32" s="79"/>
      <c r="BV32" s="79"/>
      <c r="BW32" s="79"/>
      <c r="BX32" s="79"/>
      <c r="BY32" s="79"/>
      <c r="BZ32" s="79"/>
      <c r="CA32" s="79"/>
      <c r="CB32" s="79"/>
      <c r="CC32" s="79"/>
      <c r="CD32" s="79"/>
      <c r="CE32" s="79"/>
      <c r="CF32" s="79"/>
      <c r="CG32" s="79"/>
      <c r="CH32" s="79"/>
      <c r="CI32" s="79"/>
      <c r="CJ32" s="64">
        <v>0.115</v>
      </c>
      <c r="CK32" s="79"/>
      <c r="CL32" s="79"/>
      <c r="CM32" s="79"/>
      <c r="CN32" s="79"/>
      <c r="CO32" s="79"/>
      <c r="CP32" s="79"/>
      <c r="CQ32" s="79"/>
      <c r="CR32" s="79"/>
      <c r="CS32" s="79"/>
      <c r="CT32" s="79"/>
      <c r="CU32" s="79"/>
      <c r="CV32" s="79"/>
      <c r="CW32" s="79"/>
      <c r="CX32" s="79"/>
      <c r="CY32" s="79"/>
      <c r="CZ32" s="79"/>
      <c r="DA32" s="79"/>
      <c r="DB32" s="79"/>
      <c r="DC32" s="79"/>
      <c r="DD32" s="79"/>
      <c r="DE32" s="79"/>
      <c r="DF32" s="79"/>
      <c r="DG32" s="79"/>
      <c r="DH32" s="79"/>
      <c r="DI32" s="79"/>
      <c r="DJ32" s="79"/>
      <c r="DK32" s="79"/>
      <c r="DL32" s="79"/>
      <c r="DM32" s="79"/>
      <c r="DN32" s="79"/>
      <c r="DO32" s="79"/>
      <c r="DP32" s="79"/>
      <c r="DQ32" s="79"/>
      <c r="DR32" s="79"/>
      <c r="DS32" s="79"/>
      <c r="DT32" s="79"/>
      <c r="DU32" s="79"/>
      <c r="DV32" s="79"/>
      <c r="DW32" s="79"/>
      <c r="DX32" s="79"/>
      <c r="DY32" s="78"/>
    </row>
    <row r="33" spans="1:129" x14ac:dyDescent="0.35">
      <c r="A33" s="42" t="s">
        <v>4743</v>
      </c>
      <c r="B33" s="42" t="s">
        <v>5090</v>
      </c>
      <c r="C33" s="42" t="s">
        <v>132</v>
      </c>
      <c r="D33" s="43" t="s">
        <v>133</v>
      </c>
      <c r="F33" s="44" t="s">
        <v>5091</v>
      </c>
      <c r="G33" s="42" t="s">
        <v>4955</v>
      </c>
      <c r="H33" s="42" t="s">
        <v>68</v>
      </c>
      <c r="I33" s="43" t="s">
        <v>68</v>
      </c>
      <c r="J33" s="43" t="s">
        <v>68</v>
      </c>
      <c r="K33" s="43"/>
      <c r="L33" s="43" t="s">
        <v>69</v>
      </c>
      <c r="M33" s="43">
        <v>3</v>
      </c>
      <c r="N33" s="43">
        <v>3</v>
      </c>
      <c r="O33" s="43" t="s">
        <v>69</v>
      </c>
      <c r="P33" s="43">
        <v>4</v>
      </c>
      <c r="Q33" s="43">
        <v>4</v>
      </c>
      <c r="R33" s="43" t="s">
        <v>69</v>
      </c>
      <c r="S33" s="43">
        <v>5</v>
      </c>
      <c r="T33" s="43">
        <v>5</v>
      </c>
      <c r="U33" s="42" t="s">
        <v>5084</v>
      </c>
      <c r="V33" s="42">
        <v>106.75</v>
      </c>
      <c r="W33" s="42">
        <v>106.76</v>
      </c>
      <c r="X33" s="42" t="s">
        <v>5092</v>
      </c>
      <c r="Y33" s="42" t="s">
        <v>5093</v>
      </c>
      <c r="Z33" s="43" t="s">
        <v>4743</v>
      </c>
      <c r="AA33" s="43" t="s">
        <v>4742</v>
      </c>
      <c r="AC33" s="42" t="s">
        <v>4684</v>
      </c>
      <c r="AD33" s="42" t="s">
        <v>4685</v>
      </c>
      <c r="AE33" s="42" t="s">
        <v>4686</v>
      </c>
      <c r="AF33" s="42" t="s">
        <v>132</v>
      </c>
      <c r="AG33" s="42" t="s">
        <v>4685</v>
      </c>
      <c r="AH33" t="s">
        <v>5084</v>
      </c>
      <c r="AI33" s="42" t="s">
        <v>4959</v>
      </c>
      <c r="AJ33" s="42" t="s">
        <v>5087</v>
      </c>
      <c r="AL33" s="42" t="s">
        <v>5088</v>
      </c>
      <c r="AM33" s="43">
        <v>106.75</v>
      </c>
      <c r="AN33" s="43">
        <v>106.76</v>
      </c>
      <c r="AO33" s="43" t="s">
        <v>70</v>
      </c>
      <c r="AQ33" s="43">
        <v>1</v>
      </c>
      <c r="AR33" s="42" t="s">
        <v>5094</v>
      </c>
      <c r="AU33" s="64"/>
      <c r="AV33" s="64">
        <v>62</v>
      </c>
      <c r="AW33" s="64" t="s">
        <v>4955</v>
      </c>
      <c r="AX33" s="64" t="s">
        <v>4744</v>
      </c>
      <c r="AY33" s="66" t="s">
        <v>478</v>
      </c>
      <c r="AZ33" s="66" t="s">
        <v>132</v>
      </c>
      <c r="BA33" s="64">
        <v>106.75</v>
      </c>
      <c r="BB33" s="64">
        <v>106.76</v>
      </c>
      <c r="BC33" s="64" t="s">
        <v>5092</v>
      </c>
      <c r="BD33" s="64" t="s">
        <v>5093</v>
      </c>
      <c r="BE33" s="64" t="s">
        <v>5092</v>
      </c>
      <c r="BF33" s="64" t="s">
        <v>5093</v>
      </c>
      <c r="BG33" s="64" t="s">
        <v>4963</v>
      </c>
      <c r="BH33" s="64" t="s">
        <v>5084</v>
      </c>
      <c r="BI33" s="64" t="s">
        <v>5091</v>
      </c>
      <c r="BJ33" s="64" t="s">
        <v>4954</v>
      </c>
      <c r="BK33" s="64" t="s">
        <v>474</v>
      </c>
      <c r="BL33" s="64" t="s">
        <v>474</v>
      </c>
      <c r="BM33" s="66" t="s">
        <v>1297</v>
      </c>
      <c r="BN33" s="66" t="s">
        <v>1468</v>
      </c>
      <c r="BO33" s="66" t="s">
        <v>1468</v>
      </c>
      <c r="BP33" s="66" t="s">
        <v>1474</v>
      </c>
      <c r="BQ33" s="66" t="s">
        <v>1479</v>
      </c>
      <c r="BR33" s="64">
        <v>0.55400000000000005</v>
      </c>
      <c r="BS33" s="64">
        <v>0.13400000000000001</v>
      </c>
      <c r="BT33" s="66">
        <v>25</v>
      </c>
      <c r="BU33" s="79"/>
      <c r="BV33" s="79"/>
      <c r="BW33" s="79"/>
      <c r="BX33" s="79"/>
      <c r="BY33" s="79"/>
      <c r="BZ33" s="79"/>
      <c r="CA33" s="79"/>
      <c r="CB33" s="79"/>
      <c r="CC33" s="79"/>
      <c r="CD33" s="79"/>
      <c r="CE33" s="79"/>
      <c r="CF33" s="79"/>
      <c r="CG33" s="79"/>
      <c r="CH33" s="79"/>
      <c r="CI33" s="79"/>
      <c r="CJ33" s="64">
        <v>0.115</v>
      </c>
      <c r="CK33" s="79"/>
      <c r="CL33" s="79"/>
      <c r="CM33" s="79"/>
      <c r="CN33" s="79"/>
      <c r="CO33" s="79"/>
      <c r="CP33" s="79"/>
      <c r="CQ33" s="79"/>
      <c r="CR33" s="79"/>
      <c r="CS33" s="79"/>
      <c r="CT33" s="79"/>
      <c r="CU33" s="79"/>
      <c r="CV33" s="79"/>
      <c r="CW33" s="79"/>
      <c r="CX33" s="79"/>
      <c r="CY33" s="79"/>
      <c r="CZ33" s="79"/>
      <c r="DA33" s="79"/>
      <c r="DB33" s="79"/>
      <c r="DC33" s="79"/>
      <c r="DD33" s="79"/>
      <c r="DE33" s="79"/>
      <c r="DF33" s="79"/>
      <c r="DG33" s="79"/>
      <c r="DH33" s="79"/>
      <c r="DI33" s="79"/>
      <c r="DJ33" s="79"/>
      <c r="DK33" s="79"/>
      <c r="DL33" s="79"/>
      <c r="DM33" s="79"/>
      <c r="DN33" s="79"/>
      <c r="DO33" s="79"/>
      <c r="DP33" s="79"/>
      <c r="DQ33" s="79"/>
      <c r="DR33" s="79"/>
      <c r="DS33" s="79"/>
      <c r="DT33" s="79"/>
      <c r="DU33" s="79"/>
      <c r="DV33" s="79"/>
      <c r="DW33" s="79"/>
      <c r="DX33" s="79"/>
      <c r="DY33" s="78"/>
    </row>
    <row r="34" spans="1:129" x14ac:dyDescent="0.35">
      <c r="A34" s="42" t="s">
        <v>4743</v>
      </c>
      <c r="B34" s="42" t="s">
        <v>5095</v>
      </c>
      <c r="C34" s="42" t="s">
        <v>138</v>
      </c>
      <c r="D34" s="43" t="s">
        <v>139</v>
      </c>
      <c r="F34" s="44" t="s">
        <v>5096</v>
      </c>
      <c r="G34" s="42" t="s">
        <v>4955</v>
      </c>
      <c r="H34" s="42" t="s">
        <v>68</v>
      </c>
      <c r="I34" s="43" t="s">
        <v>68</v>
      </c>
      <c r="J34" s="43" t="s">
        <v>68</v>
      </c>
      <c r="K34" s="43"/>
      <c r="L34" s="43" t="s">
        <v>69</v>
      </c>
      <c r="M34" s="43">
        <v>3</v>
      </c>
      <c r="N34" s="43">
        <v>3</v>
      </c>
      <c r="O34" s="43" t="s">
        <v>69</v>
      </c>
      <c r="P34" s="43">
        <v>4</v>
      </c>
      <c r="Q34" s="43">
        <v>4</v>
      </c>
      <c r="R34" s="43" t="s">
        <v>69</v>
      </c>
      <c r="S34" s="43">
        <v>5</v>
      </c>
      <c r="T34" s="43">
        <v>5</v>
      </c>
      <c r="U34" s="42" t="s">
        <v>5097</v>
      </c>
      <c r="V34" s="42">
        <v>106.73</v>
      </c>
      <c r="W34" s="42">
        <v>106.73</v>
      </c>
      <c r="X34" s="42" t="s">
        <v>5098</v>
      </c>
      <c r="Y34" s="42" t="s">
        <v>5099</v>
      </c>
      <c r="Z34" s="43" t="s">
        <v>4743</v>
      </c>
      <c r="AA34" s="43" t="s">
        <v>4742</v>
      </c>
      <c r="AC34" s="42" t="s">
        <v>4684</v>
      </c>
      <c r="AD34" s="42" t="s">
        <v>4685</v>
      </c>
      <c r="AE34" s="42" t="s">
        <v>4686</v>
      </c>
      <c r="AF34" s="42" t="s">
        <v>138</v>
      </c>
      <c r="AG34" s="42" t="s">
        <v>4685</v>
      </c>
      <c r="AH34" t="s">
        <v>5097</v>
      </c>
      <c r="AI34" s="42" t="s">
        <v>4959</v>
      </c>
      <c r="AJ34" s="42" t="s">
        <v>5100</v>
      </c>
      <c r="AL34" s="42" t="s">
        <v>5101</v>
      </c>
      <c r="AM34" s="43">
        <v>106.73</v>
      </c>
      <c r="AN34" s="43">
        <v>106.73</v>
      </c>
      <c r="AO34" s="43" t="s">
        <v>70</v>
      </c>
      <c r="AQ34" s="43">
        <v>1</v>
      </c>
      <c r="AR34" s="42" t="s">
        <v>5102</v>
      </c>
      <c r="AU34" s="64"/>
      <c r="AV34" s="64">
        <v>62</v>
      </c>
      <c r="AW34" s="64" t="s">
        <v>4955</v>
      </c>
      <c r="AX34" s="64" t="s">
        <v>4744</v>
      </c>
      <c r="AY34" s="66" t="s">
        <v>478</v>
      </c>
      <c r="AZ34" s="66" t="s">
        <v>138</v>
      </c>
      <c r="BA34" s="64">
        <v>106.73</v>
      </c>
      <c r="BB34" s="64">
        <v>106.73</v>
      </c>
      <c r="BC34" s="64" t="s">
        <v>5098</v>
      </c>
      <c r="BD34" s="64" t="s">
        <v>5099</v>
      </c>
      <c r="BE34" s="64" t="s">
        <v>5098</v>
      </c>
      <c r="BF34" s="64" t="s">
        <v>5099</v>
      </c>
      <c r="BG34" s="64" t="s">
        <v>4963</v>
      </c>
      <c r="BH34" s="64" t="s">
        <v>5097</v>
      </c>
      <c r="BI34" s="64" t="s">
        <v>5096</v>
      </c>
      <c r="BJ34" s="64" t="s">
        <v>4954</v>
      </c>
      <c r="BK34" s="64" t="s">
        <v>474</v>
      </c>
      <c r="BL34" s="64" t="s">
        <v>474</v>
      </c>
      <c r="BM34" s="66" t="s">
        <v>1210</v>
      </c>
      <c r="BN34" s="66" t="s">
        <v>1468</v>
      </c>
      <c r="BO34" s="66" t="s">
        <v>1468</v>
      </c>
      <c r="BP34" s="66" t="s">
        <v>1474</v>
      </c>
      <c r="BQ34" s="66" t="s">
        <v>1479</v>
      </c>
      <c r="BR34" s="64">
        <v>0.15</v>
      </c>
      <c r="BS34" s="64">
        <v>1.6E-2</v>
      </c>
      <c r="BT34" s="66">
        <v>120</v>
      </c>
      <c r="BU34" s="79"/>
      <c r="BV34" s="79"/>
      <c r="BW34" s="79"/>
      <c r="BX34" s="79"/>
      <c r="BY34" s="64">
        <v>0.7</v>
      </c>
      <c r="BZ34" s="79"/>
      <c r="CA34" s="79"/>
      <c r="CB34" s="64" t="s">
        <v>1100</v>
      </c>
      <c r="CC34" s="64" t="s">
        <v>1100</v>
      </c>
      <c r="CD34" s="64" t="s">
        <v>474</v>
      </c>
      <c r="CE34" s="79"/>
      <c r="CF34" s="79"/>
      <c r="CG34" s="79"/>
      <c r="CH34" s="79"/>
      <c r="CI34" s="79"/>
      <c r="CJ34" s="79"/>
      <c r="CK34" s="79"/>
      <c r="CL34" s="79"/>
      <c r="CM34" s="79"/>
      <c r="CN34" s="79"/>
      <c r="CO34" s="79"/>
      <c r="CP34" s="79"/>
      <c r="CQ34" s="79"/>
      <c r="CR34" s="79"/>
      <c r="CS34" s="79"/>
      <c r="CT34" s="79"/>
      <c r="CU34" s="79"/>
      <c r="CV34" s="79"/>
      <c r="CW34" s="79"/>
      <c r="CX34" s="79"/>
      <c r="CY34" s="79"/>
      <c r="CZ34" s="79"/>
      <c r="DA34" s="79"/>
      <c r="DB34" s="79"/>
      <c r="DC34" s="79"/>
      <c r="DD34" s="79"/>
      <c r="DE34" s="79"/>
      <c r="DF34" s="79"/>
      <c r="DG34" s="79"/>
      <c r="DH34" s="79"/>
      <c r="DI34" s="79"/>
      <c r="DJ34" s="79"/>
      <c r="DK34" s="79"/>
      <c r="DL34" s="79"/>
      <c r="DM34" s="79"/>
      <c r="DN34" s="79"/>
      <c r="DO34" s="79"/>
      <c r="DP34" s="79"/>
      <c r="DQ34" s="79"/>
      <c r="DR34" s="79"/>
      <c r="DS34" s="79"/>
      <c r="DT34" s="79"/>
      <c r="DU34" s="79"/>
      <c r="DV34" s="79"/>
      <c r="DW34" s="79"/>
      <c r="DX34" s="79"/>
      <c r="DY34" s="78"/>
    </row>
    <row r="35" spans="1:129" x14ac:dyDescent="0.35">
      <c r="A35" s="42" t="s">
        <v>4743</v>
      </c>
      <c r="B35" s="42" t="s">
        <v>5103</v>
      </c>
      <c r="C35" s="42" t="s">
        <v>138</v>
      </c>
      <c r="D35" s="43" t="s">
        <v>139</v>
      </c>
      <c r="F35" s="44" t="s">
        <v>5104</v>
      </c>
      <c r="G35" s="42" t="s">
        <v>4955</v>
      </c>
      <c r="H35" s="42" t="s">
        <v>68</v>
      </c>
      <c r="I35" s="43" t="s">
        <v>68</v>
      </c>
      <c r="J35" s="43" t="s">
        <v>68</v>
      </c>
      <c r="K35" s="43"/>
      <c r="L35" s="43" t="s">
        <v>69</v>
      </c>
      <c r="M35" s="43">
        <v>3</v>
      </c>
      <c r="N35" s="43">
        <v>3</v>
      </c>
      <c r="O35" s="43" t="s">
        <v>69</v>
      </c>
      <c r="P35" s="43">
        <v>4</v>
      </c>
      <c r="Q35" s="43">
        <v>4</v>
      </c>
      <c r="R35" s="43" t="s">
        <v>69</v>
      </c>
      <c r="S35" s="43">
        <v>5</v>
      </c>
      <c r="T35" s="43">
        <v>5</v>
      </c>
      <c r="U35" s="42" t="s">
        <v>5097</v>
      </c>
      <c r="V35" s="42">
        <v>106.73</v>
      </c>
      <c r="W35" s="42">
        <v>106.73</v>
      </c>
      <c r="X35" s="42" t="s">
        <v>5105</v>
      </c>
      <c r="Y35" s="42" t="s">
        <v>5106</v>
      </c>
      <c r="Z35" s="43" t="s">
        <v>4743</v>
      </c>
      <c r="AA35" s="43" t="s">
        <v>4742</v>
      </c>
      <c r="AC35" s="42" t="s">
        <v>4684</v>
      </c>
      <c r="AD35" s="42" t="s">
        <v>4685</v>
      </c>
      <c r="AE35" s="42" t="s">
        <v>4686</v>
      </c>
      <c r="AF35" s="42" t="s">
        <v>138</v>
      </c>
      <c r="AG35" s="42" t="s">
        <v>4685</v>
      </c>
      <c r="AH35" t="s">
        <v>5097</v>
      </c>
      <c r="AI35" s="42" t="s">
        <v>4959</v>
      </c>
      <c r="AJ35" s="42" t="s">
        <v>5100</v>
      </c>
      <c r="AL35" s="42" t="s">
        <v>5101</v>
      </c>
      <c r="AM35" s="43">
        <v>106.73</v>
      </c>
      <c r="AN35" s="43">
        <v>106.73</v>
      </c>
      <c r="AO35" s="43" t="s">
        <v>70</v>
      </c>
      <c r="AQ35" s="43">
        <v>1</v>
      </c>
      <c r="AR35" s="42" t="s">
        <v>5107</v>
      </c>
      <c r="AU35" s="64"/>
      <c r="AV35" s="64">
        <v>62</v>
      </c>
      <c r="AW35" s="64" t="s">
        <v>4955</v>
      </c>
      <c r="AX35" s="64" t="s">
        <v>4744</v>
      </c>
      <c r="AY35" s="66" t="s">
        <v>478</v>
      </c>
      <c r="AZ35" s="66" t="s">
        <v>138</v>
      </c>
      <c r="BA35" s="64">
        <v>106.73</v>
      </c>
      <c r="BB35" s="64">
        <v>106.73</v>
      </c>
      <c r="BC35" s="64" t="s">
        <v>5105</v>
      </c>
      <c r="BD35" s="64" t="s">
        <v>5106</v>
      </c>
      <c r="BE35" s="64" t="s">
        <v>5105</v>
      </c>
      <c r="BF35" s="64" t="s">
        <v>5106</v>
      </c>
      <c r="BG35" s="64" t="s">
        <v>4963</v>
      </c>
      <c r="BH35" s="64" t="s">
        <v>5097</v>
      </c>
      <c r="BI35" s="64" t="s">
        <v>5104</v>
      </c>
      <c r="BJ35" s="64" t="s">
        <v>4954</v>
      </c>
      <c r="BK35" s="64" t="s">
        <v>474</v>
      </c>
      <c r="BL35" s="64" t="s">
        <v>474</v>
      </c>
      <c r="BM35" s="66" t="s">
        <v>1210</v>
      </c>
      <c r="BN35" s="66" t="s">
        <v>1468</v>
      </c>
      <c r="BO35" s="66" t="s">
        <v>1468</v>
      </c>
      <c r="BP35" s="66" t="s">
        <v>1474</v>
      </c>
      <c r="BQ35" s="66" t="s">
        <v>1479</v>
      </c>
      <c r="BR35" s="64">
        <v>0.15</v>
      </c>
      <c r="BS35" s="64">
        <v>1.6E-2</v>
      </c>
      <c r="BT35" s="66">
        <v>120</v>
      </c>
      <c r="BU35" s="79"/>
      <c r="BV35" s="79"/>
      <c r="BW35" s="79"/>
      <c r="BX35" s="79"/>
      <c r="BY35" s="64">
        <v>0.7</v>
      </c>
      <c r="BZ35" s="79"/>
      <c r="CA35" s="79"/>
      <c r="CB35" s="64" t="s">
        <v>1100</v>
      </c>
      <c r="CC35" s="64" t="s">
        <v>1100</v>
      </c>
      <c r="CD35" s="64" t="s">
        <v>474</v>
      </c>
      <c r="CE35" s="79"/>
      <c r="CF35" s="79"/>
      <c r="CG35" s="79"/>
      <c r="CH35" s="79"/>
      <c r="CI35" s="79"/>
      <c r="CJ35" s="79"/>
      <c r="CK35" s="79"/>
      <c r="CL35" s="79"/>
      <c r="CM35" s="79"/>
      <c r="CN35" s="79"/>
      <c r="CO35" s="79"/>
      <c r="CP35" s="79"/>
      <c r="CQ35" s="79"/>
      <c r="CR35" s="79"/>
      <c r="CS35" s="79"/>
      <c r="CT35" s="79"/>
      <c r="CU35" s="79"/>
      <c r="CV35" s="79"/>
      <c r="CW35" s="79"/>
      <c r="CX35" s="79"/>
      <c r="CY35" s="79"/>
      <c r="CZ35" s="79"/>
      <c r="DA35" s="79"/>
      <c r="DB35" s="79"/>
      <c r="DC35" s="79"/>
      <c r="DD35" s="79"/>
      <c r="DE35" s="79"/>
      <c r="DF35" s="79"/>
      <c r="DG35" s="79"/>
      <c r="DH35" s="79"/>
      <c r="DI35" s="79"/>
      <c r="DJ35" s="79"/>
      <c r="DK35" s="79"/>
      <c r="DL35" s="79"/>
      <c r="DM35" s="79"/>
      <c r="DN35" s="79"/>
      <c r="DO35" s="79"/>
      <c r="DP35" s="79"/>
      <c r="DQ35" s="79"/>
      <c r="DR35" s="79"/>
      <c r="DS35" s="79"/>
      <c r="DT35" s="79"/>
      <c r="DU35" s="79"/>
      <c r="DV35" s="79"/>
      <c r="DW35" s="79"/>
      <c r="DX35" s="79"/>
      <c r="DY35" s="78"/>
    </row>
    <row r="36" spans="1:129" x14ac:dyDescent="0.35">
      <c r="A36" s="42" t="s">
        <v>4743</v>
      </c>
      <c r="B36" s="42" t="s">
        <v>5108</v>
      </c>
      <c r="C36" s="42" t="s">
        <v>138</v>
      </c>
      <c r="D36" s="43" t="s">
        <v>139</v>
      </c>
      <c r="F36" s="44" t="s">
        <v>5109</v>
      </c>
      <c r="G36" s="42" t="s">
        <v>4955</v>
      </c>
      <c r="H36" s="42" t="s">
        <v>68</v>
      </c>
      <c r="I36" s="43" t="s">
        <v>68</v>
      </c>
      <c r="J36" s="43" t="s">
        <v>68</v>
      </c>
      <c r="K36" s="43"/>
      <c r="L36" s="43" t="s">
        <v>69</v>
      </c>
      <c r="M36" s="43">
        <v>3</v>
      </c>
      <c r="N36" s="43">
        <v>3</v>
      </c>
      <c r="O36" s="43" t="s">
        <v>69</v>
      </c>
      <c r="P36" s="43">
        <v>4</v>
      </c>
      <c r="Q36" s="43">
        <v>4</v>
      </c>
      <c r="R36" s="43" t="s">
        <v>69</v>
      </c>
      <c r="S36" s="43">
        <v>5</v>
      </c>
      <c r="T36" s="43">
        <v>5</v>
      </c>
      <c r="U36" s="42" t="s">
        <v>5097</v>
      </c>
      <c r="V36" s="42">
        <v>106.73</v>
      </c>
      <c r="W36" s="42">
        <v>106.73</v>
      </c>
      <c r="X36" s="42" t="s">
        <v>5110</v>
      </c>
      <c r="Y36" s="42" t="s">
        <v>5111</v>
      </c>
      <c r="Z36" s="43" t="s">
        <v>4743</v>
      </c>
      <c r="AA36" s="43" t="s">
        <v>4742</v>
      </c>
      <c r="AC36" s="42" t="s">
        <v>4684</v>
      </c>
      <c r="AD36" s="42" t="s">
        <v>4685</v>
      </c>
      <c r="AE36" s="42" t="s">
        <v>4686</v>
      </c>
      <c r="AF36" s="42" t="s">
        <v>138</v>
      </c>
      <c r="AG36" s="42" t="s">
        <v>4685</v>
      </c>
      <c r="AH36" t="s">
        <v>5097</v>
      </c>
      <c r="AI36" s="42" t="s">
        <v>4959</v>
      </c>
      <c r="AJ36" s="42" t="s">
        <v>5100</v>
      </c>
      <c r="AL36" s="42" t="s">
        <v>5101</v>
      </c>
      <c r="AM36" s="43">
        <v>106.73</v>
      </c>
      <c r="AN36" s="43">
        <v>106.73</v>
      </c>
      <c r="AO36" s="43" t="s">
        <v>70</v>
      </c>
      <c r="AQ36" s="43">
        <v>1</v>
      </c>
      <c r="AR36" s="42" t="s">
        <v>5112</v>
      </c>
      <c r="AU36" s="64"/>
      <c r="AV36" s="64">
        <v>62</v>
      </c>
      <c r="AW36" s="64" t="s">
        <v>4955</v>
      </c>
      <c r="AX36" s="64" t="s">
        <v>4744</v>
      </c>
      <c r="AY36" s="66" t="s">
        <v>478</v>
      </c>
      <c r="AZ36" s="66" t="s">
        <v>138</v>
      </c>
      <c r="BA36" s="64">
        <v>106.73</v>
      </c>
      <c r="BB36" s="64">
        <v>106.73</v>
      </c>
      <c r="BC36" s="64" t="s">
        <v>5110</v>
      </c>
      <c r="BD36" s="64" t="s">
        <v>5111</v>
      </c>
      <c r="BE36" s="64" t="s">
        <v>5110</v>
      </c>
      <c r="BF36" s="64" t="s">
        <v>5111</v>
      </c>
      <c r="BG36" s="64" t="s">
        <v>4963</v>
      </c>
      <c r="BH36" s="64" t="s">
        <v>5097</v>
      </c>
      <c r="BI36" s="64" t="s">
        <v>5109</v>
      </c>
      <c r="BJ36" s="64" t="s">
        <v>4954</v>
      </c>
      <c r="BK36" s="64" t="s">
        <v>474</v>
      </c>
      <c r="BL36" s="64" t="s">
        <v>474</v>
      </c>
      <c r="BM36" s="66" t="s">
        <v>1210</v>
      </c>
      <c r="BN36" s="66" t="s">
        <v>1468</v>
      </c>
      <c r="BO36" s="66" t="s">
        <v>1468</v>
      </c>
      <c r="BP36" s="66" t="s">
        <v>1474</v>
      </c>
      <c r="BQ36" s="66" t="s">
        <v>1479</v>
      </c>
      <c r="BR36" s="64">
        <v>0.15</v>
      </c>
      <c r="BS36" s="64">
        <v>1.6E-2</v>
      </c>
      <c r="BT36" s="66">
        <v>120</v>
      </c>
      <c r="BU36" s="79"/>
      <c r="BV36" s="79"/>
      <c r="BW36" s="79"/>
      <c r="BX36" s="79"/>
      <c r="BY36" s="64">
        <v>0.7</v>
      </c>
      <c r="BZ36" s="79"/>
      <c r="CA36" s="79"/>
      <c r="CB36" s="64" t="s">
        <v>1100</v>
      </c>
      <c r="CC36" s="64" t="s">
        <v>1100</v>
      </c>
      <c r="CD36" s="64" t="s">
        <v>474</v>
      </c>
      <c r="CE36" s="79"/>
      <c r="CF36" s="79"/>
      <c r="CG36" s="79"/>
      <c r="CH36" s="79"/>
      <c r="CI36" s="79"/>
      <c r="CJ36" s="79"/>
      <c r="CK36" s="79"/>
      <c r="CL36" s="79"/>
      <c r="CM36" s="79"/>
      <c r="CN36" s="79"/>
      <c r="CO36" s="79"/>
      <c r="CP36" s="79"/>
      <c r="CQ36" s="79"/>
      <c r="CR36" s="79"/>
      <c r="CS36" s="79"/>
      <c r="CT36" s="79"/>
      <c r="CU36" s="79"/>
      <c r="CV36" s="79"/>
      <c r="CW36" s="79"/>
      <c r="CX36" s="79"/>
      <c r="CY36" s="79"/>
      <c r="CZ36" s="79"/>
      <c r="DA36" s="79"/>
      <c r="DB36" s="79"/>
      <c r="DC36" s="79"/>
      <c r="DD36" s="79"/>
      <c r="DE36" s="79"/>
      <c r="DF36" s="79"/>
      <c r="DG36" s="79"/>
      <c r="DH36" s="79"/>
      <c r="DI36" s="79"/>
      <c r="DJ36" s="79"/>
      <c r="DK36" s="79"/>
      <c r="DL36" s="79"/>
      <c r="DM36" s="79"/>
      <c r="DN36" s="79"/>
      <c r="DO36" s="79"/>
      <c r="DP36" s="79"/>
      <c r="DQ36" s="79"/>
      <c r="DR36" s="79"/>
      <c r="DS36" s="79"/>
      <c r="DT36" s="79"/>
      <c r="DU36" s="79"/>
      <c r="DV36" s="79"/>
      <c r="DW36" s="79"/>
      <c r="DX36" s="79"/>
      <c r="DY36" s="78"/>
    </row>
    <row r="37" spans="1:129" x14ac:dyDescent="0.35">
      <c r="A37" s="42" t="s">
        <v>4743</v>
      </c>
      <c r="B37" s="42" t="s">
        <v>5113</v>
      </c>
      <c r="C37" s="42" t="s">
        <v>138</v>
      </c>
      <c r="D37" s="43" t="s">
        <v>139</v>
      </c>
      <c r="F37" s="44" t="s">
        <v>5114</v>
      </c>
      <c r="G37" s="42" t="s">
        <v>4955</v>
      </c>
      <c r="H37" s="42" t="s">
        <v>68</v>
      </c>
      <c r="I37" s="43" t="s">
        <v>68</v>
      </c>
      <c r="J37" s="43" t="s">
        <v>68</v>
      </c>
      <c r="K37" s="43"/>
      <c r="L37" s="43" t="s">
        <v>69</v>
      </c>
      <c r="M37" s="43">
        <v>3</v>
      </c>
      <c r="N37" s="43">
        <v>3</v>
      </c>
      <c r="O37" s="43" t="s">
        <v>69</v>
      </c>
      <c r="P37" s="43">
        <v>4</v>
      </c>
      <c r="Q37" s="43">
        <v>4</v>
      </c>
      <c r="R37" s="43" t="s">
        <v>69</v>
      </c>
      <c r="S37" s="43">
        <v>5</v>
      </c>
      <c r="T37" s="43">
        <v>5</v>
      </c>
      <c r="U37" s="42" t="s">
        <v>5097</v>
      </c>
      <c r="V37" s="42">
        <v>106.73</v>
      </c>
      <c r="W37" s="42">
        <v>106.73</v>
      </c>
      <c r="X37" s="42" t="s">
        <v>5115</v>
      </c>
      <c r="Y37" s="42" t="s">
        <v>5116</v>
      </c>
      <c r="Z37" s="43" t="s">
        <v>4743</v>
      </c>
      <c r="AA37" s="43" t="s">
        <v>4742</v>
      </c>
      <c r="AC37" s="42" t="s">
        <v>4684</v>
      </c>
      <c r="AD37" s="42" t="s">
        <v>4685</v>
      </c>
      <c r="AE37" s="42" t="s">
        <v>4686</v>
      </c>
      <c r="AF37" s="42" t="s">
        <v>138</v>
      </c>
      <c r="AG37" s="42" t="s">
        <v>4685</v>
      </c>
      <c r="AH37" t="s">
        <v>5097</v>
      </c>
      <c r="AI37" s="42" t="s">
        <v>4959</v>
      </c>
      <c r="AJ37" s="42" t="s">
        <v>5100</v>
      </c>
      <c r="AL37" s="42" t="s">
        <v>5101</v>
      </c>
      <c r="AM37" s="43">
        <v>106.73</v>
      </c>
      <c r="AN37" s="43">
        <v>106.73</v>
      </c>
      <c r="AO37" s="43" t="s">
        <v>70</v>
      </c>
      <c r="AQ37" s="43">
        <v>1</v>
      </c>
      <c r="AR37" s="42" t="s">
        <v>5117</v>
      </c>
      <c r="AU37" s="64"/>
      <c r="AV37" s="64">
        <v>62</v>
      </c>
      <c r="AW37" s="64" t="s">
        <v>4955</v>
      </c>
      <c r="AX37" s="64" t="s">
        <v>4744</v>
      </c>
      <c r="AY37" s="66" t="s">
        <v>478</v>
      </c>
      <c r="AZ37" s="66" t="s">
        <v>138</v>
      </c>
      <c r="BA37" s="64">
        <v>106.73</v>
      </c>
      <c r="BB37" s="64">
        <v>106.73</v>
      </c>
      <c r="BC37" s="64" t="s">
        <v>5115</v>
      </c>
      <c r="BD37" s="64" t="s">
        <v>5116</v>
      </c>
      <c r="BE37" s="64" t="s">
        <v>5115</v>
      </c>
      <c r="BF37" s="64" t="s">
        <v>5116</v>
      </c>
      <c r="BG37" s="64" t="s">
        <v>4963</v>
      </c>
      <c r="BH37" s="64" t="s">
        <v>5097</v>
      </c>
      <c r="BI37" s="64" t="s">
        <v>5114</v>
      </c>
      <c r="BJ37" s="64" t="s">
        <v>4954</v>
      </c>
      <c r="BK37" s="64" t="s">
        <v>474</v>
      </c>
      <c r="BL37" s="64" t="s">
        <v>474</v>
      </c>
      <c r="BM37" s="66" t="s">
        <v>1210</v>
      </c>
      <c r="BN37" s="66" t="s">
        <v>1468</v>
      </c>
      <c r="BO37" s="66" t="s">
        <v>1468</v>
      </c>
      <c r="BP37" s="66" t="s">
        <v>1474</v>
      </c>
      <c r="BQ37" s="66" t="s">
        <v>1479</v>
      </c>
      <c r="BR37" s="64">
        <v>0.15</v>
      </c>
      <c r="BS37" s="64">
        <v>1.6E-2</v>
      </c>
      <c r="BT37" s="66">
        <v>120</v>
      </c>
      <c r="BU37" s="79"/>
      <c r="BV37" s="79"/>
      <c r="BW37" s="79"/>
      <c r="BX37" s="79"/>
      <c r="BY37" s="64">
        <v>0.7</v>
      </c>
      <c r="BZ37" s="79"/>
      <c r="CA37" s="79"/>
      <c r="CB37" s="64" t="s">
        <v>1100</v>
      </c>
      <c r="CC37" s="64" t="s">
        <v>1100</v>
      </c>
      <c r="CD37" s="64" t="s">
        <v>474</v>
      </c>
      <c r="CE37" s="79"/>
      <c r="CF37" s="79"/>
      <c r="CG37" s="79"/>
      <c r="CH37" s="79"/>
      <c r="CI37" s="79"/>
      <c r="CJ37" s="79"/>
      <c r="CK37" s="79"/>
      <c r="CL37" s="79"/>
      <c r="CM37" s="79"/>
      <c r="CN37" s="79"/>
      <c r="CO37" s="79"/>
      <c r="CP37" s="79"/>
      <c r="CQ37" s="79"/>
      <c r="CR37" s="79"/>
      <c r="CS37" s="79"/>
      <c r="CT37" s="79"/>
      <c r="CU37" s="79"/>
      <c r="CV37" s="79"/>
      <c r="CW37" s="79"/>
      <c r="CX37" s="79"/>
      <c r="CY37" s="79"/>
      <c r="CZ37" s="79"/>
      <c r="DA37" s="79"/>
      <c r="DB37" s="79"/>
      <c r="DC37" s="79"/>
      <c r="DD37" s="79"/>
      <c r="DE37" s="79"/>
      <c r="DF37" s="79"/>
      <c r="DG37" s="79"/>
      <c r="DH37" s="79"/>
      <c r="DI37" s="79"/>
      <c r="DJ37" s="79"/>
      <c r="DK37" s="79"/>
      <c r="DL37" s="79"/>
      <c r="DM37" s="79"/>
      <c r="DN37" s="79"/>
      <c r="DO37" s="79"/>
      <c r="DP37" s="79"/>
      <c r="DQ37" s="79"/>
      <c r="DR37" s="79"/>
      <c r="DS37" s="79"/>
      <c r="DT37" s="79"/>
      <c r="DU37" s="79"/>
      <c r="DV37" s="79"/>
      <c r="DW37" s="79"/>
      <c r="DX37" s="79"/>
      <c r="DY37" s="78"/>
    </row>
    <row r="38" spans="1:129" x14ac:dyDescent="0.35">
      <c r="A38" s="42" t="s">
        <v>4743</v>
      </c>
      <c r="B38" s="42" t="s">
        <v>5118</v>
      </c>
      <c r="C38" s="42" t="s">
        <v>138</v>
      </c>
      <c r="D38" s="43" t="s">
        <v>139</v>
      </c>
      <c r="F38" s="44" t="s">
        <v>5119</v>
      </c>
      <c r="G38" s="42" t="s">
        <v>4955</v>
      </c>
      <c r="H38" s="42" t="s">
        <v>68</v>
      </c>
      <c r="I38" s="43" t="s">
        <v>68</v>
      </c>
      <c r="J38" s="43" t="s">
        <v>68</v>
      </c>
      <c r="K38" s="43"/>
      <c r="L38" s="43" t="s">
        <v>69</v>
      </c>
      <c r="M38" s="43">
        <v>3</v>
      </c>
      <c r="N38" s="43">
        <v>3</v>
      </c>
      <c r="O38" s="43" t="s">
        <v>69</v>
      </c>
      <c r="P38" s="43">
        <v>4</v>
      </c>
      <c r="Q38" s="43">
        <v>4</v>
      </c>
      <c r="R38" s="43" t="s">
        <v>69</v>
      </c>
      <c r="S38" s="43">
        <v>5</v>
      </c>
      <c r="T38" s="43">
        <v>5</v>
      </c>
      <c r="U38" s="42" t="s">
        <v>5097</v>
      </c>
      <c r="V38" s="42">
        <v>106.73</v>
      </c>
      <c r="W38" s="42">
        <v>106.73</v>
      </c>
      <c r="X38" s="42" t="s">
        <v>5120</v>
      </c>
      <c r="Y38" s="42" t="s">
        <v>5121</v>
      </c>
      <c r="Z38" s="43" t="s">
        <v>4743</v>
      </c>
      <c r="AA38" s="43" t="s">
        <v>4742</v>
      </c>
      <c r="AC38" s="42" t="s">
        <v>4684</v>
      </c>
      <c r="AD38" s="42" t="s">
        <v>4685</v>
      </c>
      <c r="AE38" s="42" t="s">
        <v>4686</v>
      </c>
      <c r="AF38" s="42" t="s">
        <v>138</v>
      </c>
      <c r="AG38" s="42" t="s">
        <v>4685</v>
      </c>
      <c r="AH38" t="s">
        <v>5097</v>
      </c>
      <c r="AI38" s="42" t="s">
        <v>4959</v>
      </c>
      <c r="AJ38" s="42" t="s">
        <v>5100</v>
      </c>
      <c r="AL38" s="42" t="s">
        <v>5101</v>
      </c>
      <c r="AM38" s="43">
        <v>106.73</v>
      </c>
      <c r="AN38" s="43">
        <v>106.73</v>
      </c>
      <c r="AO38" s="43" t="s">
        <v>70</v>
      </c>
      <c r="AQ38" s="43">
        <v>1</v>
      </c>
      <c r="AR38" s="42" t="s">
        <v>5122</v>
      </c>
      <c r="AU38" s="64"/>
      <c r="AV38" s="64">
        <v>62</v>
      </c>
      <c r="AW38" s="64" t="s">
        <v>4955</v>
      </c>
      <c r="AX38" s="64" t="s">
        <v>4744</v>
      </c>
      <c r="AY38" s="66" t="s">
        <v>478</v>
      </c>
      <c r="AZ38" s="66" t="s">
        <v>138</v>
      </c>
      <c r="BA38" s="64">
        <v>106.73</v>
      </c>
      <c r="BB38" s="64">
        <v>106.73</v>
      </c>
      <c r="BC38" s="64" t="s">
        <v>5120</v>
      </c>
      <c r="BD38" s="64" t="s">
        <v>5121</v>
      </c>
      <c r="BE38" s="64" t="s">
        <v>5120</v>
      </c>
      <c r="BF38" s="64" t="s">
        <v>5121</v>
      </c>
      <c r="BG38" s="64" t="s">
        <v>4963</v>
      </c>
      <c r="BH38" s="64" t="s">
        <v>5097</v>
      </c>
      <c r="BI38" s="64" t="s">
        <v>5119</v>
      </c>
      <c r="BJ38" s="64" t="s">
        <v>4954</v>
      </c>
      <c r="BK38" s="64" t="s">
        <v>474</v>
      </c>
      <c r="BL38" s="64" t="s">
        <v>474</v>
      </c>
      <c r="BM38" s="66" t="s">
        <v>1210</v>
      </c>
      <c r="BN38" s="66" t="s">
        <v>1468</v>
      </c>
      <c r="BO38" s="66" t="s">
        <v>1468</v>
      </c>
      <c r="BP38" s="66" t="s">
        <v>1474</v>
      </c>
      <c r="BQ38" s="66" t="s">
        <v>1479</v>
      </c>
      <c r="BR38" s="64">
        <v>0.15</v>
      </c>
      <c r="BS38" s="64">
        <v>1.6E-2</v>
      </c>
      <c r="BT38" s="66">
        <v>120</v>
      </c>
      <c r="BU38" s="79"/>
      <c r="BV38" s="79"/>
      <c r="BW38" s="79"/>
      <c r="BX38" s="79"/>
      <c r="BY38" s="64">
        <v>0.7</v>
      </c>
      <c r="BZ38" s="79"/>
      <c r="CA38" s="79"/>
      <c r="CB38" s="64" t="s">
        <v>1100</v>
      </c>
      <c r="CC38" s="64" t="s">
        <v>1100</v>
      </c>
      <c r="CD38" s="64" t="s">
        <v>474</v>
      </c>
      <c r="CE38" s="79"/>
      <c r="CF38" s="79"/>
      <c r="CG38" s="79"/>
      <c r="CH38" s="79"/>
      <c r="CI38" s="79"/>
      <c r="CJ38" s="79"/>
      <c r="CK38" s="79"/>
      <c r="CL38" s="79"/>
      <c r="CM38" s="79"/>
      <c r="CN38" s="79"/>
      <c r="CO38" s="79"/>
      <c r="CP38" s="79"/>
      <c r="CQ38" s="79"/>
      <c r="CR38" s="79"/>
      <c r="CS38" s="79"/>
      <c r="CT38" s="79"/>
      <c r="CU38" s="79"/>
      <c r="CV38" s="79"/>
      <c r="CW38" s="79"/>
      <c r="CX38" s="79"/>
      <c r="CY38" s="79"/>
      <c r="CZ38" s="79"/>
      <c r="DA38" s="79"/>
      <c r="DB38" s="79"/>
      <c r="DC38" s="79"/>
      <c r="DD38" s="79"/>
      <c r="DE38" s="79"/>
      <c r="DF38" s="79"/>
      <c r="DG38" s="79"/>
      <c r="DH38" s="79"/>
      <c r="DI38" s="79"/>
      <c r="DJ38" s="79"/>
      <c r="DK38" s="79"/>
      <c r="DL38" s="79"/>
      <c r="DM38" s="79"/>
      <c r="DN38" s="79"/>
      <c r="DO38" s="79"/>
      <c r="DP38" s="79"/>
      <c r="DQ38" s="79"/>
      <c r="DR38" s="79"/>
      <c r="DS38" s="79"/>
      <c r="DT38" s="79"/>
      <c r="DU38" s="79"/>
      <c r="DV38" s="79"/>
      <c r="DW38" s="79"/>
      <c r="DX38" s="79"/>
      <c r="DY38" s="78"/>
    </row>
    <row r="39" spans="1:129" x14ac:dyDescent="0.35">
      <c r="A39" s="42" t="s">
        <v>4743</v>
      </c>
      <c r="B39" s="42" t="s">
        <v>5123</v>
      </c>
      <c r="C39" s="42" t="s">
        <v>138</v>
      </c>
      <c r="D39" s="43" t="s">
        <v>139</v>
      </c>
      <c r="F39" s="44" t="s">
        <v>5124</v>
      </c>
      <c r="G39" s="42" t="s">
        <v>4955</v>
      </c>
      <c r="H39" s="42" t="s">
        <v>68</v>
      </c>
      <c r="I39" s="43" t="s">
        <v>68</v>
      </c>
      <c r="J39" s="43" t="s">
        <v>68</v>
      </c>
      <c r="K39" s="43"/>
      <c r="L39" s="43" t="s">
        <v>69</v>
      </c>
      <c r="M39" s="43">
        <v>3</v>
      </c>
      <c r="N39" s="43">
        <v>3</v>
      </c>
      <c r="O39" s="43" t="s">
        <v>69</v>
      </c>
      <c r="P39" s="43">
        <v>4</v>
      </c>
      <c r="Q39" s="43">
        <v>4</v>
      </c>
      <c r="R39" s="43" t="s">
        <v>69</v>
      </c>
      <c r="S39" s="43">
        <v>5</v>
      </c>
      <c r="T39" s="43">
        <v>5</v>
      </c>
      <c r="U39" s="42" t="s">
        <v>5097</v>
      </c>
      <c r="V39" s="42">
        <v>106.73</v>
      </c>
      <c r="W39" s="42">
        <v>106.73</v>
      </c>
      <c r="X39" s="42" t="s">
        <v>5110</v>
      </c>
      <c r="Y39" s="42" t="s">
        <v>5125</v>
      </c>
      <c r="Z39" s="43" t="s">
        <v>4743</v>
      </c>
      <c r="AA39" s="43" t="s">
        <v>4742</v>
      </c>
      <c r="AC39" s="42" t="s">
        <v>4684</v>
      </c>
      <c r="AD39" s="42" t="s">
        <v>4685</v>
      </c>
      <c r="AE39" s="42" t="s">
        <v>4686</v>
      </c>
      <c r="AF39" s="42" t="s">
        <v>138</v>
      </c>
      <c r="AG39" s="42" t="s">
        <v>4685</v>
      </c>
      <c r="AH39" t="s">
        <v>5097</v>
      </c>
      <c r="AI39" s="42" t="s">
        <v>4959</v>
      </c>
      <c r="AJ39" s="42" t="s">
        <v>5100</v>
      </c>
      <c r="AL39" s="42" t="s">
        <v>5101</v>
      </c>
      <c r="AM39" s="43">
        <v>106.73</v>
      </c>
      <c r="AN39" s="43">
        <v>106.73</v>
      </c>
      <c r="AO39" s="43" t="s">
        <v>70</v>
      </c>
      <c r="AQ39" s="43">
        <v>1</v>
      </c>
      <c r="AR39" s="42" t="s">
        <v>5126</v>
      </c>
      <c r="AU39" s="64"/>
      <c r="AV39" s="64">
        <v>62</v>
      </c>
      <c r="AW39" s="64" t="s">
        <v>4955</v>
      </c>
      <c r="AX39" s="64" t="s">
        <v>4744</v>
      </c>
      <c r="AY39" s="66" t="s">
        <v>478</v>
      </c>
      <c r="AZ39" s="66" t="s">
        <v>138</v>
      </c>
      <c r="BA39" s="64">
        <v>106.73</v>
      </c>
      <c r="BB39" s="64">
        <v>106.73</v>
      </c>
      <c r="BC39" s="64" t="s">
        <v>5110</v>
      </c>
      <c r="BD39" s="64" t="s">
        <v>5125</v>
      </c>
      <c r="BE39" s="64" t="s">
        <v>5110</v>
      </c>
      <c r="BF39" s="64" t="s">
        <v>5125</v>
      </c>
      <c r="BG39" s="64" t="s">
        <v>4963</v>
      </c>
      <c r="BH39" s="64" t="s">
        <v>5097</v>
      </c>
      <c r="BI39" s="64" t="s">
        <v>5124</v>
      </c>
      <c r="BJ39" s="64" t="s">
        <v>4954</v>
      </c>
      <c r="BK39" s="64" t="s">
        <v>474</v>
      </c>
      <c r="BL39" s="64" t="s">
        <v>474</v>
      </c>
      <c r="BM39" s="66" t="s">
        <v>1210</v>
      </c>
      <c r="BN39" s="66" t="s">
        <v>1468</v>
      </c>
      <c r="BO39" s="66" t="s">
        <v>1468</v>
      </c>
      <c r="BP39" s="66" t="s">
        <v>1474</v>
      </c>
      <c r="BQ39" s="66" t="s">
        <v>1479</v>
      </c>
      <c r="BR39" s="64">
        <v>0.15</v>
      </c>
      <c r="BS39" s="64">
        <v>1.6E-2</v>
      </c>
      <c r="BT39" s="66">
        <v>120</v>
      </c>
      <c r="BU39" s="79"/>
      <c r="BV39" s="79"/>
      <c r="BW39" s="79"/>
      <c r="BX39" s="79"/>
      <c r="BY39" s="64">
        <v>0.7</v>
      </c>
      <c r="BZ39" s="79"/>
      <c r="CA39" s="79"/>
      <c r="CB39" s="64" t="s">
        <v>1100</v>
      </c>
      <c r="CC39" s="64" t="s">
        <v>1100</v>
      </c>
      <c r="CD39" s="64" t="s">
        <v>474</v>
      </c>
      <c r="CE39" s="79"/>
      <c r="CF39" s="79"/>
      <c r="CG39" s="79"/>
      <c r="CH39" s="79"/>
      <c r="CI39" s="79"/>
      <c r="CJ39" s="79"/>
      <c r="CK39" s="79"/>
      <c r="CL39" s="79"/>
      <c r="CM39" s="79"/>
      <c r="CN39" s="79"/>
      <c r="CO39" s="79"/>
      <c r="CP39" s="79"/>
      <c r="CQ39" s="79"/>
      <c r="CR39" s="79"/>
      <c r="CS39" s="79"/>
      <c r="CT39" s="79"/>
      <c r="CU39" s="79"/>
      <c r="CV39" s="79"/>
      <c r="CW39" s="79"/>
      <c r="CX39" s="79"/>
      <c r="CY39" s="79"/>
      <c r="CZ39" s="79"/>
      <c r="DA39" s="79"/>
      <c r="DB39" s="79"/>
      <c r="DC39" s="79"/>
      <c r="DD39" s="79"/>
      <c r="DE39" s="79"/>
      <c r="DF39" s="79"/>
      <c r="DG39" s="79"/>
      <c r="DH39" s="79"/>
      <c r="DI39" s="79"/>
      <c r="DJ39" s="79"/>
      <c r="DK39" s="79"/>
      <c r="DL39" s="79"/>
      <c r="DM39" s="79"/>
      <c r="DN39" s="79"/>
      <c r="DO39" s="79"/>
      <c r="DP39" s="79"/>
      <c r="DQ39" s="79"/>
      <c r="DR39" s="79"/>
      <c r="DS39" s="79"/>
      <c r="DT39" s="79"/>
      <c r="DU39" s="79"/>
      <c r="DV39" s="79"/>
      <c r="DW39" s="79"/>
      <c r="DX39" s="79"/>
      <c r="DY39" s="78"/>
    </row>
    <row r="40" spans="1:129" x14ac:dyDescent="0.35">
      <c r="A40" s="42" t="s">
        <v>4743</v>
      </c>
      <c r="B40" s="42" t="s">
        <v>5127</v>
      </c>
      <c r="C40" s="42" t="s">
        <v>138</v>
      </c>
      <c r="D40" s="43" t="s">
        <v>139</v>
      </c>
      <c r="F40" s="44" t="s">
        <v>5128</v>
      </c>
      <c r="G40" s="42" t="s">
        <v>4955</v>
      </c>
      <c r="H40" s="42" t="s">
        <v>68</v>
      </c>
      <c r="I40" s="43" t="s">
        <v>68</v>
      </c>
      <c r="J40" s="43" t="s">
        <v>68</v>
      </c>
      <c r="K40" s="43"/>
      <c r="L40" s="43" t="s">
        <v>69</v>
      </c>
      <c r="M40" s="43">
        <v>3</v>
      </c>
      <c r="N40" s="43">
        <v>3</v>
      </c>
      <c r="O40" s="43" t="s">
        <v>69</v>
      </c>
      <c r="P40" s="43">
        <v>4</v>
      </c>
      <c r="Q40" s="43">
        <v>4</v>
      </c>
      <c r="R40" s="43" t="s">
        <v>69</v>
      </c>
      <c r="S40" s="43">
        <v>5</v>
      </c>
      <c r="T40" s="43">
        <v>5</v>
      </c>
      <c r="U40" s="42" t="s">
        <v>5097</v>
      </c>
      <c r="V40" s="42">
        <v>106.73</v>
      </c>
      <c r="W40" s="42">
        <v>106.73</v>
      </c>
      <c r="X40" s="42" t="s">
        <v>5129</v>
      </c>
      <c r="Y40" s="42" t="s">
        <v>5130</v>
      </c>
      <c r="Z40" s="43" t="s">
        <v>4743</v>
      </c>
      <c r="AA40" s="43" t="s">
        <v>4742</v>
      </c>
      <c r="AC40" s="42" t="s">
        <v>4684</v>
      </c>
      <c r="AD40" s="42" t="s">
        <v>4685</v>
      </c>
      <c r="AE40" s="42" t="s">
        <v>4686</v>
      </c>
      <c r="AF40" s="42" t="s">
        <v>138</v>
      </c>
      <c r="AG40" s="42" t="s">
        <v>4685</v>
      </c>
      <c r="AH40" t="s">
        <v>5097</v>
      </c>
      <c r="AI40" s="42" t="s">
        <v>4959</v>
      </c>
      <c r="AJ40" s="42" t="s">
        <v>5100</v>
      </c>
      <c r="AL40" s="42" t="s">
        <v>5101</v>
      </c>
      <c r="AM40" s="43">
        <v>106.73</v>
      </c>
      <c r="AN40" s="43">
        <v>106.73</v>
      </c>
      <c r="AO40" s="43" t="s">
        <v>70</v>
      </c>
      <c r="AQ40" s="43">
        <v>1</v>
      </c>
      <c r="AR40" s="42" t="s">
        <v>5131</v>
      </c>
      <c r="AU40" s="64"/>
      <c r="AV40" s="64">
        <v>62</v>
      </c>
      <c r="AW40" s="64" t="s">
        <v>4955</v>
      </c>
      <c r="AX40" s="64" t="s">
        <v>4744</v>
      </c>
      <c r="AY40" s="66" t="s">
        <v>478</v>
      </c>
      <c r="AZ40" s="66" t="s">
        <v>138</v>
      </c>
      <c r="BA40" s="64">
        <v>106.73</v>
      </c>
      <c r="BB40" s="64">
        <v>106.73</v>
      </c>
      <c r="BC40" s="64" t="s">
        <v>5129</v>
      </c>
      <c r="BD40" s="64" t="s">
        <v>5130</v>
      </c>
      <c r="BE40" s="64" t="s">
        <v>5129</v>
      </c>
      <c r="BF40" s="64" t="s">
        <v>5130</v>
      </c>
      <c r="BG40" s="64" t="s">
        <v>4963</v>
      </c>
      <c r="BH40" s="64" t="s">
        <v>5097</v>
      </c>
      <c r="BI40" s="64" t="s">
        <v>5128</v>
      </c>
      <c r="BJ40" s="64" t="s">
        <v>4954</v>
      </c>
      <c r="BK40" s="64" t="s">
        <v>474</v>
      </c>
      <c r="BL40" s="64" t="s">
        <v>474</v>
      </c>
      <c r="BM40" s="66" t="s">
        <v>1210</v>
      </c>
      <c r="BN40" s="66" t="s">
        <v>1468</v>
      </c>
      <c r="BO40" s="66" t="s">
        <v>1468</v>
      </c>
      <c r="BP40" s="66" t="s">
        <v>1474</v>
      </c>
      <c r="BQ40" s="66" t="s">
        <v>1479</v>
      </c>
      <c r="BR40" s="64">
        <v>0.15</v>
      </c>
      <c r="BS40" s="64">
        <v>1.6E-2</v>
      </c>
      <c r="BT40" s="66">
        <v>120</v>
      </c>
      <c r="BU40" s="79"/>
      <c r="BV40" s="79"/>
      <c r="BW40" s="79"/>
      <c r="BX40" s="79"/>
      <c r="BY40" s="64">
        <v>0.7</v>
      </c>
      <c r="BZ40" s="79"/>
      <c r="CA40" s="79"/>
      <c r="CB40" s="64" t="s">
        <v>1100</v>
      </c>
      <c r="CC40" s="64" t="s">
        <v>1100</v>
      </c>
      <c r="CD40" s="64" t="s">
        <v>474</v>
      </c>
      <c r="CE40" s="79"/>
      <c r="CF40" s="79"/>
      <c r="CG40" s="79"/>
      <c r="CH40" s="79"/>
      <c r="CI40" s="79"/>
      <c r="CJ40" s="79"/>
      <c r="CK40" s="79"/>
      <c r="CL40" s="79"/>
      <c r="CM40" s="79"/>
      <c r="CN40" s="79"/>
      <c r="CO40" s="79"/>
      <c r="CP40" s="79"/>
      <c r="CQ40" s="79"/>
      <c r="CR40" s="79"/>
      <c r="CS40" s="79"/>
      <c r="CT40" s="79"/>
      <c r="CU40" s="79"/>
      <c r="CV40" s="79"/>
      <c r="CW40" s="79"/>
      <c r="CX40" s="79"/>
      <c r="CY40" s="79"/>
      <c r="CZ40" s="79"/>
      <c r="DA40" s="79"/>
      <c r="DB40" s="79"/>
      <c r="DC40" s="79"/>
      <c r="DD40" s="79"/>
      <c r="DE40" s="79"/>
      <c r="DF40" s="79"/>
      <c r="DG40" s="79"/>
      <c r="DH40" s="79"/>
      <c r="DI40" s="79"/>
      <c r="DJ40" s="79"/>
      <c r="DK40" s="79"/>
      <c r="DL40" s="79"/>
      <c r="DM40" s="79"/>
      <c r="DN40" s="79"/>
      <c r="DO40" s="79"/>
      <c r="DP40" s="79"/>
      <c r="DQ40" s="79"/>
      <c r="DR40" s="79"/>
      <c r="DS40" s="79"/>
      <c r="DT40" s="79"/>
      <c r="DU40" s="79"/>
      <c r="DV40" s="79"/>
      <c r="DW40" s="79"/>
      <c r="DX40" s="79"/>
      <c r="DY40" s="78"/>
    </row>
    <row r="41" spans="1:129" x14ac:dyDescent="0.35">
      <c r="A41" s="42" t="s">
        <v>4743</v>
      </c>
      <c r="B41" s="42" t="s">
        <v>5132</v>
      </c>
      <c r="C41" s="42" t="s">
        <v>138</v>
      </c>
      <c r="D41" s="43" t="s">
        <v>139</v>
      </c>
      <c r="F41" s="44" t="s">
        <v>5133</v>
      </c>
      <c r="G41" s="42" t="s">
        <v>4955</v>
      </c>
      <c r="H41" s="42" t="s">
        <v>68</v>
      </c>
      <c r="I41" s="43" t="s">
        <v>68</v>
      </c>
      <c r="J41" s="43" t="s">
        <v>68</v>
      </c>
      <c r="K41" s="43"/>
      <c r="L41" s="43" t="s">
        <v>69</v>
      </c>
      <c r="M41" s="43">
        <v>3</v>
      </c>
      <c r="N41" s="43">
        <v>3</v>
      </c>
      <c r="O41" s="43" t="s">
        <v>69</v>
      </c>
      <c r="P41" s="43">
        <v>4</v>
      </c>
      <c r="Q41" s="43">
        <v>4</v>
      </c>
      <c r="R41" s="43" t="s">
        <v>69</v>
      </c>
      <c r="S41" s="43">
        <v>5</v>
      </c>
      <c r="T41" s="43">
        <v>5</v>
      </c>
      <c r="U41" s="42" t="s">
        <v>5097</v>
      </c>
      <c r="V41" s="42">
        <v>106.73</v>
      </c>
      <c r="W41" s="42">
        <v>106.73</v>
      </c>
      <c r="X41" s="42" t="s">
        <v>5120</v>
      </c>
      <c r="Y41" s="42" t="s">
        <v>5134</v>
      </c>
      <c r="Z41" s="43" t="s">
        <v>4743</v>
      </c>
      <c r="AA41" s="43" t="s">
        <v>4742</v>
      </c>
      <c r="AC41" s="42" t="s">
        <v>4684</v>
      </c>
      <c r="AD41" s="42" t="s">
        <v>4685</v>
      </c>
      <c r="AE41" s="42" t="s">
        <v>4686</v>
      </c>
      <c r="AF41" s="42" t="s">
        <v>138</v>
      </c>
      <c r="AG41" s="42" t="s">
        <v>4685</v>
      </c>
      <c r="AH41" t="s">
        <v>5097</v>
      </c>
      <c r="AI41" s="42" t="s">
        <v>4959</v>
      </c>
      <c r="AJ41" s="42" t="s">
        <v>5100</v>
      </c>
      <c r="AL41" s="42" t="s">
        <v>5101</v>
      </c>
      <c r="AM41" s="43">
        <v>106.73</v>
      </c>
      <c r="AN41" s="43">
        <v>106.73</v>
      </c>
      <c r="AO41" s="43" t="s">
        <v>70</v>
      </c>
      <c r="AQ41" s="43">
        <v>1</v>
      </c>
      <c r="AR41" s="42" t="s">
        <v>5135</v>
      </c>
      <c r="AU41" s="64"/>
      <c r="AV41" s="64">
        <v>62</v>
      </c>
      <c r="AW41" s="64" t="s">
        <v>4955</v>
      </c>
      <c r="AX41" s="64" t="s">
        <v>4744</v>
      </c>
      <c r="AY41" s="66" t="s">
        <v>478</v>
      </c>
      <c r="AZ41" s="66" t="s">
        <v>138</v>
      </c>
      <c r="BA41" s="64">
        <v>106.73</v>
      </c>
      <c r="BB41" s="64">
        <v>106.73</v>
      </c>
      <c r="BC41" s="64" t="s">
        <v>5120</v>
      </c>
      <c r="BD41" s="64" t="s">
        <v>5134</v>
      </c>
      <c r="BE41" s="64" t="s">
        <v>5120</v>
      </c>
      <c r="BF41" s="64" t="s">
        <v>5134</v>
      </c>
      <c r="BG41" s="64" t="s">
        <v>4963</v>
      </c>
      <c r="BH41" s="64" t="s">
        <v>5097</v>
      </c>
      <c r="BI41" s="64" t="s">
        <v>5133</v>
      </c>
      <c r="BJ41" s="64" t="s">
        <v>4954</v>
      </c>
      <c r="BK41" s="64" t="s">
        <v>474</v>
      </c>
      <c r="BL41" s="64" t="s">
        <v>474</v>
      </c>
      <c r="BM41" s="66" t="s">
        <v>1210</v>
      </c>
      <c r="BN41" s="66" t="s">
        <v>1468</v>
      </c>
      <c r="BO41" s="66" t="s">
        <v>1468</v>
      </c>
      <c r="BP41" s="66" t="s">
        <v>1474</v>
      </c>
      <c r="BQ41" s="66" t="s">
        <v>1479</v>
      </c>
      <c r="BR41" s="64">
        <v>0.15</v>
      </c>
      <c r="BS41" s="64">
        <v>1.6E-2</v>
      </c>
      <c r="BT41" s="66">
        <v>120</v>
      </c>
      <c r="BU41" s="79"/>
      <c r="BV41" s="79"/>
      <c r="BW41" s="79"/>
      <c r="BX41" s="79"/>
      <c r="BY41" s="64">
        <v>0.7</v>
      </c>
      <c r="BZ41" s="79"/>
      <c r="CA41" s="79"/>
      <c r="CB41" s="64" t="s">
        <v>1100</v>
      </c>
      <c r="CC41" s="64" t="s">
        <v>1100</v>
      </c>
      <c r="CD41" s="64" t="s">
        <v>474</v>
      </c>
      <c r="CE41" s="79"/>
      <c r="CF41" s="79"/>
      <c r="CG41" s="79"/>
      <c r="CH41" s="79"/>
      <c r="CI41" s="79"/>
      <c r="CJ41" s="79"/>
      <c r="CK41" s="79"/>
      <c r="CL41" s="79"/>
      <c r="CM41" s="79"/>
      <c r="CN41" s="79"/>
      <c r="CO41" s="79"/>
      <c r="CP41" s="79"/>
      <c r="CQ41" s="79"/>
      <c r="CR41" s="79"/>
      <c r="CS41" s="79"/>
      <c r="CT41" s="79"/>
      <c r="CU41" s="79"/>
      <c r="CV41" s="79"/>
      <c r="CW41" s="79"/>
      <c r="CX41" s="79"/>
      <c r="CY41" s="79"/>
      <c r="CZ41" s="79"/>
      <c r="DA41" s="79"/>
      <c r="DB41" s="79"/>
      <c r="DC41" s="79"/>
      <c r="DD41" s="79"/>
      <c r="DE41" s="79"/>
      <c r="DF41" s="79"/>
      <c r="DG41" s="79"/>
      <c r="DH41" s="79"/>
      <c r="DI41" s="79"/>
      <c r="DJ41" s="79"/>
      <c r="DK41" s="79"/>
      <c r="DL41" s="79"/>
      <c r="DM41" s="79"/>
      <c r="DN41" s="79"/>
      <c r="DO41" s="79"/>
      <c r="DP41" s="79"/>
      <c r="DQ41" s="79"/>
      <c r="DR41" s="79"/>
      <c r="DS41" s="79"/>
      <c r="DT41" s="79"/>
      <c r="DU41" s="79"/>
      <c r="DV41" s="79"/>
      <c r="DW41" s="79"/>
      <c r="DX41" s="79"/>
      <c r="DY41" s="78"/>
    </row>
    <row r="42" spans="1:129" x14ac:dyDescent="0.35">
      <c r="A42" s="42" t="s">
        <v>4743</v>
      </c>
      <c r="B42" s="42" t="s">
        <v>5136</v>
      </c>
      <c r="C42" s="42" t="s">
        <v>138</v>
      </c>
      <c r="D42" s="43" t="s">
        <v>139</v>
      </c>
      <c r="F42" s="44" t="s">
        <v>5137</v>
      </c>
      <c r="G42" s="42" t="s">
        <v>4955</v>
      </c>
      <c r="H42" s="42" t="s">
        <v>68</v>
      </c>
      <c r="I42" s="43" t="s">
        <v>68</v>
      </c>
      <c r="J42" s="43" t="s">
        <v>68</v>
      </c>
      <c r="K42" s="43"/>
      <c r="L42" s="43" t="s">
        <v>69</v>
      </c>
      <c r="M42" s="43">
        <v>3</v>
      </c>
      <c r="N42" s="43">
        <v>3</v>
      </c>
      <c r="O42" s="43" t="s">
        <v>69</v>
      </c>
      <c r="P42" s="43">
        <v>4</v>
      </c>
      <c r="Q42" s="43">
        <v>4</v>
      </c>
      <c r="R42" s="43" t="s">
        <v>69</v>
      </c>
      <c r="S42" s="43">
        <v>5</v>
      </c>
      <c r="T42" s="43">
        <v>5</v>
      </c>
      <c r="U42" s="42" t="s">
        <v>5097</v>
      </c>
      <c r="V42" s="42">
        <v>106.73</v>
      </c>
      <c r="W42" s="42">
        <v>106.73</v>
      </c>
      <c r="X42" s="42" t="s">
        <v>5138</v>
      </c>
      <c r="Y42" s="42" t="s">
        <v>5139</v>
      </c>
      <c r="Z42" s="43" t="s">
        <v>4743</v>
      </c>
      <c r="AA42" s="43" t="s">
        <v>4742</v>
      </c>
      <c r="AC42" s="42" t="s">
        <v>4684</v>
      </c>
      <c r="AD42" s="42" t="s">
        <v>4685</v>
      </c>
      <c r="AE42" s="42" t="s">
        <v>4686</v>
      </c>
      <c r="AF42" s="42" t="s">
        <v>138</v>
      </c>
      <c r="AG42" s="42" t="s">
        <v>4685</v>
      </c>
      <c r="AH42" t="s">
        <v>5097</v>
      </c>
      <c r="AI42" s="42" t="s">
        <v>4959</v>
      </c>
      <c r="AJ42" s="42" t="s">
        <v>5100</v>
      </c>
      <c r="AL42" s="42" t="s">
        <v>5101</v>
      </c>
      <c r="AM42" s="43">
        <v>106.73</v>
      </c>
      <c r="AN42" s="43">
        <v>106.73</v>
      </c>
      <c r="AO42" s="43" t="s">
        <v>70</v>
      </c>
      <c r="AQ42" s="43">
        <v>1</v>
      </c>
      <c r="AR42" s="42" t="s">
        <v>5140</v>
      </c>
      <c r="AU42" s="64"/>
      <c r="AV42" s="64">
        <v>62</v>
      </c>
      <c r="AW42" s="64" t="s">
        <v>4955</v>
      </c>
      <c r="AX42" s="64" t="s">
        <v>4744</v>
      </c>
      <c r="AY42" s="66" t="s">
        <v>478</v>
      </c>
      <c r="AZ42" s="66" t="s">
        <v>138</v>
      </c>
      <c r="BA42" s="64">
        <v>106.73</v>
      </c>
      <c r="BB42" s="64">
        <v>106.73</v>
      </c>
      <c r="BC42" s="64" t="s">
        <v>5138</v>
      </c>
      <c r="BD42" s="64" t="s">
        <v>5139</v>
      </c>
      <c r="BE42" s="64" t="s">
        <v>5138</v>
      </c>
      <c r="BF42" s="64" t="s">
        <v>5139</v>
      </c>
      <c r="BG42" s="64" t="s">
        <v>4963</v>
      </c>
      <c r="BH42" s="64" t="s">
        <v>5097</v>
      </c>
      <c r="BI42" s="64" t="s">
        <v>5137</v>
      </c>
      <c r="BJ42" s="64" t="s">
        <v>4954</v>
      </c>
      <c r="BK42" s="64" t="s">
        <v>474</v>
      </c>
      <c r="BL42" s="64" t="s">
        <v>474</v>
      </c>
      <c r="BM42" s="66" t="s">
        <v>1210</v>
      </c>
      <c r="BN42" s="66" t="s">
        <v>1468</v>
      </c>
      <c r="BO42" s="66" t="s">
        <v>1468</v>
      </c>
      <c r="BP42" s="66" t="s">
        <v>1474</v>
      </c>
      <c r="BQ42" s="66" t="s">
        <v>1479</v>
      </c>
      <c r="BR42" s="64">
        <v>0.15</v>
      </c>
      <c r="BS42" s="64">
        <v>1.6E-2</v>
      </c>
      <c r="BT42" s="66">
        <v>120</v>
      </c>
      <c r="BU42" s="79"/>
      <c r="BV42" s="79"/>
      <c r="BW42" s="79"/>
      <c r="BX42" s="79"/>
      <c r="BY42" s="64">
        <v>0.7</v>
      </c>
      <c r="BZ42" s="79"/>
      <c r="CA42" s="79"/>
      <c r="CB42" s="64" t="s">
        <v>1100</v>
      </c>
      <c r="CC42" s="64" t="s">
        <v>1100</v>
      </c>
      <c r="CD42" s="64" t="s">
        <v>474</v>
      </c>
      <c r="CE42" s="79"/>
      <c r="CF42" s="79"/>
      <c r="CG42" s="79"/>
      <c r="CH42" s="79"/>
      <c r="CI42" s="79"/>
      <c r="CJ42" s="79"/>
      <c r="CK42" s="79"/>
      <c r="CL42" s="79"/>
      <c r="CM42" s="79"/>
      <c r="CN42" s="79"/>
      <c r="CO42" s="79"/>
      <c r="CP42" s="79"/>
      <c r="CQ42" s="79"/>
      <c r="CR42" s="79"/>
      <c r="CS42" s="79"/>
      <c r="CT42" s="79"/>
      <c r="CU42" s="79"/>
      <c r="CV42" s="79"/>
      <c r="CW42" s="79"/>
      <c r="CX42" s="79"/>
      <c r="CY42" s="79"/>
      <c r="CZ42" s="79"/>
      <c r="DA42" s="79"/>
      <c r="DB42" s="79"/>
      <c r="DC42" s="79"/>
      <c r="DD42" s="79"/>
      <c r="DE42" s="79"/>
      <c r="DF42" s="79"/>
      <c r="DG42" s="79"/>
      <c r="DH42" s="79"/>
      <c r="DI42" s="79"/>
      <c r="DJ42" s="79"/>
      <c r="DK42" s="79"/>
      <c r="DL42" s="79"/>
      <c r="DM42" s="79"/>
      <c r="DN42" s="79"/>
      <c r="DO42" s="79"/>
      <c r="DP42" s="79"/>
      <c r="DQ42" s="79"/>
      <c r="DR42" s="79"/>
      <c r="DS42" s="79"/>
      <c r="DT42" s="79"/>
      <c r="DU42" s="79"/>
      <c r="DV42" s="79"/>
      <c r="DW42" s="79"/>
      <c r="DX42" s="79"/>
      <c r="DY42" s="78"/>
    </row>
    <row r="43" spans="1:129" x14ac:dyDescent="0.35">
      <c r="A43" s="42" t="s">
        <v>4743</v>
      </c>
      <c r="B43" s="42" t="s">
        <v>5141</v>
      </c>
      <c r="C43" s="42" t="s">
        <v>138</v>
      </c>
      <c r="D43" s="43" t="s">
        <v>139</v>
      </c>
      <c r="F43" s="44" t="s">
        <v>5142</v>
      </c>
      <c r="G43" s="42" t="s">
        <v>4955</v>
      </c>
      <c r="H43" s="42" t="s">
        <v>68</v>
      </c>
      <c r="I43" s="43" t="s">
        <v>68</v>
      </c>
      <c r="J43" s="43" t="s">
        <v>68</v>
      </c>
      <c r="K43" s="43"/>
      <c r="L43" s="43" t="s">
        <v>69</v>
      </c>
      <c r="M43" s="43">
        <v>3</v>
      </c>
      <c r="N43" s="43">
        <v>3</v>
      </c>
      <c r="O43" s="43" t="s">
        <v>69</v>
      </c>
      <c r="P43" s="43">
        <v>4</v>
      </c>
      <c r="Q43" s="43">
        <v>4</v>
      </c>
      <c r="R43" s="43" t="s">
        <v>69</v>
      </c>
      <c r="S43" s="43">
        <v>5</v>
      </c>
      <c r="T43" s="43">
        <v>5</v>
      </c>
      <c r="U43" s="42" t="s">
        <v>5097</v>
      </c>
      <c r="V43" s="42">
        <v>106.73</v>
      </c>
      <c r="W43" s="42">
        <v>106.73</v>
      </c>
      <c r="X43" s="42" t="s">
        <v>5129</v>
      </c>
      <c r="Y43" s="42" t="s">
        <v>5143</v>
      </c>
      <c r="Z43" s="43" t="s">
        <v>4743</v>
      </c>
      <c r="AA43" s="43" t="s">
        <v>4742</v>
      </c>
      <c r="AC43" s="42" t="s">
        <v>4684</v>
      </c>
      <c r="AD43" s="42" t="s">
        <v>4685</v>
      </c>
      <c r="AE43" s="42" t="s">
        <v>4686</v>
      </c>
      <c r="AF43" s="42" t="s">
        <v>138</v>
      </c>
      <c r="AG43" s="42" t="s">
        <v>4685</v>
      </c>
      <c r="AH43" t="s">
        <v>5097</v>
      </c>
      <c r="AI43" s="42" t="s">
        <v>4959</v>
      </c>
      <c r="AJ43" s="42" t="s">
        <v>5100</v>
      </c>
      <c r="AL43" s="42" t="s">
        <v>5101</v>
      </c>
      <c r="AM43" s="43">
        <v>106.73</v>
      </c>
      <c r="AN43" s="43">
        <v>106.73</v>
      </c>
      <c r="AO43" s="43" t="s">
        <v>70</v>
      </c>
      <c r="AQ43" s="43">
        <v>1</v>
      </c>
      <c r="AR43" s="42" t="s">
        <v>5144</v>
      </c>
      <c r="AU43" s="64"/>
      <c r="AV43" s="64">
        <v>62</v>
      </c>
      <c r="AW43" s="64" t="s">
        <v>4955</v>
      </c>
      <c r="AX43" s="64" t="s">
        <v>4744</v>
      </c>
      <c r="AY43" s="66" t="s">
        <v>478</v>
      </c>
      <c r="AZ43" s="66" t="s">
        <v>138</v>
      </c>
      <c r="BA43" s="64">
        <v>106.73</v>
      </c>
      <c r="BB43" s="64">
        <v>106.73</v>
      </c>
      <c r="BC43" s="64" t="s">
        <v>5129</v>
      </c>
      <c r="BD43" s="64" t="s">
        <v>5143</v>
      </c>
      <c r="BE43" s="64" t="s">
        <v>5129</v>
      </c>
      <c r="BF43" s="64" t="s">
        <v>5143</v>
      </c>
      <c r="BG43" s="64" t="s">
        <v>4963</v>
      </c>
      <c r="BH43" s="64" t="s">
        <v>5097</v>
      </c>
      <c r="BI43" s="64" t="s">
        <v>5142</v>
      </c>
      <c r="BJ43" s="64" t="s">
        <v>4954</v>
      </c>
      <c r="BK43" s="64" t="s">
        <v>474</v>
      </c>
      <c r="BL43" s="64" t="s">
        <v>474</v>
      </c>
      <c r="BM43" s="66" t="s">
        <v>1210</v>
      </c>
      <c r="BN43" s="66" t="s">
        <v>1468</v>
      </c>
      <c r="BO43" s="66" t="s">
        <v>1468</v>
      </c>
      <c r="BP43" s="66" t="s">
        <v>1474</v>
      </c>
      <c r="BQ43" s="66" t="s">
        <v>1479</v>
      </c>
      <c r="BR43" s="64">
        <v>0.15</v>
      </c>
      <c r="BS43" s="64">
        <v>1.6E-2</v>
      </c>
      <c r="BT43" s="66">
        <v>120</v>
      </c>
      <c r="BU43" s="79"/>
      <c r="BV43" s="79"/>
      <c r="BW43" s="79"/>
      <c r="BX43" s="79"/>
      <c r="BY43" s="64">
        <v>0.7</v>
      </c>
      <c r="BZ43" s="79"/>
      <c r="CA43" s="79"/>
      <c r="CB43" s="64" t="s">
        <v>1100</v>
      </c>
      <c r="CC43" s="64" t="s">
        <v>1100</v>
      </c>
      <c r="CD43" s="64" t="s">
        <v>474</v>
      </c>
      <c r="CE43" s="79"/>
      <c r="CF43" s="79"/>
      <c r="CG43" s="79"/>
      <c r="CH43" s="79"/>
      <c r="CI43" s="79"/>
      <c r="CJ43" s="79"/>
      <c r="CK43" s="79"/>
      <c r="CL43" s="79"/>
      <c r="CM43" s="79"/>
      <c r="CN43" s="79"/>
      <c r="CO43" s="79"/>
      <c r="CP43" s="79"/>
      <c r="CQ43" s="79"/>
      <c r="CR43" s="79"/>
      <c r="CS43" s="79"/>
      <c r="CT43" s="79"/>
      <c r="CU43" s="79"/>
      <c r="CV43" s="79"/>
      <c r="CW43" s="79"/>
      <c r="CX43" s="79"/>
      <c r="CY43" s="79"/>
      <c r="CZ43" s="79"/>
      <c r="DA43" s="79"/>
      <c r="DB43" s="79"/>
      <c r="DC43" s="79"/>
      <c r="DD43" s="79"/>
      <c r="DE43" s="79"/>
      <c r="DF43" s="79"/>
      <c r="DG43" s="79"/>
      <c r="DH43" s="79"/>
      <c r="DI43" s="79"/>
      <c r="DJ43" s="79"/>
      <c r="DK43" s="79"/>
      <c r="DL43" s="79"/>
      <c r="DM43" s="79"/>
      <c r="DN43" s="79"/>
      <c r="DO43" s="79"/>
      <c r="DP43" s="79"/>
      <c r="DQ43" s="79"/>
      <c r="DR43" s="79"/>
      <c r="DS43" s="79"/>
      <c r="DT43" s="79"/>
      <c r="DU43" s="79"/>
      <c r="DV43" s="79"/>
      <c r="DW43" s="79"/>
      <c r="DX43" s="79"/>
      <c r="DY43" s="78"/>
    </row>
    <row r="44" spans="1:129" x14ac:dyDescent="0.35">
      <c r="A44" s="42" t="s">
        <v>4743</v>
      </c>
      <c r="B44" s="42" t="s">
        <v>5145</v>
      </c>
      <c r="C44" s="42" t="s">
        <v>138</v>
      </c>
      <c r="D44" s="43" t="s">
        <v>139</v>
      </c>
      <c r="F44" s="44" t="s">
        <v>5146</v>
      </c>
      <c r="G44" s="42" t="s">
        <v>4955</v>
      </c>
      <c r="H44" s="42" t="s">
        <v>68</v>
      </c>
      <c r="I44" s="43" t="s">
        <v>68</v>
      </c>
      <c r="J44" s="43" t="s">
        <v>68</v>
      </c>
      <c r="K44" s="43"/>
      <c r="L44" s="43" t="s">
        <v>69</v>
      </c>
      <c r="M44" s="43">
        <v>3</v>
      </c>
      <c r="N44" s="43">
        <v>3</v>
      </c>
      <c r="O44" s="43" t="s">
        <v>69</v>
      </c>
      <c r="P44" s="43">
        <v>4</v>
      </c>
      <c r="Q44" s="43">
        <v>4</v>
      </c>
      <c r="R44" s="43" t="s">
        <v>69</v>
      </c>
      <c r="S44" s="43">
        <v>5</v>
      </c>
      <c r="T44" s="43">
        <v>5</v>
      </c>
      <c r="U44" s="42" t="s">
        <v>5097</v>
      </c>
      <c r="V44" s="42">
        <v>106.73</v>
      </c>
      <c r="W44" s="42">
        <v>106.73</v>
      </c>
      <c r="X44" s="42" t="s">
        <v>5147</v>
      </c>
      <c r="Y44" s="42" t="s">
        <v>5148</v>
      </c>
      <c r="Z44" s="43" t="s">
        <v>4743</v>
      </c>
      <c r="AA44" s="43" t="s">
        <v>4742</v>
      </c>
      <c r="AC44" s="42" t="s">
        <v>4684</v>
      </c>
      <c r="AD44" s="42" t="s">
        <v>4685</v>
      </c>
      <c r="AE44" s="42" t="s">
        <v>4686</v>
      </c>
      <c r="AF44" s="42" t="s">
        <v>138</v>
      </c>
      <c r="AG44" s="42" t="s">
        <v>4685</v>
      </c>
      <c r="AH44" t="s">
        <v>5097</v>
      </c>
      <c r="AI44" s="42" t="s">
        <v>4959</v>
      </c>
      <c r="AJ44" s="42" t="s">
        <v>5100</v>
      </c>
      <c r="AL44" s="42" t="s">
        <v>5101</v>
      </c>
      <c r="AM44" s="43">
        <v>106.73</v>
      </c>
      <c r="AN44" s="43">
        <v>106.73</v>
      </c>
      <c r="AO44" s="43" t="s">
        <v>70</v>
      </c>
      <c r="AQ44" s="43">
        <v>1</v>
      </c>
      <c r="AR44" s="42" t="s">
        <v>5149</v>
      </c>
      <c r="AU44" s="64"/>
      <c r="AV44" s="64">
        <v>62</v>
      </c>
      <c r="AW44" s="64" t="s">
        <v>4955</v>
      </c>
      <c r="AX44" s="64" t="s">
        <v>4744</v>
      </c>
      <c r="AY44" s="66" t="s">
        <v>478</v>
      </c>
      <c r="AZ44" s="66" t="s">
        <v>138</v>
      </c>
      <c r="BA44" s="64">
        <v>106.73</v>
      </c>
      <c r="BB44" s="64">
        <v>106.73</v>
      </c>
      <c r="BC44" s="64" t="s">
        <v>5147</v>
      </c>
      <c r="BD44" s="64" t="s">
        <v>5148</v>
      </c>
      <c r="BE44" s="64" t="s">
        <v>5147</v>
      </c>
      <c r="BF44" s="64" t="s">
        <v>5148</v>
      </c>
      <c r="BG44" s="64" t="s">
        <v>4963</v>
      </c>
      <c r="BH44" s="64" t="s">
        <v>5097</v>
      </c>
      <c r="BI44" s="64" t="s">
        <v>5146</v>
      </c>
      <c r="BJ44" s="64" t="s">
        <v>4954</v>
      </c>
      <c r="BK44" s="64" t="s">
        <v>474</v>
      </c>
      <c r="BL44" s="64" t="s">
        <v>474</v>
      </c>
      <c r="BM44" s="66" t="s">
        <v>1210</v>
      </c>
      <c r="BN44" s="66" t="s">
        <v>1468</v>
      </c>
      <c r="BO44" s="66" t="s">
        <v>1468</v>
      </c>
      <c r="BP44" s="66" t="s">
        <v>1474</v>
      </c>
      <c r="BQ44" s="66" t="s">
        <v>1479</v>
      </c>
      <c r="BR44" s="64">
        <v>0.15</v>
      </c>
      <c r="BS44" s="64">
        <v>1.2999999999999999E-2</v>
      </c>
      <c r="BT44" s="66">
        <v>120</v>
      </c>
      <c r="BU44" s="79"/>
      <c r="BV44" s="79"/>
      <c r="BW44" s="79"/>
      <c r="BX44" s="79"/>
      <c r="BY44" s="64">
        <v>0.58499999999999996</v>
      </c>
      <c r="BZ44" s="79"/>
      <c r="CA44" s="79"/>
      <c r="CB44" s="64" t="s">
        <v>1100</v>
      </c>
      <c r="CC44" s="64" t="s">
        <v>1100</v>
      </c>
      <c r="CD44" s="64" t="s">
        <v>474</v>
      </c>
      <c r="CE44" s="79"/>
      <c r="CF44" s="79"/>
      <c r="CG44" s="79"/>
      <c r="CH44" s="79"/>
      <c r="CI44" s="79"/>
      <c r="CJ44" s="79"/>
      <c r="CK44" s="79"/>
      <c r="CL44" s="79"/>
      <c r="CM44" s="79"/>
      <c r="CN44" s="79"/>
      <c r="CO44" s="79"/>
      <c r="CP44" s="79"/>
      <c r="CQ44" s="79"/>
      <c r="CR44" s="79"/>
      <c r="CS44" s="79"/>
      <c r="CT44" s="79"/>
      <c r="CU44" s="79"/>
      <c r="CV44" s="79"/>
      <c r="CW44" s="79"/>
      <c r="CX44" s="79"/>
      <c r="CY44" s="79"/>
      <c r="CZ44" s="79"/>
      <c r="DA44" s="79"/>
      <c r="DB44" s="79"/>
      <c r="DC44" s="79"/>
      <c r="DD44" s="79"/>
      <c r="DE44" s="79"/>
      <c r="DF44" s="79"/>
      <c r="DG44" s="79"/>
      <c r="DH44" s="79"/>
      <c r="DI44" s="79"/>
      <c r="DJ44" s="79"/>
      <c r="DK44" s="79"/>
      <c r="DL44" s="79"/>
      <c r="DM44" s="79"/>
      <c r="DN44" s="79"/>
      <c r="DO44" s="79"/>
      <c r="DP44" s="79"/>
      <c r="DQ44" s="79"/>
      <c r="DR44" s="79"/>
      <c r="DS44" s="79"/>
      <c r="DT44" s="79"/>
      <c r="DU44" s="79"/>
      <c r="DV44" s="79"/>
      <c r="DW44" s="79"/>
      <c r="DX44" s="79"/>
      <c r="DY44" s="78"/>
    </row>
    <row r="45" spans="1:129" x14ac:dyDescent="0.35">
      <c r="A45" s="42" t="s">
        <v>4743</v>
      </c>
      <c r="B45" s="42" t="s">
        <v>5150</v>
      </c>
      <c r="C45" s="42" t="s">
        <v>138</v>
      </c>
      <c r="D45" s="43" t="s">
        <v>139</v>
      </c>
      <c r="F45" s="44" t="s">
        <v>5151</v>
      </c>
      <c r="G45" s="42" t="s">
        <v>4955</v>
      </c>
      <c r="H45" s="42" t="s">
        <v>68</v>
      </c>
      <c r="I45" s="43" t="s">
        <v>68</v>
      </c>
      <c r="J45" s="43" t="s">
        <v>68</v>
      </c>
      <c r="K45" s="43"/>
      <c r="L45" s="43" t="s">
        <v>69</v>
      </c>
      <c r="M45" s="43">
        <v>3</v>
      </c>
      <c r="N45" s="43">
        <v>3</v>
      </c>
      <c r="O45" s="43" t="s">
        <v>69</v>
      </c>
      <c r="P45" s="43">
        <v>4</v>
      </c>
      <c r="Q45" s="43">
        <v>4</v>
      </c>
      <c r="R45" s="43" t="s">
        <v>69</v>
      </c>
      <c r="S45" s="43">
        <v>5</v>
      </c>
      <c r="T45" s="43">
        <v>5</v>
      </c>
      <c r="U45" s="42" t="s">
        <v>5097</v>
      </c>
      <c r="V45" s="42">
        <v>106.73</v>
      </c>
      <c r="W45" s="42">
        <v>106.73</v>
      </c>
      <c r="X45" s="42" t="s">
        <v>5152</v>
      </c>
      <c r="Y45" s="42" t="s">
        <v>5153</v>
      </c>
      <c r="Z45" s="43" t="s">
        <v>4743</v>
      </c>
      <c r="AA45" s="43" t="s">
        <v>4742</v>
      </c>
      <c r="AC45" s="42" t="s">
        <v>4684</v>
      </c>
      <c r="AD45" s="42" t="s">
        <v>4685</v>
      </c>
      <c r="AE45" s="42" t="s">
        <v>4686</v>
      </c>
      <c r="AF45" s="42" t="s">
        <v>138</v>
      </c>
      <c r="AG45" s="42" t="s">
        <v>4685</v>
      </c>
      <c r="AH45" t="s">
        <v>5097</v>
      </c>
      <c r="AI45" s="42" t="s">
        <v>4959</v>
      </c>
      <c r="AJ45" s="42" t="s">
        <v>5100</v>
      </c>
      <c r="AL45" s="42" t="s">
        <v>5101</v>
      </c>
      <c r="AM45" s="43">
        <v>106.73</v>
      </c>
      <c r="AN45" s="43">
        <v>106.73</v>
      </c>
      <c r="AO45" s="43" t="s">
        <v>70</v>
      </c>
      <c r="AQ45" s="43">
        <v>1</v>
      </c>
      <c r="AR45" s="42" t="s">
        <v>5154</v>
      </c>
      <c r="AU45" s="64"/>
      <c r="AV45" s="64">
        <v>62</v>
      </c>
      <c r="AW45" s="64" t="s">
        <v>4955</v>
      </c>
      <c r="AX45" s="64" t="s">
        <v>4744</v>
      </c>
      <c r="AY45" s="66" t="s">
        <v>478</v>
      </c>
      <c r="AZ45" s="66" t="s">
        <v>138</v>
      </c>
      <c r="BA45" s="64">
        <v>106.73</v>
      </c>
      <c r="BB45" s="64">
        <v>106.73</v>
      </c>
      <c r="BC45" s="64" t="s">
        <v>5152</v>
      </c>
      <c r="BD45" s="64" t="s">
        <v>5153</v>
      </c>
      <c r="BE45" s="64" t="s">
        <v>5152</v>
      </c>
      <c r="BF45" s="64" t="s">
        <v>5153</v>
      </c>
      <c r="BG45" s="64" t="s">
        <v>4963</v>
      </c>
      <c r="BH45" s="64" t="s">
        <v>5097</v>
      </c>
      <c r="BI45" s="64" t="s">
        <v>5151</v>
      </c>
      <c r="BJ45" s="64" t="s">
        <v>4954</v>
      </c>
      <c r="BK45" s="64" t="s">
        <v>474</v>
      </c>
      <c r="BL45" s="64" t="s">
        <v>474</v>
      </c>
      <c r="BM45" s="66" t="s">
        <v>1210</v>
      </c>
      <c r="BN45" s="66" t="s">
        <v>1468</v>
      </c>
      <c r="BO45" s="66" t="s">
        <v>1468</v>
      </c>
      <c r="BP45" s="66" t="s">
        <v>1474</v>
      </c>
      <c r="BQ45" s="66" t="s">
        <v>1479</v>
      </c>
      <c r="BR45" s="64">
        <v>0.15</v>
      </c>
      <c r="BS45" s="64">
        <v>1.6E-2</v>
      </c>
      <c r="BT45" s="66">
        <v>120</v>
      </c>
      <c r="BU45" s="79"/>
      <c r="BV45" s="79"/>
      <c r="BW45" s="79"/>
      <c r="BX45" s="79"/>
      <c r="BY45" s="64">
        <v>0.7</v>
      </c>
      <c r="BZ45" s="79"/>
      <c r="CA45" s="79"/>
      <c r="CB45" s="64" t="s">
        <v>1100</v>
      </c>
      <c r="CC45" s="64" t="s">
        <v>1100</v>
      </c>
      <c r="CD45" s="64" t="s">
        <v>474</v>
      </c>
      <c r="CE45" s="79"/>
      <c r="CF45" s="79"/>
      <c r="CG45" s="79"/>
      <c r="CH45" s="79"/>
      <c r="CI45" s="79"/>
      <c r="CJ45" s="79"/>
      <c r="CK45" s="79"/>
      <c r="CL45" s="79"/>
      <c r="CM45" s="79"/>
      <c r="CN45" s="79"/>
      <c r="CO45" s="79"/>
      <c r="CP45" s="79"/>
      <c r="CQ45" s="79"/>
      <c r="CR45" s="79"/>
      <c r="CS45" s="79"/>
      <c r="CT45" s="79"/>
      <c r="CU45" s="79"/>
      <c r="CV45" s="79"/>
      <c r="CW45" s="79"/>
      <c r="CX45" s="79"/>
      <c r="CY45" s="79"/>
      <c r="CZ45" s="79"/>
      <c r="DA45" s="79"/>
      <c r="DB45" s="79"/>
      <c r="DC45" s="79"/>
      <c r="DD45" s="79"/>
      <c r="DE45" s="79"/>
      <c r="DF45" s="79"/>
      <c r="DG45" s="79"/>
      <c r="DH45" s="79"/>
      <c r="DI45" s="79"/>
      <c r="DJ45" s="79"/>
      <c r="DK45" s="79"/>
      <c r="DL45" s="79"/>
      <c r="DM45" s="79"/>
      <c r="DN45" s="79"/>
      <c r="DO45" s="79"/>
      <c r="DP45" s="79"/>
      <c r="DQ45" s="79"/>
      <c r="DR45" s="79"/>
      <c r="DS45" s="79"/>
      <c r="DT45" s="79"/>
      <c r="DU45" s="79"/>
      <c r="DV45" s="79"/>
      <c r="DW45" s="79"/>
      <c r="DX45" s="79"/>
      <c r="DY45" s="78"/>
    </row>
    <row r="46" spans="1:129" x14ac:dyDescent="0.35">
      <c r="A46" s="42" t="s">
        <v>4743</v>
      </c>
      <c r="B46" s="42" t="s">
        <v>5155</v>
      </c>
      <c r="C46" s="42" t="s">
        <v>138</v>
      </c>
      <c r="D46" s="43" t="s">
        <v>139</v>
      </c>
      <c r="F46" s="44" t="s">
        <v>5156</v>
      </c>
      <c r="G46" s="42" t="s">
        <v>4955</v>
      </c>
      <c r="H46" s="42" t="s">
        <v>68</v>
      </c>
      <c r="I46" s="43" t="s">
        <v>68</v>
      </c>
      <c r="J46" s="43" t="s">
        <v>68</v>
      </c>
      <c r="K46" s="43"/>
      <c r="L46" s="43" t="s">
        <v>69</v>
      </c>
      <c r="M46" s="43">
        <v>3</v>
      </c>
      <c r="N46" s="43">
        <v>3</v>
      </c>
      <c r="O46" s="43" t="s">
        <v>69</v>
      </c>
      <c r="P46" s="43">
        <v>4</v>
      </c>
      <c r="Q46" s="43">
        <v>4</v>
      </c>
      <c r="R46" s="43" t="s">
        <v>69</v>
      </c>
      <c r="S46" s="43">
        <v>5</v>
      </c>
      <c r="T46" s="43">
        <v>5</v>
      </c>
      <c r="U46" s="42" t="s">
        <v>5097</v>
      </c>
      <c r="V46" s="42">
        <v>106.73</v>
      </c>
      <c r="W46" s="42">
        <v>106.73</v>
      </c>
      <c r="X46" s="42" t="s">
        <v>5157</v>
      </c>
      <c r="Y46" s="42" t="s">
        <v>5158</v>
      </c>
      <c r="Z46" s="43" t="s">
        <v>4743</v>
      </c>
      <c r="AA46" s="43" t="s">
        <v>4742</v>
      </c>
      <c r="AC46" s="42" t="s">
        <v>4684</v>
      </c>
      <c r="AD46" s="42" t="s">
        <v>4685</v>
      </c>
      <c r="AE46" s="42" t="s">
        <v>4686</v>
      </c>
      <c r="AF46" s="42" t="s">
        <v>138</v>
      </c>
      <c r="AG46" s="42" t="s">
        <v>4685</v>
      </c>
      <c r="AH46" t="s">
        <v>5097</v>
      </c>
      <c r="AI46" s="42" t="s">
        <v>4959</v>
      </c>
      <c r="AJ46" s="42" t="s">
        <v>5100</v>
      </c>
      <c r="AL46" s="42" t="s">
        <v>5101</v>
      </c>
      <c r="AM46" s="43">
        <v>106.73</v>
      </c>
      <c r="AN46" s="43">
        <v>106.73</v>
      </c>
      <c r="AO46" s="43" t="s">
        <v>70</v>
      </c>
      <c r="AQ46" s="43">
        <v>1</v>
      </c>
      <c r="AR46" s="42" t="s">
        <v>5159</v>
      </c>
      <c r="AU46" s="64"/>
      <c r="AV46" s="64">
        <v>62</v>
      </c>
      <c r="AW46" s="64" t="s">
        <v>4955</v>
      </c>
      <c r="AX46" s="64" t="s">
        <v>4744</v>
      </c>
      <c r="AY46" s="66" t="s">
        <v>478</v>
      </c>
      <c r="AZ46" s="66" t="s">
        <v>138</v>
      </c>
      <c r="BA46" s="64">
        <v>106.73</v>
      </c>
      <c r="BB46" s="64">
        <v>106.73</v>
      </c>
      <c r="BC46" s="64" t="s">
        <v>5157</v>
      </c>
      <c r="BD46" s="64" t="s">
        <v>5158</v>
      </c>
      <c r="BE46" s="64" t="s">
        <v>5157</v>
      </c>
      <c r="BF46" s="64" t="s">
        <v>5158</v>
      </c>
      <c r="BG46" s="64" t="s">
        <v>4963</v>
      </c>
      <c r="BH46" s="64" t="s">
        <v>5097</v>
      </c>
      <c r="BI46" s="64" t="s">
        <v>5156</v>
      </c>
      <c r="BJ46" s="64" t="s">
        <v>4954</v>
      </c>
      <c r="BK46" s="64" t="s">
        <v>474</v>
      </c>
      <c r="BL46" s="64" t="s">
        <v>474</v>
      </c>
      <c r="BM46" s="66" t="s">
        <v>1210</v>
      </c>
      <c r="BN46" s="66" t="s">
        <v>1468</v>
      </c>
      <c r="BO46" s="66" t="s">
        <v>1468</v>
      </c>
      <c r="BP46" s="66" t="s">
        <v>1474</v>
      </c>
      <c r="BQ46" s="66" t="s">
        <v>1479</v>
      </c>
      <c r="BR46" s="64">
        <v>0.15</v>
      </c>
      <c r="BS46" s="64">
        <v>1.6E-2</v>
      </c>
      <c r="BT46" s="66">
        <v>120</v>
      </c>
      <c r="BU46" s="79"/>
      <c r="BV46" s="79"/>
      <c r="BW46" s="79"/>
      <c r="BX46" s="79"/>
      <c r="BY46" s="64">
        <v>0.7</v>
      </c>
      <c r="BZ46" s="79"/>
      <c r="CA46" s="79"/>
      <c r="CB46" s="64" t="s">
        <v>1100</v>
      </c>
      <c r="CC46" s="64" t="s">
        <v>1100</v>
      </c>
      <c r="CD46" s="64" t="s">
        <v>474</v>
      </c>
      <c r="CE46" s="79"/>
      <c r="CF46" s="79"/>
      <c r="CG46" s="79"/>
      <c r="CH46" s="79"/>
      <c r="CI46" s="79"/>
      <c r="CJ46" s="79"/>
      <c r="CK46" s="79"/>
      <c r="CL46" s="79"/>
      <c r="CM46" s="79"/>
      <c r="CN46" s="79"/>
      <c r="CO46" s="79"/>
      <c r="CP46" s="79"/>
      <c r="CQ46" s="79"/>
      <c r="CR46" s="79"/>
      <c r="CS46" s="79"/>
      <c r="CT46" s="79"/>
      <c r="CU46" s="79"/>
      <c r="CV46" s="79"/>
      <c r="CW46" s="79"/>
      <c r="CX46" s="79"/>
      <c r="CY46" s="79"/>
      <c r="CZ46" s="79"/>
      <c r="DA46" s="79"/>
      <c r="DB46" s="79"/>
      <c r="DC46" s="79"/>
      <c r="DD46" s="79"/>
      <c r="DE46" s="79"/>
      <c r="DF46" s="79"/>
      <c r="DG46" s="79"/>
      <c r="DH46" s="79"/>
      <c r="DI46" s="79"/>
      <c r="DJ46" s="79"/>
      <c r="DK46" s="79"/>
      <c r="DL46" s="79"/>
      <c r="DM46" s="79"/>
      <c r="DN46" s="79"/>
      <c r="DO46" s="79"/>
      <c r="DP46" s="79"/>
      <c r="DQ46" s="79"/>
      <c r="DR46" s="79"/>
      <c r="DS46" s="79"/>
      <c r="DT46" s="79"/>
      <c r="DU46" s="79"/>
      <c r="DV46" s="79"/>
      <c r="DW46" s="79"/>
      <c r="DX46" s="79"/>
      <c r="DY46" s="78"/>
    </row>
    <row r="47" spans="1:129" x14ac:dyDescent="0.35">
      <c r="A47" s="42" t="s">
        <v>4743</v>
      </c>
      <c r="B47" s="42" t="s">
        <v>5160</v>
      </c>
      <c r="C47" s="42" t="s">
        <v>138</v>
      </c>
      <c r="D47" s="43" t="s">
        <v>139</v>
      </c>
      <c r="F47" s="44" t="s">
        <v>5161</v>
      </c>
      <c r="G47" s="42" t="s">
        <v>4955</v>
      </c>
      <c r="H47" s="42" t="s">
        <v>68</v>
      </c>
      <c r="I47" s="43" t="s">
        <v>68</v>
      </c>
      <c r="J47" s="43" t="s">
        <v>68</v>
      </c>
      <c r="K47" s="43"/>
      <c r="L47" s="43" t="s">
        <v>69</v>
      </c>
      <c r="M47" s="43">
        <v>3</v>
      </c>
      <c r="N47" s="43">
        <v>3</v>
      </c>
      <c r="O47" s="43" t="s">
        <v>69</v>
      </c>
      <c r="P47" s="43">
        <v>4</v>
      </c>
      <c r="Q47" s="43">
        <v>4</v>
      </c>
      <c r="R47" s="43" t="s">
        <v>69</v>
      </c>
      <c r="S47" s="43">
        <v>5</v>
      </c>
      <c r="T47" s="43">
        <v>5</v>
      </c>
      <c r="U47" s="42" t="s">
        <v>5097</v>
      </c>
      <c r="V47" s="42">
        <v>106.73</v>
      </c>
      <c r="W47" s="42">
        <v>106.73</v>
      </c>
      <c r="X47" s="42" t="s">
        <v>5162</v>
      </c>
      <c r="Y47" s="42" t="s">
        <v>5163</v>
      </c>
      <c r="Z47" s="43" t="s">
        <v>4743</v>
      </c>
      <c r="AA47" s="43" t="s">
        <v>4742</v>
      </c>
      <c r="AC47" s="42" t="s">
        <v>4684</v>
      </c>
      <c r="AD47" s="42" t="s">
        <v>4685</v>
      </c>
      <c r="AE47" s="42" t="s">
        <v>4686</v>
      </c>
      <c r="AF47" s="42" t="s">
        <v>138</v>
      </c>
      <c r="AG47" s="42" t="s">
        <v>4685</v>
      </c>
      <c r="AH47" t="s">
        <v>5097</v>
      </c>
      <c r="AI47" s="42" t="s">
        <v>4959</v>
      </c>
      <c r="AJ47" s="42" t="s">
        <v>5100</v>
      </c>
      <c r="AL47" s="42" t="s">
        <v>5101</v>
      </c>
      <c r="AM47" s="43">
        <v>106.73</v>
      </c>
      <c r="AN47" s="43">
        <v>106.73</v>
      </c>
      <c r="AO47" s="43" t="s">
        <v>70</v>
      </c>
      <c r="AQ47" s="43">
        <v>1</v>
      </c>
      <c r="AR47" s="42" t="s">
        <v>5164</v>
      </c>
      <c r="AU47" s="64"/>
      <c r="AV47" s="64">
        <v>62</v>
      </c>
      <c r="AW47" s="64" t="s">
        <v>4955</v>
      </c>
      <c r="AX47" s="64" t="s">
        <v>4744</v>
      </c>
      <c r="AY47" s="66" t="s">
        <v>478</v>
      </c>
      <c r="AZ47" s="66" t="s">
        <v>138</v>
      </c>
      <c r="BA47" s="64">
        <v>106.73</v>
      </c>
      <c r="BB47" s="64">
        <v>106.73</v>
      </c>
      <c r="BC47" s="64" t="s">
        <v>5162</v>
      </c>
      <c r="BD47" s="64" t="s">
        <v>5163</v>
      </c>
      <c r="BE47" s="64" t="s">
        <v>5162</v>
      </c>
      <c r="BF47" s="64" t="s">
        <v>5163</v>
      </c>
      <c r="BG47" s="64" t="s">
        <v>4963</v>
      </c>
      <c r="BH47" s="64" t="s">
        <v>5097</v>
      </c>
      <c r="BI47" s="64" t="s">
        <v>5161</v>
      </c>
      <c r="BJ47" s="64" t="s">
        <v>4954</v>
      </c>
      <c r="BK47" s="64" t="s">
        <v>474</v>
      </c>
      <c r="BL47" s="64" t="s">
        <v>474</v>
      </c>
      <c r="BM47" s="66" t="s">
        <v>1210</v>
      </c>
      <c r="BN47" s="66" t="s">
        <v>1468</v>
      </c>
      <c r="BO47" s="66" t="s">
        <v>1468</v>
      </c>
      <c r="BP47" s="66" t="s">
        <v>1474</v>
      </c>
      <c r="BQ47" s="66" t="s">
        <v>1479</v>
      </c>
      <c r="BR47" s="64">
        <v>0.15</v>
      </c>
      <c r="BS47" s="64">
        <v>1.6E-2</v>
      </c>
      <c r="BT47" s="66">
        <v>120</v>
      </c>
      <c r="BU47" s="79"/>
      <c r="BV47" s="79"/>
      <c r="BW47" s="79"/>
      <c r="BX47" s="79"/>
      <c r="BY47" s="64">
        <v>0.7</v>
      </c>
      <c r="BZ47" s="79"/>
      <c r="CA47" s="79"/>
      <c r="CB47" s="64" t="s">
        <v>1100</v>
      </c>
      <c r="CC47" s="64" t="s">
        <v>1100</v>
      </c>
      <c r="CD47" s="64" t="s">
        <v>474</v>
      </c>
      <c r="CE47" s="79"/>
      <c r="CF47" s="79"/>
      <c r="CG47" s="79"/>
      <c r="CH47" s="79"/>
      <c r="CI47" s="79"/>
      <c r="CJ47" s="79"/>
      <c r="CK47" s="79"/>
      <c r="CL47" s="79"/>
      <c r="CM47" s="79"/>
      <c r="CN47" s="79"/>
      <c r="CO47" s="79"/>
      <c r="CP47" s="79"/>
      <c r="CQ47" s="79"/>
      <c r="CR47" s="79"/>
      <c r="CS47" s="79"/>
      <c r="CT47" s="79"/>
      <c r="CU47" s="79"/>
      <c r="CV47" s="79"/>
      <c r="CW47" s="79"/>
      <c r="CX47" s="79"/>
      <c r="CY47" s="79"/>
      <c r="CZ47" s="79"/>
      <c r="DA47" s="79"/>
      <c r="DB47" s="79"/>
      <c r="DC47" s="79"/>
      <c r="DD47" s="79"/>
      <c r="DE47" s="79"/>
      <c r="DF47" s="79"/>
      <c r="DG47" s="79"/>
      <c r="DH47" s="79"/>
      <c r="DI47" s="79"/>
      <c r="DJ47" s="79"/>
      <c r="DK47" s="79"/>
      <c r="DL47" s="79"/>
      <c r="DM47" s="79"/>
      <c r="DN47" s="79"/>
      <c r="DO47" s="79"/>
      <c r="DP47" s="79"/>
      <c r="DQ47" s="79"/>
      <c r="DR47" s="79"/>
      <c r="DS47" s="79"/>
      <c r="DT47" s="79"/>
      <c r="DU47" s="79"/>
      <c r="DV47" s="79"/>
      <c r="DW47" s="79"/>
      <c r="DX47" s="79"/>
      <c r="DY47" s="78"/>
    </row>
    <row r="48" spans="1:129" x14ac:dyDescent="0.35">
      <c r="A48" s="42" t="s">
        <v>4743</v>
      </c>
      <c r="B48" s="42" t="s">
        <v>5165</v>
      </c>
      <c r="C48" s="42" t="s">
        <v>138</v>
      </c>
      <c r="D48" s="43" t="s">
        <v>139</v>
      </c>
      <c r="F48" s="44" t="s">
        <v>5166</v>
      </c>
      <c r="G48" s="42" t="s">
        <v>4955</v>
      </c>
      <c r="H48" s="42" t="s">
        <v>68</v>
      </c>
      <c r="I48" s="43" t="s">
        <v>68</v>
      </c>
      <c r="J48" s="43" t="s">
        <v>68</v>
      </c>
      <c r="K48" s="43"/>
      <c r="L48" s="43" t="s">
        <v>69</v>
      </c>
      <c r="M48" s="43">
        <v>3</v>
      </c>
      <c r="N48" s="43">
        <v>3</v>
      </c>
      <c r="O48" s="43" t="s">
        <v>69</v>
      </c>
      <c r="P48" s="43">
        <v>4</v>
      </c>
      <c r="Q48" s="43">
        <v>4</v>
      </c>
      <c r="R48" s="43" t="s">
        <v>69</v>
      </c>
      <c r="S48" s="43">
        <v>5</v>
      </c>
      <c r="T48" s="43">
        <v>5</v>
      </c>
      <c r="U48" s="42" t="s">
        <v>5097</v>
      </c>
      <c r="V48" s="42">
        <v>106.73</v>
      </c>
      <c r="W48" s="42">
        <v>106.73</v>
      </c>
      <c r="X48" s="42" t="s">
        <v>5167</v>
      </c>
      <c r="Y48" s="42" t="s">
        <v>5168</v>
      </c>
      <c r="Z48" s="43" t="s">
        <v>4743</v>
      </c>
      <c r="AA48" s="43" t="s">
        <v>4742</v>
      </c>
      <c r="AC48" s="42" t="s">
        <v>4684</v>
      </c>
      <c r="AD48" s="42" t="s">
        <v>4685</v>
      </c>
      <c r="AE48" s="42" t="s">
        <v>4686</v>
      </c>
      <c r="AF48" s="42" t="s">
        <v>138</v>
      </c>
      <c r="AG48" s="42" t="s">
        <v>4685</v>
      </c>
      <c r="AH48" t="s">
        <v>5097</v>
      </c>
      <c r="AI48" s="42" t="s">
        <v>4959</v>
      </c>
      <c r="AJ48" s="42" t="s">
        <v>5100</v>
      </c>
      <c r="AL48" s="42" t="s">
        <v>5101</v>
      </c>
      <c r="AM48" s="43">
        <v>106.73</v>
      </c>
      <c r="AN48" s="43">
        <v>106.73</v>
      </c>
      <c r="AO48" s="43" t="s">
        <v>70</v>
      </c>
      <c r="AQ48" s="43">
        <v>1</v>
      </c>
      <c r="AR48" s="42" t="s">
        <v>5169</v>
      </c>
      <c r="AU48" s="64"/>
      <c r="AV48" s="64">
        <v>62</v>
      </c>
      <c r="AW48" s="64" t="s">
        <v>4955</v>
      </c>
      <c r="AX48" s="64" t="s">
        <v>4744</v>
      </c>
      <c r="AY48" s="66" t="s">
        <v>478</v>
      </c>
      <c r="AZ48" s="66" t="s">
        <v>138</v>
      </c>
      <c r="BA48" s="64">
        <v>106.73</v>
      </c>
      <c r="BB48" s="64">
        <v>106.73</v>
      </c>
      <c r="BC48" s="64" t="s">
        <v>5167</v>
      </c>
      <c r="BD48" s="64" t="s">
        <v>5168</v>
      </c>
      <c r="BE48" s="64" t="s">
        <v>5167</v>
      </c>
      <c r="BF48" s="64" t="s">
        <v>5168</v>
      </c>
      <c r="BG48" s="64" t="s">
        <v>4963</v>
      </c>
      <c r="BH48" s="64" t="s">
        <v>5097</v>
      </c>
      <c r="BI48" s="64" t="s">
        <v>5166</v>
      </c>
      <c r="BJ48" s="64" t="s">
        <v>4954</v>
      </c>
      <c r="BK48" s="64" t="s">
        <v>474</v>
      </c>
      <c r="BL48" s="64" t="s">
        <v>474</v>
      </c>
      <c r="BM48" s="66" t="s">
        <v>1210</v>
      </c>
      <c r="BN48" s="66" t="s">
        <v>1468</v>
      </c>
      <c r="BO48" s="66" t="s">
        <v>1468</v>
      </c>
      <c r="BP48" s="66" t="s">
        <v>1474</v>
      </c>
      <c r="BQ48" s="66" t="s">
        <v>1479</v>
      </c>
      <c r="BR48" s="64">
        <v>0.15</v>
      </c>
      <c r="BS48" s="64">
        <v>1.6E-2</v>
      </c>
      <c r="BT48" s="66">
        <v>120</v>
      </c>
      <c r="BU48" s="79"/>
      <c r="BV48" s="79"/>
      <c r="BW48" s="79"/>
      <c r="BX48" s="79"/>
      <c r="BY48" s="64">
        <v>0.7</v>
      </c>
      <c r="BZ48" s="79"/>
      <c r="CA48" s="79"/>
      <c r="CB48" s="64" t="s">
        <v>1100</v>
      </c>
      <c r="CC48" s="64" t="s">
        <v>1100</v>
      </c>
      <c r="CD48" s="64" t="s">
        <v>474</v>
      </c>
      <c r="CE48" s="79"/>
      <c r="CF48" s="79"/>
      <c r="CG48" s="79"/>
      <c r="CH48" s="79"/>
      <c r="CI48" s="79"/>
      <c r="CJ48" s="79"/>
      <c r="CK48" s="79"/>
      <c r="CL48" s="79"/>
      <c r="CM48" s="79"/>
      <c r="CN48" s="79"/>
      <c r="CO48" s="79"/>
      <c r="CP48" s="79"/>
      <c r="CQ48" s="79"/>
      <c r="CR48" s="79"/>
      <c r="CS48" s="79"/>
      <c r="CT48" s="79"/>
      <c r="CU48" s="79"/>
      <c r="CV48" s="79"/>
      <c r="CW48" s="79"/>
      <c r="CX48" s="79"/>
      <c r="CY48" s="79"/>
      <c r="CZ48" s="79"/>
      <c r="DA48" s="79"/>
      <c r="DB48" s="79"/>
      <c r="DC48" s="79"/>
      <c r="DD48" s="79"/>
      <c r="DE48" s="79"/>
      <c r="DF48" s="79"/>
      <c r="DG48" s="79"/>
      <c r="DH48" s="79"/>
      <c r="DI48" s="79"/>
      <c r="DJ48" s="79"/>
      <c r="DK48" s="79"/>
      <c r="DL48" s="79"/>
      <c r="DM48" s="79"/>
      <c r="DN48" s="79"/>
      <c r="DO48" s="79"/>
      <c r="DP48" s="79"/>
      <c r="DQ48" s="79"/>
      <c r="DR48" s="79"/>
      <c r="DS48" s="79"/>
      <c r="DT48" s="79"/>
      <c r="DU48" s="79"/>
      <c r="DV48" s="79"/>
      <c r="DW48" s="79"/>
      <c r="DX48" s="79"/>
      <c r="DY48" s="78"/>
    </row>
    <row r="49" spans="1:129" x14ac:dyDescent="0.35">
      <c r="A49" s="42" t="s">
        <v>4743</v>
      </c>
      <c r="B49" s="42" t="s">
        <v>5170</v>
      </c>
      <c r="C49" s="42" t="s">
        <v>138</v>
      </c>
      <c r="D49" s="43" t="s">
        <v>139</v>
      </c>
      <c r="F49" s="44" t="s">
        <v>5171</v>
      </c>
      <c r="G49" s="42" t="s">
        <v>4955</v>
      </c>
      <c r="H49" s="42" t="s">
        <v>68</v>
      </c>
      <c r="I49" s="43" t="s">
        <v>68</v>
      </c>
      <c r="J49" s="43" t="s">
        <v>68</v>
      </c>
      <c r="K49" s="43"/>
      <c r="L49" s="43" t="s">
        <v>69</v>
      </c>
      <c r="M49" s="43">
        <v>3</v>
      </c>
      <c r="N49" s="43">
        <v>3</v>
      </c>
      <c r="O49" s="43" t="s">
        <v>69</v>
      </c>
      <c r="P49" s="43">
        <v>4</v>
      </c>
      <c r="Q49" s="43">
        <v>4</v>
      </c>
      <c r="R49" s="43" t="s">
        <v>69</v>
      </c>
      <c r="S49" s="43">
        <v>5</v>
      </c>
      <c r="T49" s="43">
        <v>5</v>
      </c>
      <c r="U49" s="42" t="s">
        <v>5097</v>
      </c>
      <c r="V49" s="42">
        <v>106.73</v>
      </c>
      <c r="W49" s="42">
        <v>106.73</v>
      </c>
      <c r="X49" s="42" t="s">
        <v>5172</v>
      </c>
      <c r="Y49" s="42" t="s">
        <v>5173</v>
      </c>
      <c r="Z49" s="43" t="s">
        <v>4743</v>
      </c>
      <c r="AA49" s="43" t="s">
        <v>4742</v>
      </c>
      <c r="AC49" s="42" t="s">
        <v>4684</v>
      </c>
      <c r="AD49" s="42" t="s">
        <v>4685</v>
      </c>
      <c r="AE49" s="42" t="s">
        <v>4686</v>
      </c>
      <c r="AF49" s="42" t="s">
        <v>138</v>
      </c>
      <c r="AG49" s="42" t="s">
        <v>4685</v>
      </c>
      <c r="AH49" t="s">
        <v>5097</v>
      </c>
      <c r="AI49" s="42" t="s">
        <v>4959</v>
      </c>
      <c r="AJ49" s="42" t="s">
        <v>5100</v>
      </c>
      <c r="AL49" s="42" t="s">
        <v>5101</v>
      </c>
      <c r="AM49" s="43">
        <v>106.73</v>
      </c>
      <c r="AN49" s="43">
        <v>106.73</v>
      </c>
      <c r="AO49" s="43" t="s">
        <v>70</v>
      </c>
      <c r="AQ49" s="43">
        <v>1</v>
      </c>
      <c r="AR49" s="42" t="s">
        <v>5174</v>
      </c>
      <c r="AU49" s="64"/>
      <c r="AV49" s="64">
        <v>62</v>
      </c>
      <c r="AW49" s="64" t="s">
        <v>4955</v>
      </c>
      <c r="AX49" s="64" t="s">
        <v>4744</v>
      </c>
      <c r="AY49" s="66" t="s">
        <v>478</v>
      </c>
      <c r="AZ49" s="66" t="s">
        <v>138</v>
      </c>
      <c r="BA49" s="64">
        <v>106.73</v>
      </c>
      <c r="BB49" s="64">
        <v>106.73</v>
      </c>
      <c r="BC49" s="64" t="s">
        <v>5172</v>
      </c>
      <c r="BD49" s="64" t="s">
        <v>5173</v>
      </c>
      <c r="BE49" s="64" t="s">
        <v>5172</v>
      </c>
      <c r="BF49" s="64" t="s">
        <v>5173</v>
      </c>
      <c r="BG49" s="64" t="s">
        <v>4963</v>
      </c>
      <c r="BH49" s="64" t="s">
        <v>5097</v>
      </c>
      <c r="BI49" s="64" t="s">
        <v>5171</v>
      </c>
      <c r="BJ49" s="64" t="s">
        <v>4954</v>
      </c>
      <c r="BK49" s="64" t="s">
        <v>474</v>
      </c>
      <c r="BL49" s="64" t="s">
        <v>474</v>
      </c>
      <c r="BM49" s="66" t="s">
        <v>1210</v>
      </c>
      <c r="BN49" s="66" t="s">
        <v>1468</v>
      </c>
      <c r="BO49" s="66" t="s">
        <v>1468</v>
      </c>
      <c r="BP49" s="66" t="s">
        <v>1474</v>
      </c>
      <c r="BQ49" s="66" t="s">
        <v>1479</v>
      </c>
      <c r="BR49" s="64">
        <v>0.15</v>
      </c>
      <c r="BS49" s="64">
        <v>1.6E-2</v>
      </c>
      <c r="BT49" s="66">
        <v>120</v>
      </c>
      <c r="BU49" s="79"/>
      <c r="BV49" s="79"/>
      <c r="BW49" s="79"/>
      <c r="BX49" s="79"/>
      <c r="BY49" s="64">
        <v>0.7</v>
      </c>
      <c r="BZ49" s="79"/>
      <c r="CA49" s="79"/>
      <c r="CB49" s="64" t="s">
        <v>1100</v>
      </c>
      <c r="CC49" s="64" t="s">
        <v>1100</v>
      </c>
      <c r="CD49" s="64" t="s">
        <v>474</v>
      </c>
      <c r="CE49" s="79"/>
      <c r="CF49" s="79"/>
      <c r="CG49" s="79"/>
      <c r="CH49" s="79"/>
      <c r="CI49" s="79"/>
      <c r="CJ49" s="79"/>
      <c r="CK49" s="79"/>
      <c r="CL49" s="79"/>
      <c r="CM49" s="79"/>
      <c r="CN49" s="79"/>
      <c r="CO49" s="79"/>
      <c r="CP49" s="79"/>
      <c r="CQ49" s="79"/>
      <c r="CR49" s="79"/>
      <c r="CS49" s="79"/>
      <c r="CT49" s="79"/>
      <c r="CU49" s="79"/>
      <c r="CV49" s="79"/>
      <c r="CW49" s="79"/>
      <c r="CX49" s="79"/>
      <c r="CY49" s="79"/>
      <c r="CZ49" s="79"/>
      <c r="DA49" s="79"/>
      <c r="DB49" s="79"/>
      <c r="DC49" s="79"/>
      <c r="DD49" s="79"/>
      <c r="DE49" s="79"/>
      <c r="DF49" s="79"/>
      <c r="DG49" s="79"/>
      <c r="DH49" s="79"/>
      <c r="DI49" s="79"/>
      <c r="DJ49" s="79"/>
      <c r="DK49" s="79"/>
      <c r="DL49" s="79"/>
      <c r="DM49" s="79"/>
      <c r="DN49" s="79"/>
      <c r="DO49" s="79"/>
      <c r="DP49" s="79"/>
      <c r="DQ49" s="79"/>
      <c r="DR49" s="79"/>
      <c r="DS49" s="79"/>
      <c r="DT49" s="79"/>
      <c r="DU49" s="79"/>
      <c r="DV49" s="79"/>
      <c r="DW49" s="79"/>
      <c r="DX49" s="79"/>
      <c r="DY49" s="78"/>
    </row>
    <row r="50" spans="1:129" x14ac:dyDescent="0.35">
      <c r="A50" s="42" t="s">
        <v>4743</v>
      </c>
      <c r="B50" s="42" t="s">
        <v>5175</v>
      </c>
      <c r="C50" s="42" t="s">
        <v>138</v>
      </c>
      <c r="D50" s="43" t="s">
        <v>139</v>
      </c>
      <c r="F50" s="44" t="s">
        <v>5176</v>
      </c>
      <c r="G50" s="42" t="s">
        <v>4955</v>
      </c>
      <c r="H50" s="42" t="s">
        <v>68</v>
      </c>
      <c r="I50" s="43" t="s">
        <v>68</v>
      </c>
      <c r="J50" s="43" t="s">
        <v>68</v>
      </c>
      <c r="K50" s="43"/>
      <c r="L50" s="43" t="s">
        <v>69</v>
      </c>
      <c r="M50" s="43">
        <v>3</v>
      </c>
      <c r="N50" s="43">
        <v>3</v>
      </c>
      <c r="O50" s="43" t="s">
        <v>69</v>
      </c>
      <c r="P50" s="43">
        <v>4</v>
      </c>
      <c r="Q50" s="43">
        <v>4</v>
      </c>
      <c r="R50" s="43" t="s">
        <v>69</v>
      </c>
      <c r="S50" s="43">
        <v>5</v>
      </c>
      <c r="T50" s="43">
        <v>5</v>
      </c>
      <c r="U50" s="42" t="s">
        <v>5097</v>
      </c>
      <c r="V50" s="42">
        <v>106.73</v>
      </c>
      <c r="W50" s="42">
        <v>106.73</v>
      </c>
      <c r="X50" s="42" t="s">
        <v>5177</v>
      </c>
      <c r="Y50" s="42" t="s">
        <v>5178</v>
      </c>
      <c r="Z50" s="43" t="s">
        <v>4743</v>
      </c>
      <c r="AA50" s="43" t="s">
        <v>4742</v>
      </c>
      <c r="AC50" s="42" t="s">
        <v>4684</v>
      </c>
      <c r="AD50" s="42" t="s">
        <v>4685</v>
      </c>
      <c r="AE50" s="42" t="s">
        <v>4686</v>
      </c>
      <c r="AF50" s="42" t="s">
        <v>138</v>
      </c>
      <c r="AG50" s="42" t="s">
        <v>4685</v>
      </c>
      <c r="AH50" t="s">
        <v>5097</v>
      </c>
      <c r="AI50" s="42" t="s">
        <v>4959</v>
      </c>
      <c r="AJ50" s="42" t="s">
        <v>5100</v>
      </c>
      <c r="AL50" s="42" t="s">
        <v>5101</v>
      </c>
      <c r="AM50" s="43">
        <v>106.73</v>
      </c>
      <c r="AN50" s="43">
        <v>106.73</v>
      </c>
      <c r="AO50" s="43" t="s">
        <v>70</v>
      </c>
      <c r="AQ50" s="43">
        <v>1</v>
      </c>
      <c r="AR50" s="42" t="s">
        <v>5179</v>
      </c>
      <c r="AU50" s="64"/>
      <c r="AV50" s="64">
        <v>62</v>
      </c>
      <c r="AW50" s="64" t="s">
        <v>4955</v>
      </c>
      <c r="AX50" s="64" t="s">
        <v>4744</v>
      </c>
      <c r="AY50" s="66" t="s">
        <v>478</v>
      </c>
      <c r="AZ50" s="66" t="s">
        <v>138</v>
      </c>
      <c r="BA50" s="64">
        <v>106.73</v>
      </c>
      <c r="BB50" s="64">
        <v>106.73</v>
      </c>
      <c r="BC50" s="64" t="s">
        <v>5177</v>
      </c>
      <c r="BD50" s="64" t="s">
        <v>5178</v>
      </c>
      <c r="BE50" s="64" t="s">
        <v>5177</v>
      </c>
      <c r="BF50" s="64" t="s">
        <v>5178</v>
      </c>
      <c r="BG50" s="64" t="s">
        <v>4963</v>
      </c>
      <c r="BH50" s="64" t="s">
        <v>5097</v>
      </c>
      <c r="BI50" s="64" t="s">
        <v>5176</v>
      </c>
      <c r="BJ50" s="64" t="s">
        <v>4954</v>
      </c>
      <c r="BK50" s="64" t="s">
        <v>474</v>
      </c>
      <c r="BL50" s="64" t="s">
        <v>474</v>
      </c>
      <c r="BM50" s="66" t="s">
        <v>1210</v>
      </c>
      <c r="BN50" s="66" t="s">
        <v>1468</v>
      </c>
      <c r="BO50" s="66" t="s">
        <v>1468</v>
      </c>
      <c r="BP50" s="66" t="s">
        <v>1474</v>
      </c>
      <c r="BQ50" s="66" t="s">
        <v>1479</v>
      </c>
      <c r="BR50" s="64">
        <v>0.15</v>
      </c>
      <c r="BS50" s="64">
        <v>1.6E-2</v>
      </c>
      <c r="BT50" s="66">
        <v>120</v>
      </c>
      <c r="BU50" s="79"/>
      <c r="BV50" s="79"/>
      <c r="BW50" s="79"/>
      <c r="BX50" s="79"/>
      <c r="BY50" s="64">
        <v>0.7</v>
      </c>
      <c r="BZ50" s="79"/>
      <c r="CA50" s="79"/>
      <c r="CB50" s="64" t="s">
        <v>1100</v>
      </c>
      <c r="CC50" s="64" t="s">
        <v>1100</v>
      </c>
      <c r="CD50" s="64" t="s">
        <v>474</v>
      </c>
      <c r="CE50" s="79"/>
      <c r="CF50" s="79"/>
      <c r="CG50" s="79"/>
      <c r="CH50" s="79"/>
      <c r="CI50" s="79"/>
      <c r="CJ50" s="79"/>
      <c r="CK50" s="79"/>
      <c r="CL50" s="79"/>
      <c r="CM50" s="79"/>
      <c r="CN50" s="79"/>
      <c r="CO50" s="79"/>
      <c r="CP50" s="79"/>
      <c r="CQ50" s="79"/>
      <c r="CR50" s="79"/>
      <c r="CS50" s="79"/>
      <c r="CT50" s="79"/>
      <c r="CU50" s="79"/>
      <c r="CV50" s="79"/>
      <c r="CW50" s="79"/>
      <c r="CX50" s="79"/>
      <c r="CY50" s="79"/>
      <c r="CZ50" s="79"/>
      <c r="DA50" s="79"/>
      <c r="DB50" s="79"/>
      <c r="DC50" s="79"/>
      <c r="DD50" s="79"/>
      <c r="DE50" s="79"/>
      <c r="DF50" s="79"/>
      <c r="DG50" s="79"/>
      <c r="DH50" s="79"/>
      <c r="DI50" s="79"/>
      <c r="DJ50" s="79"/>
      <c r="DK50" s="79"/>
      <c r="DL50" s="79"/>
      <c r="DM50" s="79"/>
      <c r="DN50" s="79"/>
      <c r="DO50" s="79"/>
      <c r="DP50" s="79"/>
      <c r="DQ50" s="79"/>
      <c r="DR50" s="79"/>
      <c r="DS50" s="79"/>
      <c r="DT50" s="79"/>
      <c r="DU50" s="79"/>
      <c r="DV50" s="79"/>
      <c r="DW50" s="79"/>
      <c r="DX50" s="79"/>
      <c r="DY50" s="78"/>
    </row>
    <row r="51" spans="1:129" x14ac:dyDescent="0.35">
      <c r="A51" s="42" t="s">
        <v>4743</v>
      </c>
      <c r="B51" s="42" t="s">
        <v>5180</v>
      </c>
      <c r="C51" s="42" t="s">
        <v>138</v>
      </c>
      <c r="D51" s="43" t="s">
        <v>139</v>
      </c>
      <c r="F51" s="44" t="s">
        <v>5181</v>
      </c>
      <c r="G51" s="42" t="s">
        <v>4955</v>
      </c>
      <c r="H51" s="42" t="s">
        <v>68</v>
      </c>
      <c r="I51" s="43" t="s">
        <v>68</v>
      </c>
      <c r="J51" s="43" t="s">
        <v>68</v>
      </c>
      <c r="K51" s="43"/>
      <c r="L51" s="43" t="s">
        <v>69</v>
      </c>
      <c r="M51" s="43">
        <v>3</v>
      </c>
      <c r="N51" s="43">
        <v>3</v>
      </c>
      <c r="O51" s="43" t="s">
        <v>69</v>
      </c>
      <c r="P51" s="43">
        <v>4</v>
      </c>
      <c r="Q51" s="43">
        <v>4</v>
      </c>
      <c r="R51" s="43" t="s">
        <v>69</v>
      </c>
      <c r="S51" s="43">
        <v>5</v>
      </c>
      <c r="T51" s="43">
        <v>5</v>
      </c>
      <c r="U51" s="42" t="s">
        <v>5097</v>
      </c>
      <c r="V51" s="42">
        <v>106.73</v>
      </c>
      <c r="W51" s="42">
        <v>106.73</v>
      </c>
      <c r="X51" s="42" t="s">
        <v>5182</v>
      </c>
      <c r="Y51" s="42" t="s">
        <v>5183</v>
      </c>
      <c r="Z51" s="43" t="s">
        <v>4743</v>
      </c>
      <c r="AA51" s="43" t="s">
        <v>4742</v>
      </c>
      <c r="AC51" s="42" t="s">
        <v>4684</v>
      </c>
      <c r="AD51" s="42" t="s">
        <v>4685</v>
      </c>
      <c r="AE51" s="42" t="s">
        <v>4686</v>
      </c>
      <c r="AF51" s="42" t="s">
        <v>138</v>
      </c>
      <c r="AG51" s="42" t="s">
        <v>4685</v>
      </c>
      <c r="AH51" t="s">
        <v>5097</v>
      </c>
      <c r="AI51" s="42" t="s">
        <v>4959</v>
      </c>
      <c r="AJ51" s="42" t="s">
        <v>5100</v>
      </c>
      <c r="AL51" s="42" t="s">
        <v>5101</v>
      </c>
      <c r="AM51" s="43">
        <v>106.73</v>
      </c>
      <c r="AN51" s="43">
        <v>106.73</v>
      </c>
      <c r="AO51" s="43" t="s">
        <v>70</v>
      </c>
      <c r="AQ51" s="43">
        <v>1</v>
      </c>
      <c r="AR51" s="42" t="s">
        <v>5184</v>
      </c>
      <c r="AU51" s="64"/>
      <c r="AV51" s="64">
        <v>62</v>
      </c>
      <c r="AW51" s="64" t="s">
        <v>4955</v>
      </c>
      <c r="AX51" s="64" t="s">
        <v>4744</v>
      </c>
      <c r="AY51" s="66" t="s">
        <v>478</v>
      </c>
      <c r="AZ51" s="66" t="s">
        <v>138</v>
      </c>
      <c r="BA51" s="64">
        <v>106.73</v>
      </c>
      <c r="BB51" s="64">
        <v>106.73</v>
      </c>
      <c r="BC51" s="64" t="s">
        <v>5182</v>
      </c>
      <c r="BD51" s="64" t="s">
        <v>5183</v>
      </c>
      <c r="BE51" s="64" t="s">
        <v>5182</v>
      </c>
      <c r="BF51" s="64" t="s">
        <v>5183</v>
      </c>
      <c r="BG51" s="64" t="s">
        <v>4963</v>
      </c>
      <c r="BH51" s="64" t="s">
        <v>5097</v>
      </c>
      <c r="BI51" s="64" t="s">
        <v>5181</v>
      </c>
      <c r="BJ51" s="64" t="s">
        <v>4954</v>
      </c>
      <c r="BK51" s="64" t="s">
        <v>474</v>
      </c>
      <c r="BL51" s="64" t="s">
        <v>474</v>
      </c>
      <c r="BM51" s="66" t="s">
        <v>1210</v>
      </c>
      <c r="BN51" s="66" t="s">
        <v>1468</v>
      </c>
      <c r="BO51" s="66" t="s">
        <v>1468</v>
      </c>
      <c r="BP51" s="66" t="s">
        <v>1474</v>
      </c>
      <c r="BQ51" s="66" t="s">
        <v>1479</v>
      </c>
      <c r="BR51" s="64">
        <v>0.15</v>
      </c>
      <c r="BS51" s="64">
        <v>1.6E-2</v>
      </c>
      <c r="BT51" s="66">
        <v>120</v>
      </c>
      <c r="BU51" s="79"/>
      <c r="BV51" s="79"/>
      <c r="BW51" s="79"/>
      <c r="BX51" s="79"/>
      <c r="BY51" s="64">
        <v>0.7</v>
      </c>
      <c r="BZ51" s="79"/>
      <c r="CA51" s="79"/>
      <c r="CB51" s="64" t="s">
        <v>1100</v>
      </c>
      <c r="CC51" s="64" t="s">
        <v>1100</v>
      </c>
      <c r="CD51" s="64" t="s">
        <v>474</v>
      </c>
      <c r="CE51" s="79"/>
      <c r="CF51" s="79"/>
      <c r="CG51" s="79"/>
      <c r="CH51" s="79"/>
      <c r="CI51" s="79"/>
      <c r="CJ51" s="79"/>
      <c r="CK51" s="79"/>
      <c r="CL51" s="79"/>
      <c r="CM51" s="79"/>
      <c r="CN51" s="79"/>
      <c r="CO51" s="79"/>
      <c r="CP51" s="79"/>
      <c r="CQ51" s="79"/>
      <c r="CR51" s="79"/>
      <c r="CS51" s="79"/>
      <c r="CT51" s="79"/>
      <c r="CU51" s="79"/>
      <c r="CV51" s="79"/>
      <c r="CW51" s="79"/>
      <c r="CX51" s="79"/>
      <c r="CY51" s="79"/>
      <c r="CZ51" s="79"/>
      <c r="DA51" s="79"/>
      <c r="DB51" s="79"/>
      <c r="DC51" s="79"/>
      <c r="DD51" s="79"/>
      <c r="DE51" s="79"/>
      <c r="DF51" s="79"/>
      <c r="DG51" s="79"/>
      <c r="DH51" s="79"/>
      <c r="DI51" s="79"/>
      <c r="DJ51" s="79"/>
      <c r="DK51" s="79"/>
      <c r="DL51" s="79"/>
      <c r="DM51" s="79"/>
      <c r="DN51" s="79"/>
      <c r="DO51" s="79"/>
      <c r="DP51" s="79"/>
      <c r="DQ51" s="79"/>
      <c r="DR51" s="79"/>
      <c r="DS51" s="79"/>
      <c r="DT51" s="79"/>
      <c r="DU51" s="79"/>
      <c r="DV51" s="79"/>
      <c r="DW51" s="79"/>
      <c r="DX51" s="79"/>
      <c r="DY51" s="78"/>
    </row>
    <row r="52" spans="1:129" x14ac:dyDescent="0.35">
      <c r="A52" s="42" t="s">
        <v>4743</v>
      </c>
      <c r="B52" s="42" t="s">
        <v>5185</v>
      </c>
      <c r="C52" s="42" t="s">
        <v>138</v>
      </c>
      <c r="D52" s="43" t="s">
        <v>139</v>
      </c>
      <c r="F52" s="44" t="s">
        <v>5186</v>
      </c>
      <c r="G52" s="42" t="s">
        <v>4955</v>
      </c>
      <c r="H52" s="42" t="s">
        <v>68</v>
      </c>
      <c r="I52" s="43" t="s">
        <v>68</v>
      </c>
      <c r="J52" s="43" t="s">
        <v>68</v>
      </c>
      <c r="K52" s="43"/>
      <c r="L52" s="43" t="s">
        <v>69</v>
      </c>
      <c r="M52" s="43">
        <v>3</v>
      </c>
      <c r="N52" s="43">
        <v>3</v>
      </c>
      <c r="O52" s="43" t="s">
        <v>69</v>
      </c>
      <c r="P52" s="43">
        <v>4</v>
      </c>
      <c r="Q52" s="43">
        <v>4</v>
      </c>
      <c r="R52" s="43" t="s">
        <v>69</v>
      </c>
      <c r="S52" s="43">
        <v>5</v>
      </c>
      <c r="T52" s="43">
        <v>5</v>
      </c>
      <c r="U52" s="42" t="s">
        <v>5097</v>
      </c>
      <c r="V52" s="42">
        <v>106.73</v>
      </c>
      <c r="W52" s="42">
        <v>106.73</v>
      </c>
      <c r="X52" s="42" t="s">
        <v>5187</v>
      </c>
      <c r="Y52" s="42" t="s">
        <v>5188</v>
      </c>
      <c r="Z52" s="43" t="s">
        <v>4743</v>
      </c>
      <c r="AA52" s="43" t="s">
        <v>4742</v>
      </c>
      <c r="AC52" s="42" t="s">
        <v>4684</v>
      </c>
      <c r="AD52" s="42" t="s">
        <v>4685</v>
      </c>
      <c r="AE52" s="42" t="s">
        <v>4686</v>
      </c>
      <c r="AF52" s="42" t="s">
        <v>138</v>
      </c>
      <c r="AG52" s="42" t="s">
        <v>4685</v>
      </c>
      <c r="AH52" t="s">
        <v>5097</v>
      </c>
      <c r="AI52" s="42" t="s">
        <v>4959</v>
      </c>
      <c r="AJ52" s="42" t="s">
        <v>5100</v>
      </c>
      <c r="AL52" s="42" t="s">
        <v>5101</v>
      </c>
      <c r="AM52" s="43">
        <v>106.73</v>
      </c>
      <c r="AN52" s="43">
        <v>106.73</v>
      </c>
      <c r="AO52" s="43" t="s">
        <v>70</v>
      </c>
      <c r="AQ52" s="43">
        <v>1</v>
      </c>
      <c r="AR52" s="42" t="s">
        <v>5189</v>
      </c>
      <c r="AU52" s="64"/>
      <c r="AV52" s="64">
        <v>62</v>
      </c>
      <c r="AW52" s="64" t="s">
        <v>4955</v>
      </c>
      <c r="AX52" s="64" t="s">
        <v>4744</v>
      </c>
      <c r="AY52" s="66" t="s">
        <v>478</v>
      </c>
      <c r="AZ52" s="66" t="s">
        <v>138</v>
      </c>
      <c r="BA52" s="64">
        <v>106.73</v>
      </c>
      <c r="BB52" s="64">
        <v>106.73</v>
      </c>
      <c r="BC52" s="64" t="s">
        <v>5187</v>
      </c>
      <c r="BD52" s="64" t="s">
        <v>5188</v>
      </c>
      <c r="BE52" s="64" t="s">
        <v>5187</v>
      </c>
      <c r="BF52" s="64" t="s">
        <v>5188</v>
      </c>
      <c r="BG52" s="64" t="s">
        <v>4963</v>
      </c>
      <c r="BH52" s="64" t="s">
        <v>5097</v>
      </c>
      <c r="BI52" s="64" t="s">
        <v>5186</v>
      </c>
      <c r="BJ52" s="64" t="s">
        <v>4954</v>
      </c>
      <c r="BK52" s="64" t="s">
        <v>474</v>
      </c>
      <c r="BL52" s="64" t="s">
        <v>474</v>
      </c>
      <c r="BM52" s="66" t="s">
        <v>1210</v>
      </c>
      <c r="BN52" s="66" t="s">
        <v>1468</v>
      </c>
      <c r="BO52" s="66" t="s">
        <v>1468</v>
      </c>
      <c r="BP52" s="66" t="s">
        <v>1474</v>
      </c>
      <c r="BQ52" s="66" t="s">
        <v>1479</v>
      </c>
      <c r="BR52" s="64">
        <v>0.15</v>
      </c>
      <c r="BS52" s="64">
        <v>1.6E-2</v>
      </c>
      <c r="BT52" s="66">
        <v>120</v>
      </c>
      <c r="BU52" s="79"/>
      <c r="BV52" s="79"/>
      <c r="BW52" s="79"/>
      <c r="BX52" s="79"/>
      <c r="BY52" s="64">
        <v>0.7</v>
      </c>
      <c r="BZ52" s="79"/>
      <c r="CA52" s="79"/>
      <c r="CB52" s="64" t="s">
        <v>1100</v>
      </c>
      <c r="CC52" s="64" t="s">
        <v>1100</v>
      </c>
      <c r="CD52" s="64" t="s">
        <v>474</v>
      </c>
      <c r="CE52" s="79"/>
      <c r="CF52" s="79"/>
      <c r="CG52" s="79"/>
      <c r="CH52" s="79"/>
      <c r="CI52" s="79"/>
      <c r="CJ52" s="79"/>
      <c r="CK52" s="79"/>
      <c r="CL52" s="79"/>
      <c r="CM52" s="79"/>
      <c r="CN52" s="79"/>
      <c r="CO52" s="79"/>
      <c r="CP52" s="79"/>
      <c r="CQ52" s="79"/>
      <c r="CR52" s="79"/>
      <c r="CS52" s="79"/>
      <c r="CT52" s="79"/>
      <c r="CU52" s="79"/>
      <c r="CV52" s="79"/>
      <c r="CW52" s="79"/>
      <c r="CX52" s="79"/>
      <c r="CY52" s="79"/>
      <c r="CZ52" s="79"/>
      <c r="DA52" s="79"/>
      <c r="DB52" s="79"/>
      <c r="DC52" s="79"/>
      <c r="DD52" s="79"/>
      <c r="DE52" s="79"/>
      <c r="DF52" s="79"/>
      <c r="DG52" s="79"/>
      <c r="DH52" s="79"/>
      <c r="DI52" s="79"/>
      <c r="DJ52" s="79"/>
      <c r="DK52" s="79"/>
      <c r="DL52" s="79"/>
      <c r="DM52" s="79"/>
      <c r="DN52" s="79"/>
      <c r="DO52" s="79"/>
      <c r="DP52" s="79"/>
      <c r="DQ52" s="79"/>
      <c r="DR52" s="79"/>
      <c r="DS52" s="79"/>
      <c r="DT52" s="79"/>
      <c r="DU52" s="79"/>
      <c r="DV52" s="79"/>
      <c r="DW52" s="79"/>
      <c r="DX52" s="79"/>
      <c r="DY52" s="78"/>
    </row>
    <row r="53" spans="1:129" x14ac:dyDescent="0.35">
      <c r="A53" s="42" t="s">
        <v>4743</v>
      </c>
      <c r="B53" s="42" t="s">
        <v>5190</v>
      </c>
      <c r="C53" s="42" t="s">
        <v>138</v>
      </c>
      <c r="D53" s="43" t="s">
        <v>139</v>
      </c>
      <c r="F53" s="44" t="s">
        <v>5191</v>
      </c>
      <c r="G53" s="42" t="s">
        <v>4955</v>
      </c>
      <c r="H53" s="42" t="s">
        <v>68</v>
      </c>
      <c r="I53" s="43" t="s">
        <v>68</v>
      </c>
      <c r="J53" s="43" t="s">
        <v>68</v>
      </c>
      <c r="K53" s="43"/>
      <c r="L53" s="43" t="s">
        <v>69</v>
      </c>
      <c r="M53" s="43">
        <v>3</v>
      </c>
      <c r="N53" s="43">
        <v>3</v>
      </c>
      <c r="O53" s="43" t="s">
        <v>69</v>
      </c>
      <c r="P53" s="43">
        <v>4</v>
      </c>
      <c r="Q53" s="43">
        <v>4</v>
      </c>
      <c r="R53" s="43" t="s">
        <v>69</v>
      </c>
      <c r="S53" s="43">
        <v>5</v>
      </c>
      <c r="T53" s="43">
        <v>5</v>
      </c>
      <c r="U53" s="42" t="s">
        <v>5097</v>
      </c>
      <c r="V53" s="42">
        <v>106.73</v>
      </c>
      <c r="W53" s="42">
        <v>106.73</v>
      </c>
      <c r="X53" s="42" t="s">
        <v>5192</v>
      </c>
      <c r="Y53" s="42" t="s">
        <v>5193</v>
      </c>
      <c r="Z53" s="43" t="s">
        <v>4743</v>
      </c>
      <c r="AA53" s="43" t="s">
        <v>4742</v>
      </c>
      <c r="AC53" s="42" t="s">
        <v>4684</v>
      </c>
      <c r="AD53" s="42" t="s">
        <v>4685</v>
      </c>
      <c r="AE53" s="42" t="s">
        <v>4686</v>
      </c>
      <c r="AF53" s="42" t="s">
        <v>138</v>
      </c>
      <c r="AG53" s="42" t="s">
        <v>4685</v>
      </c>
      <c r="AH53" t="s">
        <v>5097</v>
      </c>
      <c r="AI53" s="42" t="s">
        <v>4959</v>
      </c>
      <c r="AJ53" s="42" t="s">
        <v>5100</v>
      </c>
      <c r="AL53" s="42" t="s">
        <v>5101</v>
      </c>
      <c r="AM53" s="43">
        <v>106.73</v>
      </c>
      <c r="AN53" s="43">
        <v>106.73</v>
      </c>
      <c r="AO53" s="43" t="s">
        <v>70</v>
      </c>
      <c r="AQ53" s="43">
        <v>1</v>
      </c>
      <c r="AR53" s="42" t="s">
        <v>5194</v>
      </c>
      <c r="AU53" s="64"/>
      <c r="AV53" s="64">
        <v>62</v>
      </c>
      <c r="AW53" s="64" t="s">
        <v>4955</v>
      </c>
      <c r="AX53" s="64" t="s">
        <v>4744</v>
      </c>
      <c r="AY53" s="66" t="s">
        <v>478</v>
      </c>
      <c r="AZ53" s="66" t="s">
        <v>138</v>
      </c>
      <c r="BA53" s="64">
        <v>106.73</v>
      </c>
      <c r="BB53" s="64">
        <v>106.73</v>
      </c>
      <c r="BC53" s="64" t="s">
        <v>5192</v>
      </c>
      <c r="BD53" s="64" t="s">
        <v>5193</v>
      </c>
      <c r="BE53" s="64" t="s">
        <v>5192</v>
      </c>
      <c r="BF53" s="64" t="s">
        <v>5193</v>
      </c>
      <c r="BG53" s="64" t="s">
        <v>4963</v>
      </c>
      <c r="BH53" s="64" t="s">
        <v>5097</v>
      </c>
      <c r="BI53" s="64" t="s">
        <v>5191</v>
      </c>
      <c r="BJ53" s="64" t="s">
        <v>4954</v>
      </c>
      <c r="BK53" s="64" t="s">
        <v>474</v>
      </c>
      <c r="BL53" s="64" t="s">
        <v>474</v>
      </c>
      <c r="BM53" s="66" t="s">
        <v>1210</v>
      </c>
      <c r="BN53" s="66" t="s">
        <v>1468</v>
      </c>
      <c r="BO53" s="66" t="s">
        <v>1468</v>
      </c>
      <c r="BP53" s="66" t="s">
        <v>1474</v>
      </c>
      <c r="BQ53" s="66" t="s">
        <v>1479</v>
      </c>
      <c r="BR53" s="64">
        <v>0.15</v>
      </c>
      <c r="BS53" s="64">
        <v>1.6E-2</v>
      </c>
      <c r="BT53" s="66">
        <v>120</v>
      </c>
      <c r="BU53" s="79"/>
      <c r="BV53" s="79"/>
      <c r="BW53" s="79"/>
      <c r="BX53" s="79"/>
      <c r="BY53" s="64">
        <v>0.7</v>
      </c>
      <c r="BZ53" s="79"/>
      <c r="CA53" s="79"/>
      <c r="CB53" s="64" t="s">
        <v>1100</v>
      </c>
      <c r="CC53" s="64" t="s">
        <v>1100</v>
      </c>
      <c r="CD53" s="64" t="s">
        <v>474</v>
      </c>
      <c r="CE53" s="79"/>
      <c r="CF53" s="79"/>
      <c r="CG53" s="79"/>
      <c r="CH53" s="79"/>
      <c r="CI53" s="79"/>
      <c r="CJ53" s="79"/>
      <c r="CK53" s="79"/>
      <c r="CL53" s="79"/>
      <c r="CM53" s="79"/>
      <c r="CN53" s="79"/>
      <c r="CO53" s="79"/>
      <c r="CP53" s="79"/>
      <c r="CQ53" s="79"/>
      <c r="CR53" s="79"/>
      <c r="CS53" s="79"/>
      <c r="CT53" s="79"/>
      <c r="CU53" s="79"/>
      <c r="CV53" s="79"/>
      <c r="CW53" s="79"/>
      <c r="CX53" s="79"/>
      <c r="CY53" s="79"/>
      <c r="CZ53" s="79"/>
      <c r="DA53" s="79"/>
      <c r="DB53" s="79"/>
      <c r="DC53" s="79"/>
      <c r="DD53" s="79"/>
      <c r="DE53" s="79"/>
      <c r="DF53" s="79"/>
      <c r="DG53" s="79"/>
      <c r="DH53" s="79"/>
      <c r="DI53" s="79"/>
      <c r="DJ53" s="79"/>
      <c r="DK53" s="79"/>
      <c r="DL53" s="79"/>
      <c r="DM53" s="79"/>
      <c r="DN53" s="79"/>
      <c r="DO53" s="79"/>
      <c r="DP53" s="79"/>
      <c r="DQ53" s="79"/>
      <c r="DR53" s="79"/>
      <c r="DS53" s="79"/>
      <c r="DT53" s="79"/>
      <c r="DU53" s="79"/>
      <c r="DV53" s="79"/>
      <c r="DW53" s="79"/>
      <c r="DX53" s="79"/>
      <c r="DY53" s="78"/>
    </row>
    <row r="54" spans="1:129" x14ac:dyDescent="0.35">
      <c r="A54" s="42" t="s">
        <v>4743</v>
      </c>
      <c r="B54" s="42" t="s">
        <v>5195</v>
      </c>
      <c r="C54" s="42" t="s">
        <v>138</v>
      </c>
      <c r="D54" s="43" t="s">
        <v>139</v>
      </c>
      <c r="F54" s="44" t="s">
        <v>5196</v>
      </c>
      <c r="G54" s="42" t="s">
        <v>4955</v>
      </c>
      <c r="H54" s="42" t="s">
        <v>68</v>
      </c>
      <c r="I54" s="43" t="s">
        <v>68</v>
      </c>
      <c r="J54" s="43" t="s">
        <v>68</v>
      </c>
      <c r="K54" s="43"/>
      <c r="L54" s="43" t="s">
        <v>69</v>
      </c>
      <c r="M54" s="43">
        <v>3</v>
      </c>
      <c r="N54" s="43">
        <v>3</v>
      </c>
      <c r="O54" s="43" t="s">
        <v>69</v>
      </c>
      <c r="P54" s="43">
        <v>4</v>
      </c>
      <c r="Q54" s="43">
        <v>4</v>
      </c>
      <c r="R54" s="43" t="s">
        <v>69</v>
      </c>
      <c r="S54" s="43">
        <v>5</v>
      </c>
      <c r="T54" s="43">
        <v>5</v>
      </c>
      <c r="U54" s="42" t="s">
        <v>5097</v>
      </c>
      <c r="V54" s="42">
        <v>106.73</v>
      </c>
      <c r="W54" s="42">
        <v>106.73</v>
      </c>
      <c r="X54" s="42" t="s">
        <v>5197</v>
      </c>
      <c r="Y54" s="42" t="s">
        <v>5198</v>
      </c>
      <c r="Z54" s="43" t="s">
        <v>4743</v>
      </c>
      <c r="AA54" s="43" t="s">
        <v>4742</v>
      </c>
      <c r="AC54" s="42" t="s">
        <v>4684</v>
      </c>
      <c r="AD54" s="42" t="s">
        <v>4685</v>
      </c>
      <c r="AE54" s="42" t="s">
        <v>4686</v>
      </c>
      <c r="AF54" s="42" t="s">
        <v>138</v>
      </c>
      <c r="AG54" s="42" t="s">
        <v>4685</v>
      </c>
      <c r="AH54" t="s">
        <v>5097</v>
      </c>
      <c r="AI54" s="42" t="s">
        <v>4959</v>
      </c>
      <c r="AJ54" s="42" t="s">
        <v>5100</v>
      </c>
      <c r="AL54" s="42" t="s">
        <v>5101</v>
      </c>
      <c r="AM54" s="43">
        <v>106.73</v>
      </c>
      <c r="AN54" s="43">
        <v>106.73</v>
      </c>
      <c r="AO54" s="43" t="s">
        <v>70</v>
      </c>
      <c r="AQ54" s="43">
        <v>1</v>
      </c>
      <c r="AR54" s="42" t="s">
        <v>5199</v>
      </c>
      <c r="AU54" s="64"/>
      <c r="AV54" s="64">
        <v>62</v>
      </c>
      <c r="AW54" s="64" t="s">
        <v>4955</v>
      </c>
      <c r="AX54" s="64" t="s">
        <v>4744</v>
      </c>
      <c r="AY54" s="66" t="s">
        <v>478</v>
      </c>
      <c r="AZ54" s="66" t="s">
        <v>138</v>
      </c>
      <c r="BA54" s="64">
        <v>106.73</v>
      </c>
      <c r="BB54" s="64">
        <v>106.73</v>
      </c>
      <c r="BC54" s="64" t="s">
        <v>5197</v>
      </c>
      <c r="BD54" s="64" t="s">
        <v>5198</v>
      </c>
      <c r="BE54" s="64" t="s">
        <v>5197</v>
      </c>
      <c r="BF54" s="64" t="s">
        <v>5198</v>
      </c>
      <c r="BG54" s="64" t="s">
        <v>4963</v>
      </c>
      <c r="BH54" s="64" t="s">
        <v>5097</v>
      </c>
      <c r="BI54" s="64" t="s">
        <v>5196</v>
      </c>
      <c r="BJ54" s="64" t="s">
        <v>4954</v>
      </c>
      <c r="BK54" s="64" t="s">
        <v>474</v>
      </c>
      <c r="BL54" s="64" t="s">
        <v>474</v>
      </c>
      <c r="BM54" s="66" t="s">
        <v>1210</v>
      </c>
      <c r="BN54" s="66" t="s">
        <v>1468</v>
      </c>
      <c r="BO54" s="66" t="s">
        <v>1468</v>
      </c>
      <c r="BP54" s="66" t="s">
        <v>1474</v>
      </c>
      <c r="BQ54" s="66" t="s">
        <v>1479</v>
      </c>
      <c r="BR54" s="64">
        <v>0.15</v>
      </c>
      <c r="BS54" s="64">
        <v>1.6E-2</v>
      </c>
      <c r="BT54" s="66">
        <v>120</v>
      </c>
      <c r="BU54" s="79"/>
      <c r="BV54" s="79"/>
      <c r="BW54" s="79"/>
      <c r="BX54" s="79"/>
      <c r="BY54" s="64">
        <v>0.7</v>
      </c>
      <c r="BZ54" s="79"/>
      <c r="CA54" s="79"/>
      <c r="CB54" s="64" t="s">
        <v>1100</v>
      </c>
      <c r="CC54" s="64" t="s">
        <v>1100</v>
      </c>
      <c r="CD54" s="64" t="s">
        <v>474</v>
      </c>
      <c r="CE54" s="79"/>
      <c r="CF54" s="79"/>
      <c r="CG54" s="79"/>
      <c r="CH54" s="79"/>
      <c r="CI54" s="79"/>
      <c r="CJ54" s="79"/>
      <c r="CK54" s="79"/>
      <c r="CL54" s="79"/>
      <c r="CM54" s="79"/>
      <c r="CN54" s="79"/>
      <c r="CO54" s="79"/>
      <c r="CP54" s="79"/>
      <c r="CQ54" s="79"/>
      <c r="CR54" s="79"/>
      <c r="CS54" s="79"/>
      <c r="CT54" s="79"/>
      <c r="CU54" s="79"/>
      <c r="CV54" s="79"/>
      <c r="CW54" s="79"/>
      <c r="CX54" s="79"/>
      <c r="CY54" s="79"/>
      <c r="CZ54" s="79"/>
      <c r="DA54" s="79"/>
      <c r="DB54" s="79"/>
      <c r="DC54" s="79"/>
      <c r="DD54" s="79"/>
      <c r="DE54" s="79"/>
      <c r="DF54" s="79"/>
      <c r="DG54" s="79"/>
      <c r="DH54" s="79"/>
      <c r="DI54" s="79"/>
      <c r="DJ54" s="79"/>
      <c r="DK54" s="79"/>
      <c r="DL54" s="79"/>
      <c r="DM54" s="79"/>
      <c r="DN54" s="79"/>
      <c r="DO54" s="79"/>
      <c r="DP54" s="79"/>
      <c r="DQ54" s="79"/>
      <c r="DR54" s="79"/>
      <c r="DS54" s="79"/>
      <c r="DT54" s="79"/>
      <c r="DU54" s="79"/>
      <c r="DV54" s="79"/>
      <c r="DW54" s="79"/>
      <c r="DX54" s="79"/>
      <c r="DY54" s="78"/>
    </row>
    <row r="55" spans="1:129" x14ac:dyDescent="0.35">
      <c r="A55" s="42" t="s">
        <v>4743</v>
      </c>
      <c r="B55" s="42" t="s">
        <v>5200</v>
      </c>
      <c r="C55" s="42" t="s">
        <v>138</v>
      </c>
      <c r="D55" s="43" t="s">
        <v>139</v>
      </c>
      <c r="F55" s="44" t="s">
        <v>5201</v>
      </c>
      <c r="G55" s="42" t="s">
        <v>4955</v>
      </c>
      <c r="H55" s="42" t="s">
        <v>68</v>
      </c>
      <c r="I55" s="43" t="s">
        <v>68</v>
      </c>
      <c r="J55" s="43" t="s">
        <v>68</v>
      </c>
      <c r="K55" s="43"/>
      <c r="L55" s="43" t="s">
        <v>69</v>
      </c>
      <c r="M55" s="43">
        <v>3</v>
      </c>
      <c r="N55" s="43">
        <v>3</v>
      </c>
      <c r="O55" s="43" t="s">
        <v>69</v>
      </c>
      <c r="P55" s="43">
        <v>4</v>
      </c>
      <c r="Q55" s="43">
        <v>4</v>
      </c>
      <c r="R55" s="43" t="s">
        <v>69</v>
      </c>
      <c r="S55" s="43">
        <v>5</v>
      </c>
      <c r="T55" s="43">
        <v>5</v>
      </c>
      <c r="U55" s="42" t="s">
        <v>5097</v>
      </c>
      <c r="V55" s="42">
        <v>106.75</v>
      </c>
      <c r="W55" s="42">
        <v>106.75</v>
      </c>
      <c r="X55" s="42" t="s">
        <v>5202</v>
      </c>
      <c r="Y55" s="42" t="s">
        <v>5203</v>
      </c>
      <c r="Z55" s="43" t="s">
        <v>4743</v>
      </c>
      <c r="AA55" s="43" t="s">
        <v>4742</v>
      </c>
      <c r="AC55" s="42" t="s">
        <v>4684</v>
      </c>
      <c r="AD55" s="42" t="s">
        <v>4685</v>
      </c>
      <c r="AE55" s="42" t="s">
        <v>4686</v>
      </c>
      <c r="AF55" s="42" t="s">
        <v>138</v>
      </c>
      <c r="AG55" s="42" t="s">
        <v>4685</v>
      </c>
      <c r="AH55" t="s">
        <v>5097</v>
      </c>
      <c r="AI55" s="42" t="s">
        <v>4959</v>
      </c>
      <c r="AJ55" s="42" t="s">
        <v>5100</v>
      </c>
      <c r="AL55" s="42" t="s">
        <v>5101</v>
      </c>
      <c r="AM55" s="43">
        <v>106.75</v>
      </c>
      <c r="AN55" s="43">
        <v>106.75</v>
      </c>
      <c r="AO55" s="43" t="s">
        <v>70</v>
      </c>
      <c r="AQ55" s="43">
        <v>1</v>
      </c>
      <c r="AR55" s="42" t="s">
        <v>5204</v>
      </c>
      <c r="AU55" s="64"/>
      <c r="AV55" s="64">
        <v>62</v>
      </c>
      <c r="AW55" s="64" t="s">
        <v>4955</v>
      </c>
      <c r="AX55" s="64" t="s">
        <v>4744</v>
      </c>
      <c r="AY55" s="66" t="s">
        <v>478</v>
      </c>
      <c r="AZ55" s="66" t="s">
        <v>138</v>
      </c>
      <c r="BA55" s="64">
        <v>106.75</v>
      </c>
      <c r="BB55" s="64">
        <v>106.75</v>
      </c>
      <c r="BC55" s="64" t="s">
        <v>5202</v>
      </c>
      <c r="BD55" s="64" t="s">
        <v>5203</v>
      </c>
      <c r="BE55" s="64" t="s">
        <v>5202</v>
      </c>
      <c r="BF55" s="64" t="s">
        <v>5203</v>
      </c>
      <c r="BG55" s="64" t="s">
        <v>4963</v>
      </c>
      <c r="BH55" s="64" t="s">
        <v>5097</v>
      </c>
      <c r="BI55" s="64" t="s">
        <v>5201</v>
      </c>
      <c r="BJ55" s="64" t="s">
        <v>4954</v>
      </c>
      <c r="BK55" s="64" t="s">
        <v>474</v>
      </c>
      <c r="BL55" s="64" t="s">
        <v>474</v>
      </c>
      <c r="BM55" s="66" t="s">
        <v>1210</v>
      </c>
      <c r="BN55" s="66" t="s">
        <v>1468</v>
      </c>
      <c r="BO55" s="66" t="s">
        <v>1468</v>
      </c>
      <c r="BP55" s="66" t="s">
        <v>1474</v>
      </c>
      <c r="BQ55" s="66" t="s">
        <v>1479</v>
      </c>
      <c r="BR55" s="64">
        <v>0.15</v>
      </c>
      <c r="BS55" s="64">
        <v>1.6E-2</v>
      </c>
      <c r="BT55" s="66">
        <v>120</v>
      </c>
      <c r="BU55" s="79"/>
      <c r="BV55" s="79"/>
      <c r="BW55" s="79"/>
      <c r="BX55" s="79"/>
      <c r="BY55" s="64">
        <v>0.7</v>
      </c>
      <c r="BZ55" s="79"/>
      <c r="CA55" s="79"/>
      <c r="CB55" s="64" t="s">
        <v>1100</v>
      </c>
      <c r="CC55" s="64" t="s">
        <v>1100</v>
      </c>
      <c r="CD55" s="64" t="s">
        <v>474</v>
      </c>
      <c r="CE55" s="79"/>
      <c r="CF55" s="79"/>
      <c r="CG55" s="79"/>
      <c r="CH55" s="79"/>
      <c r="CI55" s="79"/>
      <c r="CJ55" s="79"/>
      <c r="CK55" s="79"/>
      <c r="CL55" s="79"/>
      <c r="CM55" s="79"/>
      <c r="CN55" s="79"/>
      <c r="CO55" s="79"/>
      <c r="CP55" s="79"/>
      <c r="CQ55" s="79"/>
      <c r="CR55" s="79"/>
      <c r="CS55" s="79"/>
      <c r="CT55" s="79"/>
      <c r="CU55" s="79"/>
      <c r="CV55" s="79"/>
      <c r="CW55" s="79"/>
      <c r="CX55" s="79"/>
      <c r="CY55" s="79"/>
      <c r="CZ55" s="79"/>
      <c r="DA55" s="79"/>
      <c r="DB55" s="79"/>
      <c r="DC55" s="79"/>
      <c r="DD55" s="79"/>
      <c r="DE55" s="79"/>
      <c r="DF55" s="79"/>
      <c r="DG55" s="79"/>
      <c r="DH55" s="79"/>
      <c r="DI55" s="79"/>
      <c r="DJ55" s="79"/>
      <c r="DK55" s="79"/>
      <c r="DL55" s="79"/>
      <c r="DM55" s="79"/>
      <c r="DN55" s="79"/>
      <c r="DO55" s="79"/>
      <c r="DP55" s="79"/>
      <c r="DQ55" s="79"/>
      <c r="DR55" s="79"/>
      <c r="DS55" s="79"/>
      <c r="DT55" s="79"/>
      <c r="DU55" s="79"/>
      <c r="DV55" s="79"/>
      <c r="DW55" s="79"/>
      <c r="DX55" s="79"/>
      <c r="DY55" s="78"/>
    </row>
    <row r="56" spans="1:129" x14ac:dyDescent="0.35">
      <c r="A56" s="42" t="s">
        <v>4743</v>
      </c>
      <c r="B56" s="42" t="s">
        <v>5205</v>
      </c>
      <c r="C56" s="42" t="s">
        <v>138</v>
      </c>
      <c r="D56" s="43" t="s">
        <v>139</v>
      </c>
      <c r="F56" s="44" t="s">
        <v>5206</v>
      </c>
      <c r="G56" s="42" t="s">
        <v>4955</v>
      </c>
      <c r="H56" s="42" t="s">
        <v>68</v>
      </c>
      <c r="I56" s="43" t="s">
        <v>68</v>
      </c>
      <c r="J56" s="43" t="s">
        <v>68</v>
      </c>
      <c r="K56" s="43"/>
      <c r="L56" s="43" t="s">
        <v>69</v>
      </c>
      <c r="M56" s="43">
        <v>3</v>
      </c>
      <c r="N56" s="43">
        <v>3</v>
      </c>
      <c r="O56" s="43" t="s">
        <v>69</v>
      </c>
      <c r="P56" s="43">
        <v>4</v>
      </c>
      <c r="Q56" s="43">
        <v>4</v>
      </c>
      <c r="R56" s="43" t="s">
        <v>69</v>
      </c>
      <c r="S56" s="43">
        <v>5</v>
      </c>
      <c r="T56" s="43">
        <v>5</v>
      </c>
      <c r="U56" s="42" t="s">
        <v>5097</v>
      </c>
      <c r="V56" s="42">
        <v>106.75</v>
      </c>
      <c r="W56" s="42">
        <v>106.75</v>
      </c>
      <c r="X56" s="42" t="s">
        <v>5207</v>
      </c>
      <c r="Y56" s="42" t="s">
        <v>5208</v>
      </c>
      <c r="Z56" s="43" t="s">
        <v>4743</v>
      </c>
      <c r="AA56" s="43" t="s">
        <v>4742</v>
      </c>
      <c r="AC56" s="42" t="s">
        <v>4684</v>
      </c>
      <c r="AD56" s="42" t="s">
        <v>4685</v>
      </c>
      <c r="AE56" s="42" t="s">
        <v>4686</v>
      </c>
      <c r="AF56" s="42" t="s">
        <v>138</v>
      </c>
      <c r="AG56" s="42" t="s">
        <v>4685</v>
      </c>
      <c r="AH56" t="s">
        <v>5097</v>
      </c>
      <c r="AI56" s="42" t="s">
        <v>4959</v>
      </c>
      <c r="AJ56" s="42" t="s">
        <v>5100</v>
      </c>
      <c r="AL56" s="42" t="s">
        <v>5101</v>
      </c>
      <c r="AM56" s="43">
        <v>106.75</v>
      </c>
      <c r="AN56" s="43">
        <v>106.75</v>
      </c>
      <c r="AO56" s="43" t="s">
        <v>70</v>
      </c>
      <c r="AQ56" s="43">
        <v>1</v>
      </c>
      <c r="AR56" s="42" t="s">
        <v>5209</v>
      </c>
      <c r="AU56" s="64"/>
      <c r="AV56" s="64">
        <v>62</v>
      </c>
      <c r="AW56" s="64" t="s">
        <v>4955</v>
      </c>
      <c r="AX56" s="64" t="s">
        <v>4744</v>
      </c>
      <c r="AY56" s="66" t="s">
        <v>478</v>
      </c>
      <c r="AZ56" s="66" t="s">
        <v>138</v>
      </c>
      <c r="BA56" s="64">
        <v>106.75</v>
      </c>
      <c r="BB56" s="64">
        <v>106.75</v>
      </c>
      <c r="BC56" s="64" t="s">
        <v>5207</v>
      </c>
      <c r="BD56" s="64" t="s">
        <v>5208</v>
      </c>
      <c r="BE56" s="64" t="s">
        <v>5207</v>
      </c>
      <c r="BF56" s="64" t="s">
        <v>5208</v>
      </c>
      <c r="BG56" s="64" t="s">
        <v>4963</v>
      </c>
      <c r="BH56" s="64" t="s">
        <v>5097</v>
      </c>
      <c r="BI56" s="64" t="s">
        <v>5206</v>
      </c>
      <c r="BJ56" s="64" t="s">
        <v>4954</v>
      </c>
      <c r="BK56" s="64" t="s">
        <v>474</v>
      </c>
      <c r="BL56" s="64" t="s">
        <v>474</v>
      </c>
      <c r="BM56" s="66" t="s">
        <v>1210</v>
      </c>
      <c r="BN56" s="66" t="s">
        <v>1468</v>
      </c>
      <c r="BO56" s="66" t="s">
        <v>1468</v>
      </c>
      <c r="BP56" s="66" t="s">
        <v>1474</v>
      </c>
      <c r="BQ56" s="66" t="s">
        <v>1479</v>
      </c>
      <c r="BR56" s="64">
        <v>0.15</v>
      </c>
      <c r="BS56" s="64">
        <v>1.6E-2</v>
      </c>
      <c r="BT56" s="66">
        <v>120</v>
      </c>
      <c r="BU56" s="79"/>
      <c r="BV56" s="79"/>
      <c r="BW56" s="79"/>
      <c r="BX56" s="79"/>
      <c r="BY56" s="64">
        <v>0.7</v>
      </c>
      <c r="BZ56" s="79"/>
      <c r="CA56" s="79"/>
      <c r="CB56" s="64" t="s">
        <v>1100</v>
      </c>
      <c r="CC56" s="64" t="s">
        <v>1100</v>
      </c>
      <c r="CD56" s="64" t="s">
        <v>474</v>
      </c>
      <c r="CE56" s="79"/>
      <c r="CF56" s="79"/>
      <c r="CG56" s="79"/>
      <c r="CH56" s="79"/>
      <c r="CI56" s="79"/>
      <c r="CJ56" s="79"/>
      <c r="CK56" s="79"/>
      <c r="CL56" s="79"/>
      <c r="CM56" s="79"/>
      <c r="CN56" s="79"/>
      <c r="CO56" s="79"/>
      <c r="CP56" s="79"/>
      <c r="CQ56" s="79"/>
      <c r="CR56" s="79"/>
      <c r="CS56" s="79"/>
      <c r="CT56" s="79"/>
      <c r="CU56" s="79"/>
      <c r="CV56" s="79"/>
      <c r="CW56" s="79"/>
      <c r="CX56" s="79"/>
      <c r="CY56" s="79"/>
      <c r="CZ56" s="79"/>
      <c r="DA56" s="79"/>
      <c r="DB56" s="79"/>
      <c r="DC56" s="79"/>
      <c r="DD56" s="79"/>
      <c r="DE56" s="79"/>
      <c r="DF56" s="79"/>
      <c r="DG56" s="79"/>
      <c r="DH56" s="79"/>
      <c r="DI56" s="79"/>
      <c r="DJ56" s="79"/>
      <c r="DK56" s="79"/>
      <c r="DL56" s="79"/>
      <c r="DM56" s="79"/>
      <c r="DN56" s="79"/>
      <c r="DO56" s="79"/>
      <c r="DP56" s="79"/>
      <c r="DQ56" s="79"/>
      <c r="DR56" s="79"/>
      <c r="DS56" s="79"/>
      <c r="DT56" s="79"/>
      <c r="DU56" s="79"/>
      <c r="DV56" s="79"/>
      <c r="DW56" s="79"/>
      <c r="DX56" s="79"/>
      <c r="DY56" s="78"/>
    </row>
    <row r="57" spans="1:129" x14ac:dyDescent="0.35">
      <c r="A57" s="42" t="s">
        <v>4743</v>
      </c>
      <c r="B57" s="42" t="s">
        <v>5210</v>
      </c>
      <c r="C57" s="42" t="s">
        <v>138</v>
      </c>
      <c r="D57" s="43" t="s">
        <v>139</v>
      </c>
      <c r="F57" s="44" t="s">
        <v>5211</v>
      </c>
      <c r="G57" s="42" t="s">
        <v>4955</v>
      </c>
      <c r="H57" s="42" t="s">
        <v>68</v>
      </c>
      <c r="I57" s="43" t="s">
        <v>68</v>
      </c>
      <c r="J57" s="43" t="s">
        <v>68</v>
      </c>
      <c r="K57" s="43"/>
      <c r="L57" s="43" t="s">
        <v>69</v>
      </c>
      <c r="M57" s="43">
        <v>3</v>
      </c>
      <c r="N57" s="43">
        <v>3</v>
      </c>
      <c r="O57" s="43" t="s">
        <v>69</v>
      </c>
      <c r="P57" s="43">
        <v>4</v>
      </c>
      <c r="Q57" s="43">
        <v>4</v>
      </c>
      <c r="R57" s="43" t="s">
        <v>69</v>
      </c>
      <c r="S57" s="43">
        <v>5</v>
      </c>
      <c r="T57" s="43">
        <v>5</v>
      </c>
      <c r="U57" s="42" t="s">
        <v>5097</v>
      </c>
      <c r="V57" s="42">
        <v>106.75</v>
      </c>
      <c r="W57" s="42">
        <v>106.75</v>
      </c>
      <c r="X57" s="42" t="s">
        <v>5212</v>
      </c>
      <c r="Y57" s="42" t="s">
        <v>5213</v>
      </c>
      <c r="Z57" s="43" t="s">
        <v>4743</v>
      </c>
      <c r="AA57" s="43" t="s">
        <v>4742</v>
      </c>
      <c r="AC57" s="42" t="s">
        <v>4684</v>
      </c>
      <c r="AD57" s="42" t="s">
        <v>4685</v>
      </c>
      <c r="AE57" s="42" t="s">
        <v>4686</v>
      </c>
      <c r="AF57" s="42" t="s">
        <v>138</v>
      </c>
      <c r="AG57" s="42" t="s">
        <v>4685</v>
      </c>
      <c r="AH57" t="s">
        <v>5097</v>
      </c>
      <c r="AI57" s="42" t="s">
        <v>4959</v>
      </c>
      <c r="AJ57" s="42" t="s">
        <v>5100</v>
      </c>
      <c r="AL57" s="42" t="s">
        <v>5101</v>
      </c>
      <c r="AM57" s="43">
        <v>106.75</v>
      </c>
      <c r="AN57" s="43">
        <v>106.75</v>
      </c>
      <c r="AO57" s="43" t="s">
        <v>70</v>
      </c>
      <c r="AQ57" s="43">
        <v>1</v>
      </c>
      <c r="AR57" s="42" t="s">
        <v>5214</v>
      </c>
      <c r="AU57" s="64"/>
      <c r="AV57" s="64">
        <v>62</v>
      </c>
      <c r="AW57" s="64" t="s">
        <v>4955</v>
      </c>
      <c r="AX57" s="64" t="s">
        <v>4744</v>
      </c>
      <c r="AY57" s="66" t="s">
        <v>478</v>
      </c>
      <c r="AZ57" s="66" t="s">
        <v>138</v>
      </c>
      <c r="BA57" s="64">
        <v>106.75</v>
      </c>
      <c r="BB57" s="64">
        <v>106.75</v>
      </c>
      <c r="BC57" s="64" t="s">
        <v>5212</v>
      </c>
      <c r="BD57" s="64" t="s">
        <v>5213</v>
      </c>
      <c r="BE57" s="64" t="s">
        <v>5212</v>
      </c>
      <c r="BF57" s="64" t="s">
        <v>5213</v>
      </c>
      <c r="BG57" s="64" t="s">
        <v>4963</v>
      </c>
      <c r="BH57" s="64" t="s">
        <v>5097</v>
      </c>
      <c r="BI57" s="64" t="s">
        <v>5211</v>
      </c>
      <c r="BJ57" s="64" t="s">
        <v>4954</v>
      </c>
      <c r="BK57" s="64" t="s">
        <v>474</v>
      </c>
      <c r="BL57" s="64" t="s">
        <v>474</v>
      </c>
      <c r="BM57" s="66" t="s">
        <v>1210</v>
      </c>
      <c r="BN57" s="66" t="s">
        <v>1468</v>
      </c>
      <c r="BO57" s="66" t="s">
        <v>1468</v>
      </c>
      <c r="BP57" s="66" t="s">
        <v>1474</v>
      </c>
      <c r="BQ57" s="66" t="s">
        <v>1479</v>
      </c>
      <c r="BR57" s="64">
        <v>0.15</v>
      </c>
      <c r="BS57" s="64">
        <v>1.6E-2</v>
      </c>
      <c r="BT57" s="66">
        <v>120</v>
      </c>
      <c r="BU57" s="79"/>
      <c r="BV57" s="79"/>
      <c r="BW57" s="79"/>
      <c r="BX57" s="79"/>
      <c r="BY57" s="64">
        <v>0.7</v>
      </c>
      <c r="BZ57" s="79"/>
      <c r="CA57" s="79"/>
      <c r="CB57" s="64" t="s">
        <v>1100</v>
      </c>
      <c r="CC57" s="64" t="s">
        <v>1100</v>
      </c>
      <c r="CD57" s="64" t="s">
        <v>474</v>
      </c>
      <c r="CE57" s="79"/>
      <c r="CF57" s="79"/>
      <c r="CG57" s="79"/>
      <c r="CH57" s="79"/>
      <c r="CI57" s="79"/>
      <c r="CJ57" s="79"/>
      <c r="CK57" s="79"/>
      <c r="CL57" s="79"/>
      <c r="CM57" s="79"/>
      <c r="CN57" s="79"/>
      <c r="CO57" s="79"/>
      <c r="CP57" s="79"/>
      <c r="CQ57" s="79"/>
      <c r="CR57" s="79"/>
      <c r="CS57" s="79"/>
      <c r="CT57" s="79"/>
      <c r="CU57" s="79"/>
      <c r="CV57" s="79"/>
      <c r="CW57" s="79"/>
      <c r="CX57" s="79"/>
      <c r="CY57" s="79"/>
      <c r="CZ57" s="79"/>
      <c r="DA57" s="79"/>
      <c r="DB57" s="79"/>
      <c r="DC57" s="79"/>
      <c r="DD57" s="79"/>
      <c r="DE57" s="79"/>
      <c r="DF57" s="79"/>
      <c r="DG57" s="79"/>
      <c r="DH57" s="79"/>
      <c r="DI57" s="79"/>
      <c r="DJ57" s="79"/>
      <c r="DK57" s="79"/>
      <c r="DL57" s="79"/>
      <c r="DM57" s="79"/>
      <c r="DN57" s="79"/>
      <c r="DO57" s="79"/>
      <c r="DP57" s="79"/>
      <c r="DQ57" s="79"/>
      <c r="DR57" s="79"/>
      <c r="DS57" s="79"/>
      <c r="DT57" s="79"/>
      <c r="DU57" s="79"/>
      <c r="DV57" s="79"/>
      <c r="DW57" s="79"/>
      <c r="DX57" s="79"/>
      <c r="DY57" s="78"/>
    </row>
    <row r="58" spans="1:129" x14ac:dyDescent="0.35">
      <c r="A58" s="42" t="s">
        <v>4743</v>
      </c>
      <c r="B58" s="42" t="s">
        <v>5215</v>
      </c>
      <c r="C58" s="42" t="s">
        <v>138</v>
      </c>
      <c r="D58" s="43" t="s">
        <v>139</v>
      </c>
      <c r="F58" s="44" t="s">
        <v>5216</v>
      </c>
      <c r="G58" s="42" t="s">
        <v>4955</v>
      </c>
      <c r="H58" s="42" t="s">
        <v>68</v>
      </c>
      <c r="I58" s="43" t="s">
        <v>68</v>
      </c>
      <c r="J58" s="43" t="s">
        <v>68</v>
      </c>
      <c r="K58" s="43"/>
      <c r="L58" s="43" t="s">
        <v>69</v>
      </c>
      <c r="M58" s="43">
        <v>3</v>
      </c>
      <c r="N58" s="43">
        <v>3</v>
      </c>
      <c r="O58" s="43" t="s">
        <v>69</v>
      </c>
      <c r="P58" s="43">
        <v>4</v>
      </c>
      <c r="Q58" s="43">
        <v>4</v>
      </c>
      <c r="R58" s="43" t="s">
        <v>69</v>
      </c>
      <c r="S58" s="43">
        <v>5</v>
      </c>
      <c r="T58" s="43">
        <v>5</v>
      </c>
      <c r="U58" s="42" t="s">
        <v>5097</v>
      </c>
      <c r="V58" s="42">
        <v>106.75</v>
      </c>
      <c r="W58" s="42">
        <v>106.75</v>
      </c>
      <c r="X58" s="42" t="s">
        <v>5217</v>
      </c>
      <c r="Y58" s="42" t="s">
        <v>5218</v>
      </c>
      <c r="Z58" s="43" t="s">
        <v>4743</v>
      </c>
      <c r="AA58" s="43" t="s">
        <v>4742</v>
      </c>
      <c r="AC58" s="42" t="s">
        <v>4684</v>
      </c>
      <c r="AD58" s="42" t="s">
        <v>4685</v>
      </c>
      <c r="AE58" s="42" t="s">
        <v>4686</v>
      </c>
      <c r="AF58" s="42" t="s">
        <v>138</v>
      </c>
      <c r="AG58" s="42" t="s">
        <v>4685</v>
      </c>
      <c r="AH58" t="s">
        <v>5097</v>
      </c>
      <c r="AI58" s="42" t="s">
        <v>4959</v>
      </c>
      <c r="AJ58" s="42" t="s">
        <v>5100</v>
      </c>
      <c r="AL58" s="42" t="s">
        <v>5101</v>
      </c>
      <c r="AM58" s="43">
        <v>106.75</v>
      </c>
      <c r="AN58" s="43">
        <v>106.75</v>
      </c>
      <c r="AO58" s="43" t="s">
        <v>70</v>
      </c>
      <c r="AQ58" s="43">
        <v>1</v>
      </c>
      <c r="AR58" s="42" t="s">
        <v>5219</v>
      </c>
      <c r="AU58" s="64"/>
      <c r="AV58" s="64">
        <v>62</v>
      </c>
      <c r="AW58" s="64" t="s">
        <v>4955</v>
      </c>
      <c r="AX58" s="64" t="s">
        <v>4744</v>
      </c>
      <c r="AY58" s="66" t="s">
        <v>478</v>
      </c>
      <c r="AZ58" s="66" t="s">
        <v>138</v>
      </c>
      <c r="BA58" s="64">
        <v>106.75</v>
      </c>
      <c r="BB58" s="64">
        <v>106.75</v>
      </c>
      <c r="BC58" s="64" t="s">
        <v>5217</v>
      </c>
      <c r="BD58" s="64" t="s">
        <v>5218</v>
      </c>
      <c r="BE58" s="64" t="s">
        <v>5217</v>
      </c>
      <c r="BF58" s="64" t="s">
        <v>5218</v>
      </c>
      <c r="BG58" s="64" t="s">
        <v>4963</v>
      </c>
      <c r="BH58" s="64" t="s">
        <v>5097</v>
      </c>
      <c r="BI58" s="64" t="s">
        <v>5216</v>
      </c>
      <c r="BJ58" s="64" t="s">
        <v>4954</v>
      </c>
      <c r="BK58" s="64" t="s">
        <v>474</v>
      </c>
      <c r="BL58" s="64" t="s">
        <v>474</v>
      </c>
      <c r="BM58" s="66" t="s">
        <v>1210</v>
      </c>
      <c r="BN58" s="66" t="s">
        <v>1468</v>
      </c>
      <c r="BO58" s="66" t="s">
        <v>1468</v>
      </c>
      <c r="BP58" s="66" t="s">
        <v>1474</v>
      </c>
      <c r="BQ58" s="66" t="s">
        <v>1479</v>
      </c>
      <c r="BR58" s="64">
        <v>0.15</v>
      </c>
      <c r="BS58" s="64">
        <v>1.6E-2</v>
      </c>
      <c r="BT58" s="66">
        <v>120</v>
      </c>
      <c r="BU58" s="79"/>
      <c r="BV58" s="79"/>
      <c r="BW58" s="79"/>
      <c r="BX58" s="79"/>
      <c r="BY58" s="64">
        <v>0.7</v>
      </c>
      <c r="BZ58" s="79"/>
      <c r="CA58" s="79"/>
      <c r="CB58" s="64" t="s">
        <v>1100</v>
      </c>
      <c r="CC58" s="64" t="s">
        <v>1100</v>
      </c>
      <c r="CD58" s="64" t="s">
        <v>474</v>
      </c>
      <c r="CE58" s="79"/>
      <c r="CF58" s="79"/>
      <c r="CG58" s="79"/>
      <c r="CH58" s="79"/>
      <c r="CI58" s="79"/>
      <c r="CJ58" s="79"/>
      <c r="CK58" s="79"/>
      <c r="CL58" s="79"/>
      <c r="CM58" s="79"/>
      <c r="CN58" s="79"/>
      <c r="CO58" s="79"/>
      <c r="CP58" s="79"/>
      <c r="CQ58" s="79"/>
      <c r="CR58" s="79"/>
      <c r="CS58" s="79"/>
      <c r="CT58" s="79"/>
      <c r="CU58" s="79"/>
      <c r="CV58" s="79"/>
      <c r="CW58" s="79"/>
      <c r="CX58" s="79"/>
      <c r="CY58" s="79"/>
      <c r="CZ58" s="79"/>
      <c r="DA58" s="79"/>
      <c r="DB58" s="79"/>
      <c r="DC58" s="79"/>
      <c r="DD58" s="79"/>
      <c r="DE58" s="79"/>
      <c r="DF58" s="79"/>
      <c r="DG58" s="79"/>
      <c r="DH58" s="79"/>
      <c r="DI58" s="79"/>
      <c r="DJ58" s="79"/>
      <c r="DK58" s="79"/>
      <c r="DL58" s="79"/>
      <c r="DM58" s="79"/>
      <c r="DN58" s="79"/>
      <c r="DO58" s="79"/>
      <c r="DP58" s="79"/>
      <c r="DQ58" s="79"/>
      <c r="DR58" s="79"/>
      <c r="DS58" s="79"/>
      <c r="DT58" s="79"/>
      <c r="DU58" s="79"/>
      <c r="DV58" s="79"/>
      <c r="DW58" s="79"/>
      <c r="DX58" s="79"/>
      <c r="DY58" s="78"/>
    </row>
    <row r="59" spans="1:129" x14ac:dyDescent="0.35">
      <c r="A59" s="42" t="s">
        <v>4743</v>
      </c>
      <c r="B59" s="42" t="s">
        <v>5220</v>
      </c>
      <c r="C59" s="42" t="s">
        <v>138</v>
      </c>
      <c r="D59" s="43" t="s">
        <v>139</v>
      </c>
      <c r="F59" s="44" t="s">
        <v>5221</v>
      </c>
      <c r="G59" s="42" t="s">
        <v>4955</v>
      </c>
      <c r="H59" s="42" t="s">
        <v>68</v>
      </c>
      <c r="I59" s="43" t="s">
        <v>68</v>
      </c>
      <c r="J59" s="43" t="s">
        <v>68</v>
      </c>
      <c r="K59" s="43"/>
      <c r="L59" s="43" t="s">
        <v>69</v>
      </c>
      <c r="M59" s="43">
        <v>3</v>
      </c>
      <c r="N59" s="43">
        <v>3</v>
      </c>
      <c r="O59" s="43" t="s">
        <v>69</v>
      </c>
      <c r="P59" s="43">
        <v>4</v>
      </c>
      <c r="Q59" s="43">
        <v>4</v>
      </c>
      <c r="R59" s="43" t="s">
        <v>69</v>
      </c>
      <c r="S59" s="43">
        <v>5</v>
      </c>
      <c r="T59" s="43">
        <v>5</v>
      </c>
      <c r="U59" s="42" t="s">
        <v>5097</v>
      </c>
      <c r="V59" s="42">
        <v>106.75</v>
      </c>
      <c r="W59" s="42">
        <v>106.75</v>
      </c>
      <c r="X59" s="42" t="s">
        <v>5222</v>
      </c>
      <c r="Y59" s="42" t="s">
        <v>5223</v>
      </c>
      <c r="Z59" s="43" t="s">
        <v>4743</v>
      </c>
      <c r="AA59" s="43" t="s">
        <v>4742</v>
      </c>
      <c r="AC59" s="42" t="s">
        <v>4684</v>
      </c>
      <c r="AD59" s="42" t="s">
        <v>4685</v>
      </c>
      <c r="AE59" s="42" t="s">
        <v>4686</v>
      </c>
      <c r="AF59" s="42" t="s">
        <v>138</v>
      </c>
      <c r="AG59" s="42" t="s">
        <v>4685</v>
      </c>
      <c r="AH59" t="s">
        <v>5097</v>
      </c>
      <c r="AI59" s="42" t="s">
        <v>4959</v>
      </c>
      <c r="AJ59" s="42" t="s">
        <v>5100</v>
      </c>
      <c r="AL59" s="42" t="s">
        <v>5101</v>
      </c>
      <c r="AM59" s="43">
        <v>106.75</v>
      </c>
      <c r="AN59" s="43">
        <v>106.75</v>
      </c>
      <c r="AO59" s="43" t="s">
        <v>70</v>
      </c>
      <c r="AQ59" s="43">
        <v>1</v>
      </c>
      <c r="AR59" s="42" t="s">
        <v>5224</v>
      </c>
      <c r="AU59" s="64"/>
      <c r="AV59" s="64">
        <v>62</v>
      </c>
      <c r="AW59" s="64" t="s">
        <v>4955</v>
      </c>
      <c r="AX59" s="64" t="s">
        <v>4744</v>
      </c>
      <c r="AY59" s="66" t="s">
        <v>478</v>
      </c>
      <c r="AZ59" s="66" t="s">
        <v>138</v>
      </c>
      <c r="BA59" s="64">
        <v>106.75</v>
      </c>
      <c r="BB59" s="64">
        <v>106.75</v>
      </c>
      <c r="BC59" s="64" t="s">
        <v>5222</v>
      </c>
      <c r="BD59" s="64" t="s">
        <v>5223</v>
      </c>
      <c r="BE59" s="64" t="s">
        <v>5222</v>
      </c>
      <c r="BF59" s="64" t="s">
        <v>5223</v>
      </c>
      <c r="BG59" s="64" t="s">
        <v>4963</v>
      </c>
      <c r="BH59" s="64" t="s">
        <v>5097</v>
      </c>
      <c r="BI59" s="64" t="s">
        <v>5221</v>
      </c>
      <c r="BJ59" s="64" t="s">
        <v>4954</v>
      </c>
      <c r="BK59" s="64" t="s">
        <v>474</v>
      </c>
      <c r="BL59" s="64" t="s">
        <v>474</v>
      </c>
      <c r="BM59" s="66" t="s">
        <v>1210</v>
      </c>
      <c r="BN59" s="66" t="s">
        <v>1468</v>
      </c>
      <c r="BO59" s="66" t="s">
        <v>1468</v>
      </c>
      <c r="BP59" s="66" t="s">
        <v>1474</v>
      </c>
      <c r="BQ59" s="66" t="s">
        <v>1479</v>
      </c>
      <c r="BR59" s="64">
        <v>0.15</v>
      </c>
      <c r="BS59" s="64">
        <v>1.6E-2</v>
      </c>
      <c r="BT59" s="66">
        <v>120</v>
      </c>
      <c r="BU59" s="79"/>
      <c r="BV59" s="79"/>
      <c r="BW59" s="79"/>
      <c r="BX59" s="79"/>
      <c r="BY59" s="64">
        <v>0.7</v>
      </c>
      <c r="BZ59" s="79"/>
      <c r="CA59" s="79"/>
      <c r="CB59" s="64" t="s">
        <v>1100</v>
      </c>
      <c r="CC59" s="64" t="s">
        <v>1100</v>
      </c>
      <c r="CD59" s="64" t="s">
        <v>474</v>
      </c>
      <c r="CE59" s="79"/>
      <c r="CF59" s="79"/>
      <c r="CG59" s="79"/>
      <c r="CH59" s="79"/>
      <c r="CI59" s="79"/>
      <c r="CJ59" s="79"/>
      <c r="CK59" s="79"/>
      <c r="CL59" s="79"/>
      <c r="CM59" s="79"/>
      <c r="CN59" s="79"/>
      <c r="CO59" s="79"/>
      <c r="CP59" s="79"/>
      <c r="CQ59" s="79"/>
      <c r="CR59" s="79"/>
      <c r="CS59" s="79"/>
      <c r="CT59" s="79"/>
      <c r="CU59" s="79"/>
      <c r="CV59" s="79"/>
      <c r="CW59" s="79"/>
      <c r="CX59" s="79"/>
      <c r="CY59" s="79"/>
      <c r="CZ59" s="79"/>
      <c r="DA59" s="79"/>
      <c r="DB59" s="79"/>
      <c r="DC59" s="79"/>
      <c r="DD59" s="79"/>
      <c r="DE59" s="79"/>
      <c r="DF59" s="79"/>
      <c r="DG59" s="79"/>
      <c r="DH59" s="79"/>
      <c r="DI59" s="79"/>
      <c r="DJ59" s="79"/>
      <c r="DK59" s="79"/>
      <c r="DL59" s="79"/>
      <c r="DM59" s="79"/>
      <c r="DN59" s="79"/>
      <c r="DO59" s="79"/>
      <c r="DP59" s="79"/>
      <c r="DQ59" s="79"/>
      <c r="DR59" s="79"/>
      <c r="DS59" s="79"/>
      <c r="DT59" s="79"/>
      <c r="DU59" s="79"/>
      <c r="DV59" s="79"/>
      <c r="DW59" s="79"/>
      <c r="DX59" s="79"/>
      <c r="DY59" s="78"/>
    </row>
    <row r="60" spans="1:129" x14ac:dyDescent="0.35">
      <c r="A60" s="42" t="s">
        <v>4743</v>
      </c>
      <c r="B60" s="42" t="s">
        <v>5225</v>
      </c>
      <c r="C60" s="42" t="s">
        <v>138</v>
      </c>
      <c r="D60" s="43" t="s">
        <v>139</v>
      </c>
      <c r="F60" s="44" t="s">
        <v>5226</v>
      </c>
      <c r="G60" s="42" t="s">
        <v>4955</v>
      </c>
      <c r="H60" s="42" t="s">
        <v>68</v>
      </c>
      <c r="I60" s="43" t="s">
        <v>68</v>
      </c>
      <c r="J60" s="43" t="s">
        <v>68</v>
      </c>
      <c r="K60" s="43"/>
      <c r="L60" s="43" t="s">
        <v>69</v>
      </c>
      <c r="M60" s="43">
        <v>3</v>
      </c>
      <c r="N60" s="43">
        <v>3</v>
      </c>
      <c r="O60" s="43" t="s">
        <v>69</v>
      </c>
      <c r="P60" s="43">
        <v>4</v>
      </c>
      <c r="Q60" s="43">
        <v>4</v>
      </c>
      <c r="R60" s="43" t="s">
        <v>69</v>
      </c>
      <c r="S60" s="43">
        <v>5</v>
      </c>
      <c r="T60" s="43">
        <v>5</v>
      </c>
      <c r="U60" s="42" t="s">
        <v>5097</v>
      </c>
      <c r="V60" s="42">
        <v>106.75</v>
      </c>
      <c r="W60" s="42">
        <v>106.75</v>
      </c>
      <c r="X60" s="42" t="s">
        <v>5212</v>
      </c>
      <c r="Y60" s="42" t="s">
        <v>5227</v>
      </c>
      <c r="Z60" s="43" t="s">
        <v>4743</v>
      </c>
      <c r="AA60" s="43" t="s">
        <v>4742</v>
      </c>
      <c r="AC60" s="42" t="s">
        <v>4684</v>
      </c>
      <c r="AD60" s="42" t="s">
        <v>4685</v>
      </c>
      <c r="AE60" s="42" t="s">
        <v>4686</v>
      </c>
      <c r="AF60" s="42" t="s">
        <v>138</v>
      </c>
      <c r="AG60" s="42" t="s">
        <v>4685</v>
      </c>
      <c r="AH60" t="s">
        <v>5097</v>
      </c>
      <c r="AI60" s="42" t="s">
        <v>4959</v>
      </c>
      <c r="AJ60" s="42" t="s">
        <v>5100</v>
      </c>
      <c r="AL60" s="42" t="s">
        <v>5101</v>
      </c>
      <c r="AM60" s="43">
        <v>106.75</v>
      </c>
      <c r="AN60" s="43">
        <v>106.75</v>
      </c>
      <c r="AO60" s="43" t="s">
        <v>70</v>
      </c>
      <c r="AQ60" s="43">
        <v>1</v>
      </c>
      <c r="AR60" s="42" t="s">
        <v>5228</v>
      </c>
      <c r="AU60" s="64"/>
      <c r="AV60" s="64">
        <v>62</v>
      </c>
      <c r="AW60" s="64" t="s">
        <v>4955</v>
      </c>
      <c r="AX60" s="64" t="s">
        <v>4744</v>
      </c>
      <c r="AY60" s="66" t="s">
        <v>478</v>
      </c>
      <c r="AZ60" s="66" t="s">
        <v>138</v>
      </c>
      <c r="BA60" s="64">
        <v>106.75</v>
      </c>
      <c r="BB60" s="64">
        <v>106.75</v>
      </c>
      <c r="BC60" s="64" t="s">
        <v>5212</v>
      </c>
      <c r="BD60" s="64" t="s">
        <v>5227</v>
      </c>
      <c r="BE60" s="64" t="s">
        <v>5212</v>
      </c>
      <c r="BF60" s="64" t="s">
        <v>5227</v>
      </c>
      <c r="BG60" s="64" t="s">
        <v>4963</v>
      </c>
      <c r="BH60" s="64" t="s">
        <v>5097</v>
      </c>
      <c r="BI60" s="64" t="s">
        <v>5226</v>
      </c>
      <c r="BJ60" s="64" t="s">
        <v>4954</v>
      </c>
      <c r="BK60" s="64" t="s">
        <v>474</v>
      </c>
      <c r="BL60" s="64" t="s">
        <v>474</v>
      </c>
      <c r="BM60" s="66" t="s">
        <v>1210</v>
      </c>
      <c r="BN60" s="66" t="s">
        <v>1468</v>
      </c>
      <c r="BO60" s="66" t="s">
        <v>1468</v>
      </c>
      <c r="BP60" s="66" t="s">
        <v>1474</v>
      </c>
      <c r="BQ60" s="66" t="s">
        <v>1479</v>
      </c>
      <c r="BR60" s="64">
        <v>0.15</v>
      </c>
      <c r="BS60" s="64">
        <v>1.6E-2</v>
      </c>
      <c r="BT60" s="66">
        <v>120</v>
      </c>
      <c r="BU60" s="79"/>
      <c r="BV60" s="79"/>
      <c r="BW60" s="79"/>
      <c r="BX60" s="79"/>
      <c r="BY60" s="64">
        <v>0.7</v>
      </c>
      <c r="BZ60" s="79"/>
      <c r="CA60" s="79"/>
      <c r="CB60" s="64" t="s">
        <v>1100</v>
      </c>
      <c r="CC60" s="64" t="s">
        <v>1100</v>
      </c>
      <c r="CD60" s="64" t="s">
        <v>474</v>
      </c>
      <c r="CE60" s="79"/>
      <c r="CF60" s="79"/>
      <c r="CG60" s="79"/>
      <c r="CH60" s="79"/>
      <c r="CI60" s="79"/>
      <c r="CJ60" s="79"/>
      <c r="CK60" s="79"/>
      <c r="CL60" s="79"/>
      <c r="CM60" s="79"/>
      <c r="CN60" s="79"/>
      <c r="CO60" s="79"/>
      <c r="CP60" s="79"/>
      <c r="CQ60" s="79"/>
      <c r="CR60" s="79"/>
      <c r="CS60" s="79"/>
      <c r="CT60" s="79"/>
      <c r="CU60" s="79"/>
      <c r="CV60" s="79"/>
      <c r="CW60" s="79"/>
      <c r="CX60" s="79"/>
      <c r="CY60" s="79"/>
      <c r="CZ60" s="79"/>
      <c r="DA60" s="79"/>
      <c r="DB60" s="79"/>
      <c r="DC60" s="79"/>
      <c r="DD60" s="79"/>
      <c r="DE60" s="79"/>
      <c r="DF60" s="79"/>
      <c r="DG60" s="79"/>
      <c r="DH60" s="79"/>
      <c r="DI60" s="79"/>
      <c r="DJ60" s="79"/>
      <c r="DK60" s="79"/>
      <c r="DL60" s="79"/>
      <c r="DM60" s="79"/>
      <c r="DN60" s="79"/>
      <c r="DO60" s="79"/>
      <c r="DP60" s="79"/>
      <c r="DQ60" s="79"/>
      <c r="DR60" s="79"/>
      <c r="DS60" s="79"/>
      <c r="DT60" s="79"/>
      <c r="DU60" s="79"/>
      <c r="DV60" s="79"/>
      <c r="DW60" s="79"/>
      <c r="DX60" s="79"/>
      <c r="DY60" s="78"/>
    </row>
    <row r="61" spans="1:129" x14ac:dyDescent="0.35">
      <c r="A61" s="42" t="s">
        <v>4743</v>
      </c>
      <c r="B61" s="42" t="s">
        <v>5229</v>
      </c>
      <c r="C61" s="42" t="s">
        <v>138</v>
      </c>
      <c r="D61" s="43" t="s">
        <v>139</v>
      </c>
      <c r="F61" s="44" t="s">
        <v>5230</v>
      </c>
      <c r="G61" s="42" t="s">
        <v>4955</v>
      </c>
      <c r="H61" s="42" t="s">
        <v>68</v>
      </c>
      <c r="I61" s="43" t="s">
        <v>68</v>
      </c>
      <c r="J61" s="43" t="s">
        <v>68</v>
      </c>
      <c r="K61" s="43"/>
      <c r="L61" s="43" t="s">
        <v>69</v>
      </c>
      <c r="M61" s="43">
        <v>3</v>
      </c>
      <c r="N61" s="43">
        <v>3</v>
      </c>
      <c r="O61" s="43" t="s">
        <v>69</v>
      </c>
      <c r="P61" s="43">
        <v>4</v>
      </c>
      <c r="Q61" s="43">
        <v>4</v>
      </c>
      <c r="R61" s="43" t="s">
        <v>69</v>
      </c>
      <c r="S61" s="43">
        <v>5</v>
      </c>
      <c r="T61" s="43">
        <v>5</v>
      </c>
      <c r="U61" s="42" t="s">
        <v>5097</v>
      </c>
      <c r="V61" s="42">
        <v>106.75</v>
      </c>
      <c r="W61" s="42">
        <v>106.75</v>
      </c>
      <c r="X61" s="42" t="s">
        <v>5231</v>
      </c>
      <c r="Y61" s="42" t="s">
        <v>5232</v>
      </c>
      <c r="Z61" s="43" t="s">
        <v>4743</v>
      </c>
      <c r="AA61" s="43" t="s">
        <v>4742</v>
      </c>
      <c r="AC61" s="42" t="s">
        <v>4684</v>
      </c>
      <c r="AD61" s="42" t="s">
        <v>4685</v>
      </c>
      <c r="AE61" s="42" t="s">
        <v>4686</v>
      </c>
      <c r="AF61" s="42" t="s">
        <v>138</v>
      </c>
      <c r="AG61" s="42" t="s">
        <v>4685</v>
      </c>
      <c r="AH61" t="s">
        <v>5097</v>
      </c>
      <c r="AI61" s="42" t="s">
        <v>4959</v>
      </c>
      <c r="AJ61" s="42" t="s">
        <v>5100</v>
      </c>
      <c r="AL61" s="42" t="s">
        <v>5101</v>
      </c>
      <c r="AM61" s="43">
        <v>106.75</v>
      </c>
      <c r="AN61" s="43">
        <v>106.75</v>
      </c>
      <c r="AO61" s="43" t="s">
        <v>70</v>
      </c>
      <c r="AQ61" s="43">
        <v>1</v>
      </c>
      <c r="AR61" s="42" t="s">
        <v>5233</v>
      </c>
      <c r="AU61" s="64"/>
      <c r="AV61" s="64">
        <v>62</v>
      </c>
      <c r="AW61" s="64" t="s">
        <v>4955</v>
      </c>
      <c r="AX61" s="64" t="s">
        <v>4744</v>
      </c>
      <c r="AY61" s="66" t="s">
        <v>478</v>
      </c>
      <c r="AZ61" s="66" t="s">
        <v>138</v>
      </c>
      <c r="BA61" s="64">
        <v>106.75</v>
      </c>
      <c r="BB61" s="64">
        <v>106.75</v>
      </c>
      <c r="BC61" s="64" t="s">
        <v>5231</v>
      </c>
      <c r="BD61" s="64" t="s">
        <v>5232</v>
      </c>
      <c r="BE61" s="64" t="s">
        <v>5231</v>
      </c>
      <c r="BF61" s="64" t="s">
        <v>5232</v>
      </c>
      <c r="BG61" s="64" t="s">
        <v>4963</v>
      </c>
      <c r="BH61" s="64" t="s">
        <v>5097</v>
      </c>
      <c r="BI61" s="64" t="s">
        <v>5230</v>
      </c>
      <c r="BJ61" s="64" t="s">
        <v>4954</v>
      </c>
      <c r="BK61" s="64" t="s">
        <v>474</v>
      </c>
      <c r="BL61" s="64" t="s">
        <v>474</v>
      </c>
      <c r="BM61" s="66" t="s">
        <v>1210</v>
      </c>
      <c r="BN61" s="66" t="s">
        <v>1468</v>
      </c>
      <c r="BO61" s="66" t="s">
        <v>1468</v>
      </c>
      <c r="BP61" s="66" t="s">
        <v>1474</v>
      </c>
      <c r="BQ61" s="66" t="s">
        <v>1479</v>
      </c>
      <c r="BR61" s="64">
        <v>0.15</v>
      </c>
      <c r="BS61" s="64">
        <v>1.6E-2</v>
      </c>
      <c r="BT61" s="66">
        <v>120</v>
      </c>
      <c r="BU61" s="79"/>
      <c r="BV61" s="79"/>
      <c r="BW61" s="79"/>
      <c r="BX61" s="79"/>
      <c r="BY61" s="64">
        <v>0.7</v>
      </c>
      <c r="BZ61" s="79"/>
      <c r="CA61" s="79"/>
      <c r="CB61" s="64" t="s">
        <v>1100</v>
      </c>
      <c r="CC61" s="64" t="s">
        <v>1100</v>
      </c>
      <c r="CD61" s="64" t="s">
        <v>474</v>
      </c>
      <c r="CE61" s="79"/>
      <c r="CF61" s="79"/>
      <c r="CG61" s="79"/>
      <c r="CH61" s="79"/>
      <c r="CI61" s="79"/>
      <c r="CJ61" s="79"/>
      <c r="CK61" s="79"/>
      <c r="CL61" s="79"/>
      <c r="CM61" s="79"/>
      <c r="CN61" s="79"/>
      <c r="CO61" s="79"/>
      <c r="CP61" s="79"/>
      <c r="CQ61" s="79"/>
      <c r="CR61" s="79"/>
      <c r="CS61" s="79"/>
      <c r="CT61" s="79"/>
      <c r="CU61" s="79"/>
      <c r="CV61" s="79"/>
      <c r="CW61" s="79"/>
      <c r="CX61" s="79"/>
      <c r="CY61" s="79"/>
      <c r="CZ61" s="79"/>
      <c r="DA61" s="79"/>
      <c r="DB61" s="79"/>
      <c r="DC61" s="79"/>
      <c r="DD61" s="79"/>
      <c r="DE61" s="79"/>
      <c r="DF61" s="79"/>
      <c r="DG61" s="79"/>
      <c r="DH61" s="79"/>
      <c r="DI61" s="79"/>
      <c r="DJ61" s="79"/>
      <c r="DK61" s="79"/>
      <c r="DL61" s="79"/>
      <c r="DM61" s="79"/>
      <c r="DN61" s="79"/>
      <c r="DO61" s="79"/>
      <c r="DP61" s="79"/>
      <c r="DQ61" s="79"/>
      <c r="DR61" s="79"/>
      <c r="DS61" s="79"/>
      <c r="DT61" s="79"/>
      <c r="DU61" s="79"/>
      <c r="DV61" s="79"/>
      <c r="DW61" s="79"/>
      <c r="DX61" s="79"/>
      <c r="DY61" s="78"/>
    </row>
    <row r="62" spans="1:129" x14ac:dyDescent="0.35">
      <c r="A62" s="42" t="s">
        <v>4743</v>
      </c>
      <c r="B62" s="42" t="s">
        <v>5234</v>
      </c>
      <c r="C62" s="42" t="s">
        <v>138</v>
      </c>
      <c r="D62" s="43" t="s">
        <v>139</v>
      </c>
      <c r="F62" s="44" t="s">
        <v>5235</v>
      </c>
      <c r="G62" s="42" t="s">
        <v>4955</v>
      </c>
      <c r="H62" s="42" t="s">
        <v>68</v>
      </c>
      <c r="I62" s="43" t="s">
        <v>68</v>
      </c>
      <c r="J62" s="43" t="s">
        <v>68</v>
      </c>
      <c r="K62" s="43"/>
      <c r="L62" s="43" t="s">
        <v>69</v>
      </c>
      <c r="M62" s="43">
        <v>3</v>
      </c>
      <c r="N62" s="43">
        <v>3</v>
      </c>
      <c r="O62" s="43" t="s">
        <v>69</v>
      </c>
      <c r="P62" s="43">
        <v>4</v>
      </c>
      <c r="Q62" s="43">
        <v>4</v>
      </c>
      <c r="R62" s="43" t="s">
        <v>69</v>
      </c>
      <c r="S62" s="43">
        <v>5</v>
      </c>
      <c r="T62" s="43">
        <v>5</v>
      </c>
      <c r="U62" s="42" t="s">
        <v>5097</v>
      </c>
      <c r="V62" s="42">
        <v>106.75</v>
      </c>
      <c r="W62" s="42">
        <v>106.75</v>
      </c>
      <c r="X62" s="42" t="s">
        <v>5222</v>
      </c>
      <c r="Y62" s="42" t="s">
        <v>5236</v>
      </c>
      <c r="Z62" s="43" t="s">
        <v>4743</v>
      </c>
      <c r="AA62" s="43" t="s">
        <v>4742</v>
      </c>
      <c r="AC62" s="42" t="s">
        <v>4684</v>
      </c>
      <c r="AD62" s="42" t="s">
        <v>4685</v>
      </c>
      <c r="AE62" s="42" t="s">
        <v>4686</v>
      </c>
      <c r="AF62" s="42" t="s">
        <v>138</v>
      </c>
      <c r="AG62" s="42" t="s">
        <v>4685</v>
      </c>
      <c r="AH62" t="s">
        <v>5097</v>
      </c>
      <c r="AI62" s="42" t="s">
        <v>4959</v>
      </c>
      <c r="AJ62" s="42" t="s">
        <v>5100</v>
      </c>
      <c r="AL62" s="42" t="s">
        <v>5101</v>
      </c>
      <c r="AM62" s="43">
        <v>106.75</v>
      </c>
      <c r="AN62" s="43">
        <v>106.75</v>
      </c>
      <c r="AO62" s="43" t="s">
        <v>70</v>
      </c>
      <c r="AQ62" s="43">
        <v>1</v>
      </c>
      <c r="AR62" s="42" t="s">
        <v>5237</v>
      </c>
      <c r="AU62" s="64"/>
      <c r="AV62" s="64">
        <v>62</v>
      </c>
      <c r="AW62" s="64" t="s">
        <v>4955</v>
      </c>
      <c r="AX62" s="64" t="s">
        <v>4744</v>
      </c>
      <c r="AY62" s="66" t="s">
        <v>478</v>
      </c>
      <c r="AZ62" s="66" t="s">
        <v>138</v>
      </c>
      <c r="BA62" s="64">
        <v>106.75</v>
      </c>
      <c r="BB62" s="64">
        <v>106.75</v>
      </c>
      <c r="BC62" s="64" t="s">
        <v>5222</v>
      </c>
      <c r="BD62" s="64" t="s">
        <v>5236</v>
      </c>
      <c r="BE62" s="64" t="s">
        <v>5222</v>
      </c>
      <c r="BF62" s="64" t="s">
        <v>5236</v>
      </c>
      <c r="BG62" s="64" t="s">
        <v>4963</v>
      </c>
      <c r="BH62" s="64" t="s">
        <v>5097</v>
      </c>
      <c r="BI62" s="64" t="s">
        <v>5235</v>
      </c>
      <c r="BJ62" s="64" t="s">
        <v>4954</v>
      </c>
      <c r="BK62" s="64" t="s">
        <v>474</v>
      </c>
      <c r="BL62" s="64" t="s">
        <v>474</v>
      </c>
      <c r="BM62" s="66" t="s">
        <v>1210</v>
      </c>
      <c r="BN62" s="66" t="s">
        <v>1468</v>
      </c>
      <c r="BO62" s="66" t="s">
        <v>1468</v>
      </c>
      <c r="BP62" s="66" t="s">
        <v>1474</v>
      </c>
      <c r="BQ62" s="66" t="s">
        <v>1479</v>
      </c>
      <c r="BR62" s="64">
        <v>0.15</v>
      </c>
      <c r="BS62" s="64">
        <v>1.6E-2</v>
      </c>
      <c r="BT62" s="66">
        <v>120</v>
      </c>
      <c r="BU62" s="79"/>
      <c r="BV62" s="79"/>
      <c r="BW62" s="79"/>
      <c r="BX62" s="79"/>
      <c r="BY62" s="64">
        <v>0.7</v>
      </c>
      <c r="BZ62" s="79"/>
      <c r="CA62" s="79"/>
      <c r="CB62" s="64" t="s">
        <v>1100</v>
      </c>
      <c r="CC62" s="64" t="s">
        <v>1100</v>
      </c>
      <c r="CD62" s="64" t="s">
        <v>474</v>
      </c>
      <c r="CE62" s="79"/>
      <c r="CF62" s="79"/>
      <c r="CG62" s="79"/>
      <c r="CH62" s="79"/>
      <c r="CI62" s="79"/>
      <c r="CJ62" s="79"/>
      <c r="CK62" s="79"/>
      <c r="CL62" s="79"/>
      <c r="CM62" s="79"/>
      <c r="CN62" s="79"/>
      <c r="CO62" s="79"/>
      <c r="CP62" s="79"/>
      <c r="CQ62" s="79"/>
      <c r="CR62" s="79"/>
      <c r="CS62" s="79"/>
      <c r="CT62" s="79"/>
      <c r="CU62" s="79"/>
      <c r="CV62" s="79"/>
      <c r="CW62" s="79"/>
      <c r="CX62" s="79"/>
      <c r="CY62" s="79"/>
      <c r="CZ62" s="79"/>
      <c r="DA62" s="79"/>
      <c r="DB62" s="79"/>
      <c r="DC62" s="79"/>
      <c r="DD62" s="79"/>
      <c r="DE62" s="79"/>
      <c r="DF62" s="79"/>
      <c r="DG62" s="79"/>
      <c r="DH62" s="79"/>
      <c r="DI62" s="79"/>
      <c r="DJ62" s="79"/>
      <c r="DK62" s="79"/>
      <c r="DL62" s="79"/>
      <c r="DM62" s="79"/>
      <c r="DN62" s="79"/>
      <c r="DO62" s="79"/>
      <c r="DP62" s="79"/>
      <c r="DQ62" s="79"/>
      <c r="DR62" s="79"/>
      <c r="DS62" s="79"/>
      <c r="DT62" s="79"/>
      <c r="DU62" s="79"/>
      <c r="DV62" s="79"/>
      <c r="DW62" s="79"/>
      <c r="DX62" s="79"/>
      <c r="DY62" s="78"/>
    </row>
    <row r="63" spans="1:129" x14ac:dyDescent="0.35">
      <c r="A63" s="42" t="s">
        <v>4743</v>
      </c>
      <c r="B63" s="42" t="s">
        <v>5238</v>
      </c>
      <c r="C63" s="42" t="s">
        <v>138</v>
      </c>
      <c r="D63" s="43" t="s">
        <v>139</v>
      </c>
      <c r="F63" s="44" t="s">
        <v>5239</v>
      </c>
      <c r="G63" s="42" t="s">
        <v>4955</v>
      </c>
      <c r="H63" s="42" t="s">
        <v>68</v>
      </c>
      <c r="I63" s="43" t="s">
        <v>68</v>
      </c>
      <c r="J63" s="43" t="s">
        <v>68</v>
      </c>
      <c r="K63" s="43"/>
      <c r="L63" s="43" t="s">
        <v>69</v>
      </c>
      <c r="M63" s="43">
        <v>3</v>
      </c>
      <c r="N63" s="43">
        <v>3</v>
      </c>
      <c r="O63" s="43" t="s">
        <v>69</v>
      </c>
      <c r="P63" s="43">
        <v>4</v>
      </c>
      <c r="Q63" s="43">
        <v>4</v>
      </c>
      <c r="R63" s="43" t="s">
        <v>69</v>
      </c>
      <c r="S63" s="43">
        <v>5</v>
      </c>
      <c r="T63" s="43">
        <v>5</v>
      </c>
      <c r="U63" s="42" t="s">
        <v>5097</v>
      </c>
      <c r="V63" s="42">
        <v>106.75</v>
      </c>
      <c r="W63" s="42">
        <v>106.75</v>
      </c>
      <c r="X63" s="42" t="s">
        <v>5240</v>
      </c>
      <c r="Y63" s="42" t="s">
        <v>5241</v>
      </c>
      <c r="Z63" s="43" t="s">
        <v>4743</v>
      </c>
      <c r="AA63" s="43" t="s">
        <v>4742</v>
      </c>
      <c r="AC63" s="42" t="s">
        <v>4684</v>
      </c>
      <c r="AD63" s="42" t="s">
        <v>4685</v>
      </c>
      <c r="AE63" s="42" t="s">
        <v>4686</v>
      </c>
      <c r="AF63" s="42" t="s">
        <v>138</v>
      </c>
      <c r="AG63" s="42" t="s">
        <v>4685</v>
      </c>
      <c r="AH63" t="s">
        <v>5097</v>
      </c>
      <c r="AI63" s="42" t="s">
        <v>4959</v>
      </c>
      <c r="AJ63" s="42" t="s">
        <v>5100</v>
      </c>
      <c r="AL63" s="42" t="s">
        <v>5101</v>
      </c>
      <c r="AM63" s="43">
        <v>106.75</v>
      </c>
      <c r="AN63" s="43">
        <v>106.75</v>
      </c>
      <c r="AO63" s="43" t="s">
        <v>70</v>
      </c>
      <c r="AQ63" s="43">
        <v>1</v>
      </c>
      <c r="AR63" s="42" t="s">
        <v>5242</v>
      </c>
      <c r="AU63" s="64"/>
      <c r="AV63" s="64">
        <v>62</v>
      </c>
      <c r="AW63" s="64" t="s">
        <v>4955</v>
      </c>
      <c r="AX63" s="64" t="s">
        <v>4744</v>
      </c>
      <c r="AY63" s="66" t="s">
        <v>478</v>
      </c>
      <c r="AZ63" s="66" t="s">
        <v>138</v>
      </c>
      <c r="BA63" s="64">
        <v>106.75</v>
      </c>
      <c r="BB63" s="64">
        <v>106.75</v>
      </c>
      <c r="BC63" s="64" t="s">
        <v>5240</v>
      </c>
      <c r="BD63" s="64" t="s">
        <v>5241</v>
      </c>
      <c r="BE63" s="64" t="s">
        <v>5240</v>
      </c>
      <c r="BF63" s="64" t="s">
        <v>5241</v>
      </c>
      <c r="BG63" s="64" t="s">
        <v>4963</v>
      </c>
      <c r="BH63" s="64" t="s">
        <v>5097</v>
      </c>
      <c r="BI63" s="64" t="s">
        <v>5239</v>
      </c>
      <c r="BJ63" s="64" t="s">
        <v>4954</v>
      </c>
      <c r="BK63" s="64" t="s">
        <v>474</v>
      </c>
      <c r="BL63" s="64" t="s">
        <v>474</v>
      </c>
      <c r="BM63" s="66" t="s">
        <v>1210</v>
      </c>
      <c r="BN63" s="66" t="s">
        <v>1468</v>
      </c>
      <c r="BO63" s="66" t="s">
        <v>1468</v>
      </c>
      <c r="BP63" s="66" t="s">
        <v>1474</v>
      </c>
      <c r="BQ63" s="66" t="s">
        <v>1479</v>
      </c>
      <c r="BR63" s="64">
        <v>0.15</v>
      </c>
      <c r="BS63" s="64">
        <v>1.6E-2</v>
      </c>
      <c r="BT63" s="66">
        <v>120</v>
      </c>
      <c r="BU63" s="79"/>
      <c r="BV63" s="79"/>
      <c r="BW63" s="79"/>
      <c r="BX63" s="79"/>
      <c r="BY63" s="64">
        <v>0.7</v>
      </c>
      <c r="BZ63" s="79"/>
      <c r="CA63" s="79"/>
      <c r="CB63" s="64" t="s">
        <v>1100</v>
      </c>
      <c r="CC63" s="64" t="s">
        <v>1100</v>
      </c>
      <c r="CD63" s="64" t="s">
        <v>474</v>
      </c>
      <c r="CE63" s="79"/>
      <c r="CF63" s="79"/>
      <c r="CG63" s="79"/>
      <c r="CH63" s="79"/>
      <c r="CI63" s="79"/>
      <c r="CJ63" s="79"/>
      <c r="CK63" s="79"/>
      <c r="CL63" s="79"/>
      <c r="CM63" s="79"/>
      <c r="CN63" s="79"/>
      <c r="CO63" s="79"/>
      <c r="CP63" s="79"/>
      <c r="CQ63" s="79"/>
      <c r="CR63" s="79"/>
      <c r="CS63" s="79"/>
      <c r="CT63" s="79"/>
      <c r="CU63" s="79"/>
      <c r="CV63" s="79"/>
      <c r="CW63" s="79"/>
      <c r="CX63" s="79"/>
      <c r="CY63" s="79"/>
      <c r="CZ63" s="79"/>
      <c r="DA63" s="79"/>
      <c r="DB63" s="79"/>
      <c r="DC63" s="79"/>
      <c r="DD63" s="79"/>
      <c r="DE63" s="79"/>
      <c r="DF63" s="79"/>
      <c r="DG63" s="79"/>
      <c r="DH63" s="79"/>
      <c r="DI63" s="79"/>
      <c r="DJ63" s="79"/>
      <c r="DK63" s="79"/>
      <c r="DL63" s="79"/>
      <c r="DM63" s="79"/>
      <c r="DN63" s="79"/>
      <c r="DO63" s="79"/>
      <c r="DP63" s="79"/>
      <c r="DQ63" s="79"/>
      <c r="DR63" s="79"/>
      <c r="DS63" s="79"/>
      <c r="DT63" s="79"/>
      <c r="DU63" s="79"/>
      <c r="DV63" s="79"/>
      <c r="DW63" s="79"/>
      <c r="DX63" s="79"/>
      <c r="DY63" s="78"/>
    </row>
    <row r="64" spans="1:129" x14ac:dyDescent="0.35">
      <c r="A64" s="42" t="s">
        <v>4743</v>
      </c>
      <c r="B64" s="42" t="s">
        <v>5243</v>
      </c>
      <c r="C64" s="42" t="s">
        <v>138</v>
      </c>
      <c r="D64" s="43" t="s">
        <v>139</v>
      </c>
      <c r="F64" s="44" t="s">
        <v>5244</v>
      </c>
      <c r="G64" s="42" t="s">
        <v>4955</v>
      </c>
      <c r="H64" s="42" t="s">
        <v>68</v>
      </c>
      <c r="I64" s="43" t="s">
        <v>68</v>
      </c>
      <c r="J64" s="43" t="s">
        <v>68</v>
      </c>
      <c r="K64" s="43"/>
      <c r="L64" s="43" t="s">
        <v>69</v>
      </c>
      <c r="M64" s="43">
        <v>3</v>
      </c>
      <c r="N64" s="43">
        <v>3</v>
      </c>
      <c r="O64" s="43" t="s">
        <v>69</v>
      </c>
      <c r="P64" s="43">
        <v>4</v>
      </c>
      <c r="Q64" s="43">
        <v>4</v>
      </c>
      <c r="R64" s="43" t="s">
        <v>69</v>
      </c>
      <c r="S64" s="43">
        <v>5</v>
      </c>
      <c r="T64" s="43">
        <v>5</v>
      </c>
      <c r="U64" s="42" t="s">
        <v>5097</v>
      </c>
      <c r="V64" s="42">
        <v>106.75</v>
      </c>
      <c r="W64" s="42">
        <v>106.75</v>
      </c>
      <c r="X64" s="42" t="s">
        <v>5245</v>
      </c>
      <c r="Y64" s="42" t="s">
        <v>5246</v>
      </c>
      <c r="Z64" s="43" t="s">
        <v>4743</v>
      </c>
      <c r="AA64" s="43" t="s">
        <v>4742</v>
      </c>
      <c r="AC64" s="42" t="s">
        <v>4684</v>
      </c>
      <c r="AD64" s="42" t="s">
        <v>4685</v>
      </c>
      <c r="AE64" s="42" t="s">
        <v>4686</v>
      </c>
      <c r="AF64" s="42" t="s">
        <v>138</v>
      </c>
      <c r="AG64" s="42" t="s">
        <v>4685</v>
      </c>
      <c r="AH64" t="s">
        <v>5097</v>
      </c>
      <c r="AI64" s="42" t="s">
        <v>4959</v>
      </c>
      <c r="AJ64" s="42" t="s">
        <v>5100</v>
      </c>
      <c r="AL64" s="42" t="s">
        <v>5101</v>
      </c>
      <c r="AM64" s="43">
        <v>106.75</v>
      </c>
      <c r="AN64" s="43">
        <v>106.75</v>
      </c>
      <c r="AO64" s="43" t="s">
        <v>70</v>
      </c>
      <c r="AQ64" s="43">
        <v>1</v>
      </c>
      <c r="AR64" s="42" t="s">
        <v>5247</v>
      </c>
      <c r="AU64" s="64"/>
      <c r="AV64" s="64">
        <v>62</v>
      </c>
      <c r="AW64" s="64" t="s">
        <v>4955</v>
      </c>
      <c r="AX64" s="64" t="s">
        <v>4744</v>
      </c>
      <c r="AY64" s="66" t="s">
        <v>478</v>
      </c>
      <c r="AZ64" s="66" t="s">
        <v>138</v>
      </c>
      <c r="BA64" s="64">
        <v>106.75</v>
      </c>
      <c r="BB64" s="64">
        <v>106.75</v>
      </c>
      <c r="BC64" s="64" t="s">
        <v>5245</v>
      </c>
      <c r="BD64" s="64" t="s">
        <v>5246</v>
      </c>
      <c r="BE64" s="64" t="s">
        <v>5245</v>
      </c>
      <c r="BF64" s="64" t="s">
        <v>5246</v>
      </c>
      <c r="BG64" s="64" t="s">
        <v>4963</v>
      </c>
      <c r="BH64" s="64" t="s">
        <v>5097</v>
      </c>
      <c r="BI64" s="64" t="s">
        <v>5244</v>
      </c>
      <c r="BJ64" s="64" t="s">
        <v>4954</v>
      </c>
      <c r="BK64" s="64" t="s">
        <v>474</v>
      </c>
      <c r="BL64" s="64" t="s">
        <v>474</v>
      </c>
      <c r="BM64" s="66" t="s">
        <v>1210</v>
      </c>
      <c r="BN64" s="66" t="s">
        <v>1468</v>
      </c>
      <c r="BO64" s="66" t="s">
        <v>1468</v>
      </c>
      <c r="BP64" s="66" t="s">
        <v>1474</v>
      </c>
      <c r="BQ64" s="66" t="s">
        <v>1479</v>
      </c>
      <c r="BR64" s="64">
        <v>0.15</v>
      </c>
      <c r="BS64" s="64">
        <v>1.6E-2</v>
      </c>
      <c r="BT64" s="66">
        <v>120</v>
      </c>
      <c r="BU64" s="79"/>
      <c r="BV64" s="79"/>
      <c r="BW64" s="79"/>
      <c r="BX64" s="79"/>
      <c r="BY64" s="64">
        <v>0.7</v>
      </c>
      <c r="BZ64" s="79"/>
      <c r="CA64" s="79"/>
      <c r="CB64" s="64" t="s">
        <v>1100</v>
      </c>
      <c r="CC64" s="64" t="s">
        <v>1100</v>
      </c>
      <c r="CD64" s="64" t="s">
        <v>474</v>
      </c>
      <c r="CE64" s="79"/>
      <c r="CF64" s="79"/>
      <c r="CG64" s="79"/>
      <c r="CH64" s="79"/>
      <c r="CI64" s="79"/>
      <c r="CJ64" s="79"/>
      <c r="CK64" s="79"/>
      <c r="CL64" s="79"/>
      <c r="CM64" s="79"/>
      <c r="CN64" s="79"/>
      <c r="CO64" s="79"/>
      <c r="CP64" s="79"/>
      <c r="CQ64" s="79"/>
      <c r="CR64" s="79"/>
      <c r="CS64" s="79"/>
      <c r="CT64" s="79"/>
      <c r="CU64" s="79"/>
      <c r="CV64" s="79"/>
      <c r="CW64" s="79"/>
      <c r="CX64" s="79"/>
      <c r="CY64" s="79"/>
      <c r="CZ64" s="79"/>
      <c r="DA64" s="79"/>
      <c r="DB64" s="79"/>
      <c r="DC64" s="79"/>
      <c r="DD64" s="79"/>
      <c r="DE64" s="79"/>
      <c r="DF64" s="79"/>
      <c r="DG64" s="79"/>
      <c r="DH64" s="79"/>
      <c r="DI64" s="79"/>
      <c r="DJ64" s="79"/>
      <c r="DK64" s="79"/>
      <c r="DL64" s="79"/>
      <c r="DM64" s="79"/>
      <c r="DN64" s="79"/>
      <c r="DO64" s="79"/>
      <c r="DP64" s="79"/>
      <c r="DQ64" s="79"/>
      <c r="DR64" s="79"/>
      <c r="DS64" s="79"/>
      <c r="DT64" s="79"/>
      <c r="DU64" s="79"/>
      <c r="DV64" s="79"/>
      <c r="DW64" s="79"/>
      <c r="DX64" s="79"/>
      <c r="DY64" s="78"/>
    </row>
    <row r="65" spans="1:129" x14ac:dyDescent="0.35">
      <c r="A65" s="42" t="s">
        <v>4743</v>
      </c>
      <c r="B65" s="42" t="s">
        <v>5248</v>
      </c>
      <c r="C65" s="42" t="s">
        <v>138</v>
      </c>
      <c r="D65" s="43" t="s">
        <v>139</v>
      </c>
      <c r="F65" s="44" t="s">
        <v>5249</v>
      </c>
      <c r="G65" s="42" t="s">
        <v>4955</v>
      </c>
      <c r="H65" s="42" t="s">
        <v>68</v>
      </c>
      <c r="I65" s="43" t="s">
        <v>68</v>
      </c>
      <c r="J65" s="43" t="s">
        <v>68</v>
      </c>
      <c r="K65" s="43"/>
      <c r="L65" s="43" t="s">
        <v>69</v>
      </c>
      <c r="M65" s="43">
        <v>3</v>
      </c>
      <c r="N65" s="43">
        <v>3</v>
      </c>
      <c r="O65" s="43" t="s">
        <v>69</v>
      </c>
      <c r="P65" s="43">
        <v>4</v>
      </c>
      <c r="Q65" s="43">
        <v>4</v>
      </c>
      <c r="R65" s="43" t="s">
        <v>69</v>
      </c>
      <c r="S65" s="43">
        <v>5</v>
      </c>
      <c r="T65" s="43">
        <v>5</v>
      </c>
      <c r="U65" s="42" t="s">
        <v>5097</v>
      </c>
      <c r="V65" s="42">
        <v>106.75</v>
      </c>
      <c r="W65" s="42">
        <v>106.75</v>
      </c>
      <c r="X65" s="42" t="s">
        <v>5250</v>
      </c>
      <c r="Y65" s="42" t="s">
        <v>5251</v>
      </c>
      <c r="Z65" s="43" t="s">
        <v>4743</v>
      </c>
      <c r="AA65" s="43" t="s">
        <v>4742</v>
      </c>
      <c r="AC65" s="42" t="s">
        <v>4684</v>
      </c>
      <c r="AD65" s="42" t="s">
        <v>4685</v>
      </c>
      <c r="AE65" s="42" t="s">
        <v>4686</v>
      </c>
      <c r="AF65" s="42" t="s">
        <v>138</v>
      </c>
      <c r="AG65" s="42" t="s">
        <v>4685</v>
      </c>
      <c r="AH65" t="s">
        <v>5097</v>
      </c>
      <c r="AI65" s="42" t="s">
        <v>4959</v>
      </c>
      <c r="AJ65" s="42" t="s">
        <v>5100</v>
      </c>
      <c r="AL65" s="42" t="s">
        <v>5101</v>
      </c>
      <c r="AM65" s="43">
        <v>106.75</v>
      </c>
      <c r="AN65" s="43">
        <v>106.75</v>
      </c>
      <c r="AO65" s="43" t="s">
        <v>70</v>
      </c>
      <c r="AQ65" s="43">
        <v>1</v>
      </c>
      <c r="AR65" s="42" t="s">
        <v>5252</v>
      </c>
      <c r="AU65" s="64"/>
      <c r="AV65" s="64">
        <v>62</v>
      </c>
      <c r="AW65" s="64" t="s">
        <v>4955</v>
      </c>
      <c r="AX65" s="64" t="s">
        <v>4744</v>
      </c>
      <c r="AY65" s="66" t="s">
        <v>478</v>
      </c>
      <c r="AZ65" s="66" t="s">
        <v>138</v>
      </c>
      <c r="BA65" s="64">
        <v>106.75</v>
      </c>
      <c r="BB65" s="64">
        <v>106.75</v>
      </c>
      <c r="BC65" s="64" t="s">
        <v>5250</v>
      </c>
      <c r="BD65" s="64" t="s">
        <v>5251</v>
      </c>
      <c r="BE65" s="64" t="s">
        <v>5250</v>
      </c>
      <c r="BF65" s="64" t="s">
        <v>5251</v>
      </c>
      <c r="BG65" s="64" t="s">
        <v>4963</v>
      </c>
      <c r="BH65" s="64" t="s">
        <v>5097</v>
      </c>
      <c r="BI65" s="64" t="s">
        <v>5249</v>
      </c>
      <c r="BJ65" s="64" t="s">
        <v>4954</v>
      </c>
      <c r="BK65" s="64" t="s">
        <v>474</v>
      </c>
      <c r="BL65" s="64" t="s">
        <v>474</v>
      </c>
      <c r="BM65" s="66" t="s">
        <v>1210</v>
      </c>
      <c r="BN65" s="66" t="s">
        <v>1468</v>
      </c>
      <c r="BO65" s="66" t="s">
        <v>1468</v>
      </c>
      <c r="BP65" s="66" t="s">
        <v>1474</v>
      </c>
      <c r="BQ65" s="66" t="s">
        <v>1479</v>
      </c>
      <c r="BR65" s="64">
        <v>0.15</v>
      </c>
      <c r="BS65" s="64">
        <v>1.2999999999999999E-2</v>
      </c>
      <c r="BT65" s="66">
        <v>120</v>
      </c>
      <c r="BU65" s="79"/>
      <c r="BV65" s="79"/>
      <c r="BW65" s="79"/>
      <c r="BX65" s="79"/>
      <c r="BY65" s="64">
        <v>0.58499999999999996</v>
      </c>
      <c r="BZ65" s="79"/>
      <c r="CA65" s="79"/>
      <c r="CB65" s="64" t="s">
        <v>1100</v>
      </c>
      <c r="CC65" s="64" t="s">
        <v>1100</v>
      </c>
      <c r="CD65" s="64" t="s">
        <v>474</v>
      </c>
      <c r="CE65" s="79"/>
      <c r="CF65" s="79"/>
      <c r="CG65" s="79"/>
      <c r="CH65" s="79"/>
      <c r="CI65" s="79"/>
      <c r="CJ65" s="79"/>
      <c r="CK65" s="79"/>
      <c r="CL65" s="79"/>
      <c r="CM65" s="79"/>
      <c r="CN65" s="79"/>
      <c r="CO65" s="79"/>
      <c r="CP65" s="79"/>
      <c r="CQ65" s="79"/>
      <c r="CR65" s="79"/>
      <c r="CS65" s="79"/>
      <c r="CT65" s="79"/>
      <c r="CU65" s="79"/>
      <c r="CV65" s="79"/>
      <c r="CW65" s="79"/>
      <c r="CX65" s="79"/>
      <c r="CY65" s="79"/>
      <c r="CZ65" s="79"/>
      <c r="DA65" s="79"/>
      <c r="DB65" s="79"/>
      <c r="DC65" s="79"/>
      <c r="DD65" s="79"/>
      <c r="DE65" s="79"/>
      <c r="DF65" s="79"/>
      <c r="DG65" s="79"/>
      <c r="DH65" s="79"/>
      <c r="DI65" s="79"/>
      <c r="DJ65" s="79"/>
      <c r="DK65" s="79"/>
      <c r="DL65" s="79"/>
      <c r="DM65" s="79"/>
      <c r="DN65" s="79"/>
      <c r="DO65" s="79"/>
      <c r="DP65" s="79"/>
      <c r="DQ65" s="79"/>
      <c r="DR65" s="79"/>
      <c r="DS65" s="79"/>
      <c r="DT65" s="79"/>
      <c r="DU65" s="79"/>
      <c r="DV65" s="79"/>
      <c r="DW65" s="79"/>
      <c r="DX65" s="79"/>
      <c r="DY65" s="78"/>
    </row>
    <row r="66" spans="1:129" x14ac:dyDescent="0.35">
      <c r="A66" s="42" t="s">
        <v>4743</v>
      </c>
      <c r="B66" s="42" t="s">
        <v>5253</v>
      </c>
      <c r="C66" s="42" t="s">
        <v>138</v>
      </c>
      <c r="D66" s="43" t="s">
        <v>139</v>
      </c>
      <c r="F66" s="44" t="s">
        <v>5254</v>
      </c>
      <c r="G66" s="42" t="s">
        <v>4955</v>
      </c>
      <c r="H66" s="42" t="s">
        <v>68</v>
      </c>
      <c r="I66" s="43" t="s">
        <v>68</v>
      </c>
      <c r="J66" s="43" t="s">
        <v>68</v>
      </c>
      <c r="K66" s="43"/>
      <c r="L66" s="43" t="s">
        <v>69</v>
      </c>
      <c r="M66" s="43">
        <v>3</v>
      </c>
      <c r="N66" s="43">
        <v>3</v>
      </c>
      <c r="O66" s="43" t="s">
        <v>69</v>
      </c>
      <c r="P66" s="43">
        <v>4</v>
      </c>
      <c r="Q66" s="43">
        <v>4</v>
      </c>
      <c r="R66" s="43" t="s">
        <v>69</v>
      </c>
      <c r="S66" s="43">
        <v>5</v>
      </c>
      <c r="T66" s="43">
        <v>5</v>
      </c>
      <c r="U66" s="42" t="s">
        <v>5097</v>
      </c>
      <c r="V66" s="42">
        <v>106.75</v>
      </c>
      <c r="W66" s="42">
        <v>106.75</v>
      </c>
      <c r="X66" s="42" t="s">
        <v>5255</v>
      </c>
      <c r="Y66" s="42" t="s">
        <v>5256</v>
      </c>
      <c r="Z66" s="43" t="s">
        <v>4743</v>
      </c>
      <c r="AA66" s="43" t="s">
        <v>4742</v>
      </c>
      <c r="AC66" s="42" t="s">
        <v>4684</v>
      </c>
      <c r="AD66" s="42" t="s">
        <v>4685</v>
      </c>
      <c r="AE66" s="42" t="s">
        <v>4686</v>
      </c>
      <c r="AF66" s="42" t="s">
        <v>138</v>
      </c>
      <c r="AG66" s="42" t="s">
        <v>4685</v>
      </c>
      <c r="AH66" t="s">
        <v>5097</v>
      </c>
      <c r="AI66" s="42" t="s">
        <v>4959</v>
      </c>
      <c r="AJ66" s="42" t="s">
        <v>5100</v>
      </c>
      <c r="AL66" s="42" t="s">
        <v>5101</v>
      </c>
      <c r="AM66" s="43">
        <v>106.75</v>
      </c>
      <c r="AN66" s="43">
        <v>106.75</v>
      </c>
      <c r="AO66" s="43" t="s">
        <v>70</v>
      </c>
      <c r="AQ66" s="43">
        <v>1</v>
      </c>
      <c r="AR66" s="42" t="s">
        <v>5257</v>
      </c>
      <c r="AU66" s="64"/>
      <c r="AV66" s="64">
        <v>62</v>
      </c>
      <c r="AW66" s="64" t="s">
        <v>4955</v>
      </c>
      <c r="AX66" s="64" t="s">
        <v>4744</v>
      </c>
      <c r="AY66" s="66" t="s">
        <v>478</v>
      </c>
      <c r="AZ66" s="66" t="s">
        <v>138</v>
      </c>
      <c r="BA66" s="64">
        <v>106.75</v>
      </c>
      <c r="BB66" s="64">
        <v>106.75</v>
      </c>
      <c r="BC66" s="64" t="s">
        <v>5255</v>
      </c>
      <c r="BD66" s="64" t="s">
        <v>5256</v>
      </c>
      <c r="BE66" s="64" t="s">
        <v>5255</v>
      </c>
      <c r="BF66" s="64" t="s">
        <v>5256</v>
      </c>
      <c r="BG66" s="64" t="s">
        <v>4963</v>
      </c>
      <c r="BH66" s="64" t="s">
        <v>5097</v>
      </c>
      <c r="BI66" s="64" t="s">
        <v>5254</v>
      </c>
      <c r="BJ66" s="64" t="s">
        <v>4954</v>
      </c>
      <c r="BK66" s="64" t="s">
        <v>474</v>
      </c>
      <c r="BL66" s="64" t="s">
        <v>474</v>
      </c>
      <c r="BM66" s="66" t="s">
        <v>1210</v>
      </c>
      <c r="BN66" s="66" t="s">
        <v>1468</v>
      </c>
      <c r="BO66" s="66" t="s">
        <v>1468</v>
      </c>
      <c r="BP66" s="66" t="s">
        <v>1474</v>
      </c>
      <c r="BQ66" s="66" t="s">
        <v>1479</v>
      </c>
      <c r="BR66" s="64">
        <v>0.15</v>
      </c>
      <c r="BS66" s="64">
        <v>1.6E-2</v>
      </c>
      <c r="BT66" s="66">
        <v>120</v>
      </c>
      <c r="BU66" s="79"/>
      <c r="BV66" s="79"/>
      <c r="BW66" s="79"/>
      <c r="BX66" s="79"/>
      <c r="BY66" s="64">
        <v>0.7</v>
      </c>
      <c r="BZ66" s="79"/>
      <c r="CA66" s="79"/>
      <c r="CB66" s="64" t="s">
        <v>1100</v>
      </c>
      <c r="CC66" s="64" t="s">
        <v>1100</v>
      </c>
      <c r="CD66" s="64" t="s">
        <v>474</v>
      </c>
      <c r="CE66" s="79"/>
      <c r="CF66" s="79"/>
      <c r="CG66" s="79"/>
      <c r="CH66" s="79"/>
      <c r="CI66" s="79"/>
      <c r="CJ66" s="79"/>
      <c r="CK66" s="79"/>
      <c r="CL66" s="79"/>
      <c r="CM66" s="79"/>
      <c r="CN66" s="79"/>
      <c r="CO66" s="79"/>
      <c r="CP66" s="79"/>
      <c r="CQ66" s="79"/>
      <c r="CR66" s="79"/>
      <c r="CS66" s="79"/>
      <c r="CT66" s="79"/>
      <c r="CU66" s="79"/>
      <c r="CV66" s="79"/>
      <c r="CW66" s="79"/>
      <c r="CX66" s="79"/>
      <c r="CY66" s="79"/>
      <c r="CZ66" s="79"/>
      <c r="DA66" s="79"/>
      <c r="DB66" s="79"/>
      <c r="DC66" s="79"/>
      <c r="DD66" s="79"/>
      <c r="DE66" s="79"/>
      <c r="DF66" s="79"/>
      <c r="DG66" s="79"/>
      <c r="DH66" s="79"/>
      <c r="DI66" s="79"/>
      <c r="DJ66" s="79"/>
      <c r="DK66" s="79"/>
      <c r="DL66" s="79"/>
      <c r="DM66" s="79"/>
      <c r="DN66" s="79"/>
      <c r="DO66" s="79"/>
      <c r="DP66" s="79"/>
      <c r="DQ66" s="79"/>
      <c r="DR66" s="79"/>
      <c r="DS66" s="79"/>
      <c r="DT66" s="79"/>
      <c r="DU66" s="79"/>
      <c r="DV66" s="79"/>
      <c r="DW66" s="79"/>
      <c r="DX66" s="79"/>
      <c r="DY66" s="78"/>
    </row>
    <row r="67" spans="1:129" x14ac:dyDescent="0.35">
      <c r="A67" s="42" t="s">
        <v>4743</v>
      </c>
      <c r="B67" s="42" t="s">
        <v>5258</v>
      </c>
      <c r="C67" s="42" t="s">
        <v>138</v>
      </c>
      <c r="D67" s="43" t="s">
        <v>139</v>
      </c>
      <c r="F67" s="44" t="s">
        <v>5259</v>
      </c>
      <c r="G67" s="42" t="s">
        <v>4955</v>
      </c>
      <c r="H67" s="42" t="s">
        <v>68</v>
      </c>
      <c r="I67" s="43" t="s">
        <v>68</v>
      </c>
      <c r="J67" s="43" t="s">
        <v>68</v>
      </c>
      <c r="K67" s="43"/>
      <c r="L67" s="43" t="s">
        <v>69</v>
      </c>
      <c r="M67" s="43">
        <v>3</v>
      </c>
      <c r="N67" s="43">
        <v>3</v>
      </c>
      <c r="O67" s="43" t="s">
        <v>69</v>
      </c>
      <c r="P67" s="43">
        <v>4</v>
      </c>
      <c r="Q67" s="43">
        <v>4</v>
      </c>
      <c r="R67" s="43" t="s">
        <v>69</v>
      </c>
      <c r="S67" s="43">
        <v>5</v>
      </c>
      <c r="T67" s="43">
        <v>5</v>
      </c>
      <c r="U67" s="42" t="s">
        <v>5097</v>
      </c>
      <c r="V67" s="42">
        <v>106.75</v>
      </c>
      <c r="W67" s="42">
        <v>106.75</v>
      </c>
      <c r="X67" s="42" t="s">
        <v>5260</v>
      </c>
      <c r="Y67" s="42" t="s">
        <v>5261</v>
      </c>
      <c r="Z67" s="43" t="s">
        <v>4743</v>
      </c>
      <c r="AA67" s="43" t="s">
        <v>4742</v>
      </c>
      <c r="AC67" s="42" t="s">
        <v>4684</v>
      </c>
      <c r="AD67" s="42" t="s">
        <v>4685</v>
      </c>
      <c r="AE67" s="42" t="s">
        <v>4686</v>
      </c>
      <c r="AF67" s="42" t="s">
        <v>138</v>
      </c>
      <c r="AG67" s="42" t="s">
        <v>4685</v>
      </c>
      <c r="AH67" t="s">
        <v>5097</v>
      </c>
      <c r="AI67" s="42" t="s">
        <v>4959</v>
      </c>
      <c r="AJ67" s="42" t="s">
        <v>5100</v>
      </c>
      <c r="AL67" s="42" t="s">
        <v>5101</v>
      </c>
      <c r="AM67" s="43">
        <v>106.75</v>
      </c>
      <c r="AN67" s="43">
        <v>106.75</v>
      </c>
      <c r="AO67" s="43" t="s">
        <v>70</v>
      </c>
      <c r="AQ67" s="43">
        <v>1</v>
      </c>
      <c r="AR67" s="42" t="s">
        <v>5262</v>
      </c>
      <c r="AU67" s="64"/>
      <c r="AV67" s="64">
        <v>62</v>
      </c>
      <c r="AW67" s="64" t="s">
        <v>4955</v>
      </c>
      <c r="AX67" s="64" t="s">
        <v>4744</v>
      </c>
      <c r="AY67" s="66" t="s">
        <v>478</v>
      </c>
      <c r="AZ67" s="66" t="s">
        <v>138</v>
      </c>
      <c r="BA67" s="64">
        <v>106.75</v>
      </c>
      <c r="BB67" s="64">
        <v>106.75</v>
      </c>
      <c r="BC67" s="64" t="s">
        <v>5260</v>
      </c>
      <c r="BD67" s="64" t="s">
        <v>5261</v>
      </c>
      <c r="BE67" s="64" t="s">
        <v>5260</v>
      </c>
      <c r="BF67" s="64" t="s">
        <v>5261</v>
      </c>
      <c r="BG67" s="64" t="s">
        <v>4963</v>
      </c>
      <c r="BH67" s="64" t="s">
        <v>5097</v>
      </c>
      <c r="BI67" s="64" t="s">
        <v>5259</v>
      </c>
      <c r="BJ67" s="64" t="s">
        <v>4954</v>
      </c>
      <c r="BK67" s="64" t="s">
        <v>474</v>
      </c>
      <c r="BL67" s="64" t="s">
        <v>474</v>
      </c>
      <c r="BM67" s="66" t="s">
        <v>1210</v>
      </c>
      <c r="BN67" s="66" t="s">
        <v>1468</v>
      </c>
      <c r="BO67" s="66" t="s">
        <v>1468</v>
      </c>
      <c r="BP67" s="66" t="s">
        <v>1474</v>
      </c>
      <c r="BQ67" s="66" t="s">
        <v>1479</v>
      </c>
      <c r="BR67" s="64">
        <v>0.15</v>
      </c>
      <c r="BS67" s="64">
        <v>1.6E-2</v>
      </c>
      <c r="BT67" s="66">
        <v>120</v>
      </c>
      <c r="BU67" s="79"/>
      <c r="BV67" s="79"/>
      <c r="BW67" s="79"/>
      <c r="BX67" s="79"/>
      <c r="BY67" s="64">
        <v>0.7</v>
      </c>
      <c r="BZ67" s="79"/>
      <c r="CA67" s="79"/>
      <c r="CB67" s="64" t="s">
        <v>1100</v>
      </c>
      <c r="CC67" s="64" t="s">
        <v>1100</v>
      </c>
      <c r="CD67" s="64" t="s">
        <v>474</v>
      </c>
      <c r="CE67" s="79"/>
      <c r="CF67" s="79"/>
      <c r="CG67" s="79"/>
      <c r="CH67" s="79"/>
      <c r="CI67" s="79"/>
      <c r="CJ67" s="79"/>
      <c r="CK67" s="79"/>
      <c r="CL67" s="79"/>
      <c r="CM67" s="79"/>
      <c r="CN67" s="79"/>
      <c r="CO67" s="79"/>
      <c r="CP67" s="79"/>
      <c r="CQ67" s="79"/>
      <c r="CR67" s="79"/>
      <c r="CS67" s="79"/>
      <c r="CT67" s="79"/>
      <c r="CU67" s="79"/>
      <c r="CV67" s="79"/>
      <c r="CW67" s="79"/>
      <c r="CX67" s="79"/>
      <c r="CY67" s="79"/>
      <c r="CZ67" s="79"/>
      <c r="DA67" s="79"/>
      <c r="DB67" s="79"/>
      <c r="DC67" s="79"/>
      <c r="DD67" s="79"/>
      <c r="DE67" s="79"/>
      <c r="DF67" s="79"/>
      <c r="DG67" s="79"/>
      <c r="DH67" s="79"/>
      <c r="DI67" s="79"/>
      <c r="DJ67" s="79"/>
      <c r="DK67" s="79"/>
      <c r="DL67" s="79"/>
      <c r="DM67" s="79"/>
      <c r="DN67" s="79"/>
      <c r="DO67" s="79"/>
      <c r="DP67" s="79"/>
      <c r="DQ67" s="79"/>
      <c r="DR67" s="79"/>
      <c r="DS67" s="79"/>
      <c r="DT67" s="79"/>
      <c r="DU67" s="79"/>
      <c r="DV67" s="79"/>
      <c r="DW67" s="79"/>
      <c r="DX67" s="79"/>
      <c r="DY67" s="78"/>
    </row>
    <row r="68" spans="1:129" x14ac:dyDescent="0.35">
      <c r="A68" s="42" t="s">
        <v>4743</v>
      </c>
      <c r="B68" s="42" t="s">
        <v>5263</v>
      </c>
      <c r="C68" s="42" t="s">
        <v>138</v>
      </c>
      <c r="D68" s="43" t="s">
        <v>139</v>
      </c>
      <c r="F68" s="44" t="s">
        <v>5264</v>
      </c>
      <c r="G68" s="42" t="s">
        <v>4955</v>
      </c>
      <c r="H68" s="42" t="s">
        <v>68</v>
      </c>
      <c r="I68" s="43" t="s">
        <v>68</v>
      </c>
      <c r="J68" s="43" t="s">
        <v>68</v>
      </c>
      <c r="K68" s="43"/>
      <c r="L68" s="43" t="s">
        <v>69</v>
      </c>
      <c r="M68" s="43">
        <v>3</v>
      </c>
      <c r="N68" s="43">
        <v>3</v>
      </c>
      <c r="O68" s="43" t="s">
        <v>69</v>
      </c>
      <c r="P68" s="43">
        <v>4</v>
      </c>
      <c r="Q68" s="43">
        <v>4</v>
      </c>
      <c r="R68" s="43" t="s">
        <v>69</v>
      </c>
      <c r="S68" s="43">
        <v>5</v>
      </c>
      <c r="T68" s="43">
        <v>5</v>
      </c>
      <c r="U68" s="42" t="s">
        <v>5097</v>
      </c>
      <c r="V68" s="42">
        <v>106.75</v>
      </c>
      <c r="W68" s="42">
        <v>106.75</v>
      </c>
      <c r="X68" s="42" t="s">
        <v>5265</v>
      </c>
      <c r="Y68" s="42" t="s">
        <v>5266</v>
      </c>
      <c r="Z68" s="43" t="s">
        <v>4743</v>
      </c>
      <c r="AA68" s="43" t="s">
        <v>4742</v>
      </c>
      <c r="AC68" s="42" t="s">
        <v>4684</v>
      </c>
      <c r="AD68" s="42" t="s">
        <v>4685</v>
      </c>
      <c r="AE68" s="42" t="s">
        <v>4686</v>
      </c>
      <c r="AF68" s="42" t="s">
        <v>138</v>
      </c>
      <c r="AG68" s="42" t="s">
        <v>4685</v>
      </c>
      <c r="AH68" t="s">
        <v>5097</v>
      </c>
      <c r="AI68" s="42" t="s">
        <v>4959</v>
      </c>
      <c r="AJ68" s="42" t="s">
        <v>5100</v>
      </c>
      <c r="AL68" s="42" t="s">
        <v>5101</v>
      </c>
      <c r="AM68" s="43">
        <v>106.75</v>
      </c>
      <c r="AN68" s="43">
        <v>106.75</v>
      </c>
      <c r="AO68" s="43" t="s">
        <v>70</v>
      </c>
      <c r="AQ68" s="43">
        <v>1</v>
      </c>
      <c r="AR68" s="42" t="s">
        <v>5267</v>
      </c>
      <c r="AU68" s="64"/>
      <c r="AV68" s="64">
        <v>62</v>
      </c>
      <c r="AW68" s="64" t="s">
        <v>4955</v>
      </c>
      <c r="AX68" s="64" t="s">
        <v>4744</v>
      </c>
      <c r="AY68" s="66" t="s">
        <v>478</v>
      </c>
      <c r="AZ68" s="66" t="s">
        <v>138</v>
      </c>
      <c r="BA68" s="64">
        <v>106.75</v>
      </c>
      <c r="BB68" s="64">
        <v>106.75</v>
      </c>
      <c r="BC68" s="64" t="s">
        <v>5265</v>
      </c>
      <c r="BD68" s="64" t="s">
        <v>5266</v>
      </c>
      <c r="BE68" s="64" t="s">
        <v>5265</v>
      </c>
      <c r="BF68" s="64" t="s">
        <v>5266</v>
      </c>
      <c r="BG68" s="64" t="s">
        <v>4963</v>
      </c>
      <c r="BH68" s="64" t="s">
        <v>5097</v>
      </c>
      <c r="BI68" s="64" t="s">
        <v>5264</v>
      </c>
      <c r="BJ68" s="64" t="s">
        <v>4954</v>
      </c>
      <c r="BK68" s="64" t="s">
        <v>474</v>
      </c>
      <c r="BL68" s="64" t="s">
        <v>474</v>
      </c>
      <c r="BM68" s="66" t="s">
        <v>1210</v>
      </c>
      <c r="BN68" s="66" t="s">
        <v>1468</v>
      </c>
      <c r="BO68" s="66" t="s">
        <v>1468</v>
      </c>
      <c r="BP68" s="66" t="s">
        <v>1474</v>
      </c>
      <c r="BQ68" s="66" t="s">
        <v>1479</v>
      </c>
      <c r="BR68" s="64">
        <v>0.15</v>
      </c>
      <c r="BS68" s="64">
        <v>1.6E-2</v>
      </c>
      <c r="BT68" s="66">
        <v>120</v>
      </c>
      <c r="BU68" s="79"/>
      <c r="BV68" s="79"/>
      <c r="BW68" s="79"/>
      <c r="BX68" s="79"/>
      <c r="BY68" s="64">
        <v>0.7</v>
      </c>
      <c r="BZ68" s="79"/>
      <c r="CA68" s="79"/>
      <c r="CB68" s="64" t="s">
        <v>1100</v>
      </c>
      <c r="CC68" s="64" t="s">
        <v>1100</v>
      </c>
      <c r="CD68" s="64" t="s">
        <v>474</v>
      </c>
      <c r="CE68" s="79"/>
      <c r="CF68" s="79"/>
      <c r="CG68" s="79"/>
      <c r="CH68" s="79"/>
      <c r="CI68" s="79"/>
      <c r="CJ68" s="79"/>
      <c r="CK68" s="79"/>
      <c r="CL68" s="79"/>
      <c r="CM68" s="79"/>
      <c r="CN68" s="79"/>
      <c r="CO68" s="79"/>
      <c r="CP68" s="79"/>
      <c r="CQ68" s="79"/>
      <c r="CR68" s="79"/>
      <c r="CS68" s="79"/>
      <c r="CT68" s="79"/>
      <c r="CU68" s="79"/>
      <c r="CV68" s="79"/>
      <c r="CW68" s="79"/>
      <c r="CX68" s="79"/>
      <c r="CY68" s="79"/>
      <c r="CZ68" s="79"/>
      <c r="DA68" s="79"/>
      <c r="DB68" s="79"/>
      <c r="DC68" s="79"/>
      <c r="DD68" s="79"/>
      <c r="DE68" s="79"/>
      <c r="DF68" s="79"/>
      <c r="DG68" s="79"/>
      <c r="DH68" s="79"/>
      <c r="DI68" s="79"/>
      <c r="DJ68" s="79"/>
      <c r="DK68" s="79"/>
      <c r="DL68" s="79"/>
      <c r="DM68" s="79"/>
      <c r="DN68" s="79"/>
      <c r="DO68" s="79"/>
      <c r="DP68" s="79"/>
      <c r="DQ68" s="79"/>
      <c r="DR68" s="79"/>
      <c r="DS68" s="79"/>
      <c r="DT68" s="79"/>
      <c r="DU68" s="79"/>
      <c r="DV68" s="79"/>
      <c r="DW68" s="79"/>
      <c r="DX68" s="79"/>
      <c r="DY68" s="78"/>
    </row>
    <row r="69" spans="1:129" x14ac:dyDescent="0.35">
      <c r="A69" s="42" t="s">
        <v>4743</v>
      </c>
      <c r="B69" s="42" t="s">
        <v>5268</v>
      </c>
      <c r="C69" s="42" t="s">
        <v>138</v>
      </c>
      <c r="D69" s="43" t="s">
        <v>139</v>
      </c>
      <c r="F69" s="44" t="s">
        <v>5269</v>
      </c>
      <c r="G69" s="42" t="s">
        <v>4955</v>
      </c>
      <c r="H69" s="42" t="s">
        <v>68</v>
      </c>
      <c r="I69" s="43" t="s">
        <v>68</v>
      </c>
      <c r="J69" s="43" t="s">
        <v>68</v>
      </c>
      <c r="K69" s="43"/>
      <c r="L69" s="43" t="s">
        <v>69</v>
      </c>
      <c r="M69" s="43">
        <v>3</v>
      </c>
      <c r="N69" s="43">
        <v>3</v>
      </c>
      <c r="O69" s="43" t="s">
        <v>69</v>
      </c>
      <c r="P69" s="43">
        <v>4</v>
      </c>
      <c r="Q69" s="43">
        <v>4</v>
      </c>
      <c r="R69" s="43" t="s">
        <v>69</v>
      </c>
      <c r="S69" s="43">
        <v>5</v>
      </c>
      <c r="T69" s="43">
        <v>5</v>
      </c>
      <c r="U69" s="42" t="s">
        <v>5097</v>
      </c>
      <c r="V69" s="42">
        <v>106.75</v>
      </c>
      <c r="W69" s="42">
        <v>106.75</v>
      </c>
      <c r="X69" s="42" t="s">
        <v>5270</v>
      </c>
      <c r="Y69" s="42" t="s">
        <v>5271</v>
      </c>
      <c r="Z69" s="43" t="s">
        <v>4743</v>
      </c>
      <c r="AA69" s="43" t="s">
        <v>4742</v>
      </c>
      <c r="AC69" s="42" t="s">
        <v>4684</v>
      </c>
      <c r="AD69" s="42" t="s">
        <v>4685</v>
      </c>
      <c r="AE69" s="42" t="s">
        <v>4686</v>
      </c>
      <c r="AF69" s="42" t="s">
        <v>138</v>
      </c>
      <c r="AG69" s="42" t="s">
        <v>4685</v>
      </c>
      <c r="AH69" t="s">
        <v>5097</v>
      </c>
      <c r="AI69" s="42" t="s">
        <v>4959</v>
      </c>
      <c r="AJ69" s="42" t="s">
        <v>5100</v>
      </c>
      <c r="AL69" s="42" t="s">
        <v>5101</v>
      </c>
      <c r="AM69" s="43">
        <v>106.75</v>
      </c>
      <c r="AN69" s="43">
        <v>106.75</v>
      </c>
      <c r="AO69" s="43" t="s">
        <v>70</v>
      </c>
      <c r="AQ69" s="43">
        <v>1</v>
      </c>
      <c r="AR69" s="42" t="s">
        <v>5272</v>
      </c>
      <c r="AU69" s="64"/>
      <c r="AV69" s="64">
        <v>62</v>
      </c>
      <c r="AW69" s="64" t="s">
        <v>4955</v>
      </c>
      <c r="AX69" s="64" t="s">
        <v>4744</v>
      </c>
      <c r="AY69" s="66" t="s">
        <v>478</v>
      </c>
      <c r="AZ69" s="66" t="s">
        <v>138</v>
      </c>
      <c r="BA69" s="64">
        <v>106.75</v>
      </c>
      <c r="BB69" s="64">
        <v>106.75</v>
      </c>
      <c r="BC69" s="64" t="s">
        <v>5270</v>
      </c>
      <c r="BD69" s="64" t="s">
        <v>5271</v>
      </c>
      <c r="BE69" s="64" t="s">
        <v>5270</v>
      </c>
      <c r="BF69" s="64" t="s">
        <v>5271</v>
      </c>
      <c r="BG69" s="64" t="s">
        <v>4963</v>
      </c>
      <c r="BH69" s="64" t="s">
        <v>5097</v>
      </c>
      <c r="BI69" s="64" t="s">
        <v>5269</v>
      </c>
      <c r="BJ69" s="64" t="s">
        <v>4954</v>
      </c>
      <c r="BK69" s="64" t="s">
        <v>474</v>
      </c>
      <c r="BL69" s="64" t="s">
        <v>474</v>
      </c>
      <c r="BM69" s="66" t="s">
        <v>1210</v>
      </c>
      <c r="BN69" s="66" t="s">
        <v>1468</v>
      </c>
      <c r="BO69" s="66" t="s">
        <v>1468</v>
      </c>
      <c r="BP69" s="66" t="s">
        <v>1474</v>
      </c>
      <c r="BQ69" s="66" t="s">
        <v>1479</v>
      </c>
      <c r="BR69" s="64">
        <v>0.15</v>
      </c>
      <c r="BS69" s="64">
        <v>1.6E-2</v>
      </c>
      <c r="BT69" s="66">
        <v>120</v>
      </c>
      <c r="BU69" s="79"/>
      <c r="BV69" s="79"/>
      <c r="BW69" s="79"/>
      <c r="BX69" s="79"/>
      <c r="BY69" s="64">
        <v>0.7</v>
      </c>
      <c r="BZ69" s="79"/>
      <c r="CA69" s="79"/>
      <c r="CB69" s="64" t="s">
        <v>1100</v>
      </c>
      <c r="CC69" s="64" t="s">
        <v>1100</v>
      </c>
      <c r="CD69" s="64" t="s">
        <v>474</v>
      </c>
      <c r="CE69" s="79"/>
      <c r="CF69" s="79"/>
      <c r="CG69" s="79"/>
      <c r="CH69" s="79"/>
      <c r="CI69" s="79"/>
      <c r="CJ69" s="79"/>
      <c r="CK69" s="79"/>
      <c r="CL69" s="79"/>
      <c r="CM69" s="79"/>
      <c r="CN69" s="79"/>
      <c r="CO69" s="79"/>
      <c r="CP69" s="79"/>
      <c r="CQ69" s="79"/>
      <c r="CR69" s="79"/>
      <c r="CS69" s="79"/>
      <c r="CT69" s="79"/>
      <c r="CU69" s="79"/>
      <c r="CV69" s="79"/>
      <c r="CW69" s="79"/>
      <c r="CX69" s="79"/>
      <c r="CY69" s="79"/>
      <c r="CZ69" s="79"/>
      <c r="DA69" s="79"/>
      <c r="DB69" s="79"/>
      <c r="DC69" s="79"/>
      <c r="DD69" s="79"/>
      <c r="DE69" s="79"/>
      <c r="DF69" s="79"/>
      <c r="DG69" s="79"/>
      <c r="DH69" s="79"/>
      <c r="DI69" s="79"/>
      <c r="DJ69" s="79"/>
      <c r="DK69" s="79"/>
      <c r="DL69" s="79"/>
      <c r="DM69" s="79"/>
      <c r="DN69" s="79"/>
      <c r="DO69" s="79"/>
      <c r="DP69" s="79"/>
      <c r="DQ69" s="79"/>
      <c r="DR69" s="79"/>
      <c r="DS69" s="79"/>
      <c r="DT69" s="79"/>
      <c r="DU69" s="79"/>
      <c r="DV69" s="79"/>
      <c r="DW69" s="79"/>
      <c r="DX69" s="79"/>
      <c r="DY69" s="78"/>
    </row>
    <row r="70" spans="1:129" x14ac:dyDescent="0.35">
      <c r="A70" s="42" t="s">
        <v>4743</v>
      </c>
      <c r="B70" s="42" t="s">
        <v>5273</v>
      </c>
      <c r="C70" s="42" t="s">
        <v>138</v>
      </c>
      <c r="D70" s="43" t="s">
        <v>139</v>
      </c>
      <c r="F70" s="44" t="s">
        <v>5274</v>
      </c>
      <c r="G70" s="42" t="s">
        <v>4955</v>
      </c>
      <c r="H70" s="42" t="s">
        <v>68</v>
      </c>
      <c r="I70" s="43" t="s">
        <v>68</v>
      </c>
      <c r="J70" s="43" t="s">
        <v>68</v>
      </c>
      <c r="K70" s="43"/>
      <c r="L70" s="43" t="s">
        <v>69</v>
      </c>
      <c r="M70" s="43">
        <v>3</v>
      </c>
      <c r="N70" s="43">
        <v>3</v>
      </c>
      <c r="O70" s="43" t="s">
        <v>69</v>
      </c>
      <c r="P70" s="43">
        <v>4</v>
      </c>
      <c r="Q70" s="43">
        <v>4</v>
      </c>
      <c r="R70" s="43" t="s">
        <v>69</v>
      </c>
      <c r="S70" s="43">
        <v>5</v>
      </c>
      <c r="T70" s="43">
        <v>5</v>
      </c>
      <c r="U70" s="42" t="s">
        <v>5097</v>
      </c>
      <c r="V70" s="42">
        <v>106.75</v>
      </c>
      <c r="W70" s="42">
        <v>106.75</v>
      </c>
      <c r="X70" s="42" t="s">
        <v>5275</v>
      </c>
      <c r="Y70" s="42" t="s">
        <v>5276</v>
      </c>
      <c r="Z70" s="43" t="s">
        <v>4743</v>
      </c>
      <c r="AA70" s="43" t="s">
        <v>4742</v>
      </c>
      <c r="AC70" s="42" t="s">
        <v>4684</v>
      </c>
      <c r="AD70" s="42" t="s">
        <v>4685</v>
      </c>
      <c r="AE70" s="42" t="s">
        <v>4686</v>
      </c>
      <c r="AF70" s="42" t="s">
        <v>138</v>
      </c>
      <c r="AG70" s="42" t="s">
        <v>4685</v>
      </c>
      <c r="AH70" t="s">
        <v>5097</v>
      </c>
      <c r="AI70" s="42" t="s">
        <v>4959</v>
      </c>
      <c r="AJ70" s="42" t="s">
        <v>5100</v>
      </c>
      <c r="AL70" s="42" t="s">
        <v>5101</v>
      </c>
      <c r="AM70" s="43">
        <v>106.75</v>
      </c>
      <c r="AN70" s="43">
        <v>106.75</v>
      </c>
      <c r="AO70" s="43" t="s">
        <v>70</v>
      </c>
      <c r="AQ70" s="43">
        <v>1</v>
      </c>
      <c r="AR70" s="42" t="s">
        <v>5277</v>
      </c>
      <c r="AU70" s="64"/>
      <c r="AV70" s="64">
        <v>62</v>
      </c>
      <c r="AW70" s="64" t="s">
        <v>4955</v>
      </c>
      <c r="AX70" s="64" t="s">
        <v>4744</v>
      </c>
      <c r="AY70" s="66" t="s">
        <v>478</v>
      </c>
      <c r="AZ70" s="66" t="s">
        <v>138</v>
      </c>
      <c r="BA70" s="64">
        <v>106.75</v>
      </c>
      <c r="BB70" s="64">
        <v>106.75</v>
      </c>
      <c r="BC70" s="64" t="s">
        <v>5275</v>
      </c>
      <c r="BD70" s="64" t="s">
        <v>5276</v>
      </c>
      <c r="BE70" s="64" t="s">
        <v>5275</v>
      </c>
      <c r="BF70" s="64" t="s">
        <v>5276</v>
      </c>
      <c r="BG70" s="64" t="s">
        <v>4963</v>
      </c>
      <c r="BH70" s="64" t="s">
        <v>5097</v>
      </c>
      <c r="BI70" s="64" t="s">
        <v>5274</v>
      </c>
      <c r="BJ70" s="64" t="s">
        <v>4954</v>
      </c>
      <c r="BK70" s="64" t="s">
        <v>474</v>
      </c>
      <c r="BL70" s="64" t="s">
        <v>474</v>
      </c>
      <c r="BM70" s="66" t="s">
        <v>1210</v>
      </c>
      <c r="BN70" s="66" t="s">
        <v>1468</v>
      </c>
      <c r="BO70" s="66" t="s">
        <v>1468</v>
      </c>
      <c r="BP70" s="66" t="s">
        <v>1474</v>
      </c>
      <c r="BQ70" s="66" t="s">
        <v>1479</v>
      </c>
      <c r="BR70" s="64">
        <v>0.15</v>
      </c>
      <c r="BS70" s="64">
        <v>1.6E-2</v>
      </c>
      <c r="BT70" s="66">
        <v>120</v>
      </c>
      <c r="BU70" s="79"/>
      <c r="BV70" s="79"/>
      <c r="BW70" s="79"/>
      <c r="BX70" s="79"/>
      <c r="BY70" s="64">
        <v>0.7</v>
      </c>
      <c r="BZ70" s="79"/>
      <c r="CA70" s="79"/>
      <c r="CB70" s="64" t="s">
        <v>1100</v>
      </c>
      <c r="CC70" s="64" t="s">
        <v>1100</v>
      </c>
      <c r="CD70" s="64" t="s">
        <v>474</v>
      </c>
      <c r="CE70" s="79"/>
      <c r="CF70" s="79"/>
      <c r="CG70" s="79"/>
      <c r="CH70" s="79"/>
      <c r="CI70" s="79"/>
      <c r="CJ70" s="79"/>
      <c r="CK70" s="79"/>
      <c r="CL70" s="79"/>
      <c r="CM70" s="79"/>
      <c r="CN70" s="79"/>
      <c r="CO70" s="79"/>
      <c r="CP70" s="79"/>
      <c r="CQ70" s="79"/>
      <c r="CR70" s="79"/>
      <c r="CS70" s="79"/>
      <c r="CT70" s="79"/>
      <c r="CU70" s="79"/>
      <c r="CV70" s="79"/>
      <c r="CW70" s="79"/>
      <c r="CX70" s="79"/>
      <c r="CY70" s="79"/>
      <c r="CZ70" s="79"/>
      <c r="DA70" s="79"/>
      <c r="DB70" s="79"/>
      <c r="DC70" s="79"/>
      <c r="DD70" s="79"/>
      <c r="DE70" s="79"/>
      <c r="DF70" s="79"/>
      <c r="DG70" s="79"/>
      <c r="DH70" s="79"/>
      <c r="DI70" s="79"/>
      <c r="DJ70" s="79"/>
      <c r="DK70" s="79"/>
      <c r="DL70" s="79"/>
      <c r="DM70" s="79"/>
      <c r="DN70" s="79"/>
      <c r="DO70" s="79"/>
      <c r="DP70" s="79"/>
      <c r="DQ70" s="79"/>
      <c r="DR70" s="79"/>
      <c r="DS70" s="79"/>
      <c r="DT70" s="79"/>
      <c r="DU70" s="79"/>
      <c r="DV70" s="79"/>
      <c r="DW70" s="79"/>
      <c r="DX70" s="79"/>
      <c r="DY70" s="78"/>
    </row>
    <row r="71" spans="1:129" x14ac:dyDescent="0.35">
      <c r="A71" s="42" t="s">
        <v>4743</v>
      </c>
      <c r="B71" s="42" t="s">
        <v>5278</v>
      </c>
      <c r="C71" s="42" t="s">
        <v>138</v>
      </c>
      <c r="D71" s="43" t="s">
        <v>139</v>
      </c>
      <c r="F71" s="44" t="s">
        <v>5279</v>
      </c>
      <c r="G71" s="42" t="s">
        <v>4955</v>
      </c>
      <c r="H71" s="42" t="s">
        <v>68</v>
      </c>
      <c r="I71" s="43" t="s">
        <v>68</v>
      </c>
      <c r="J71" s="43" t="s">
        <v>68</v>
      </c>
      <c r="K71" s="43"/>
      <c r="L71" s="43" t="s">
        <v>69</v>
      </c>
      <c r="M71" s="43">
        <v>3</v>
      </c>
      <c r="N71" s="43">
        <v>3</v>
      </c>
      <c r="O71" s="43" t="s">
        <v>69</v>
      </c>
      <c r="P71" s="43">
        <v>4</v>
      </c>
      <c r="Q71" s="43">
        <v>4</v>
      </c>
      <c r="R71" s="43" t="s">
        <v>69</v>
      </c>
      <c r="S71" s="43">
        <v>5</v>
      </c>
      <c r="T71" s="43">
        <v>5</v>
      </c>
      <c r="U71" s="42" t="s">
        <v>5097</v>
      </c>
      <c r="V71" s="42">
        <v>106.75</v>
      </c>
      <c r="W71" s="42">
        <v>106.75</v>
      </c>
      <c r="X71" s="42" t="s">
        <v>5280</v>
      </c>
      <c r="Y71" s="42" t="s">
        <v>5281</v>
      </c>
      <c r="Z71" s="43" t="s">
        <v>4743</v>
      </c>
      <c r="AA71" s="43" t="s">
        <v>4742</v>
      </c>
      <c r="AC71" s="42" t="s">
        <v>4684</v>
      </c>
      <c r="AD71" s="42" t="s">
        <v>4685</v>
      </c>
      <c r="AE71" s="42" t="s">
        <v>4686</v>
      </c>
      <c r="AF71" s="42" t="s">
        <v>138</v>
      </c>
      <c r="AG71" s="42" t="s">
        <v>4685</v>
      </c>
      <c r="AH71" t="s">
        <v>5097</v>
      </c>
      <c r="AI71" s="42" t="s">
        <v>4959</v>
      </c>
      <c r="AJ71" s="42" t="s">
        <v>5100</v>
      </c>
      <c r="AL71" s="42" t="s">
        <v>5101</v>
      </c>
      <c r="AM71" s="43">
        <v>106.75</v>
      </c>
      <c r="AN71" s="43">
        <v>106.75</v>
      </c>
      <c r="AO71" s="43" t="s">
        <v>70</v>
      </c>
      <c r="AQ71" s="43">
        <v>1</v>
      </c>
      <c r="AR71" s="42" t="s">
        <v>5282</v>
      </c>
      <c r="AU71" s="64"/>
      <c r="AV71" s="64">
        <v>62</v>
      </c>
      <c r="AW71" s="64" t="s">
        <v>4955</v>
      </c>
      <c r="AX71" s="64" t="s">
        <v>4744</v>
      </c>
      <c r="AY71" s="66" t="s">
        <v>478</v>
      </c>
      <c r="AZ71" s="66" t="s">
        <v>138</v>
      </c>
      <c r="BA71" s="64">
        <v>106.75</v>
      </c>
      <c r="BB71" s="64">
        <v>106.75</v>
      </c>
      <c r="BC71" s="64" t="s">
        <v>5280</v>
      </c>
      <c r="BD71" s="64" t="s">
        <v>5281</v>
      </c>
      <c r="BE71" s="64" t="s">
        <v>5280</v>
      </c>
      <c r="BF71" s="64" t="s">
        <v>5281</v>
      </c>
      <c r="BG71" s="64" t="s">
        <v>4963</v>
      </c>
      <c r="BH71" s="64" t="s">
        <v>5097</v>
      </c>
      <c r="BI71" s="64" t="s">
        <v>5279</v>
      </c>
      <c r="BJ71" s="64" t="s">
        <v>4954</v>
      </c>
      <c r="BK71" s="64" t="s">
        <v>474</v>
      </c>
      <c r="BL71" s="64" t="s">
        <v>474</v>
      </c>
      <c r="BM71" s="66" t="s">
        <v>1210</v>
      </c>
      <c r="BN71" s="66" t="s">
        <v>1468</v>
      </c>
      <c r="BO71" s="66" t="s">
        <v>1468</v>
      </c>
      <c r="BP71" s="66" t="s">
        <v>1474</v>
      </c>
      <c r="BQ71" s="66" t="s">
        <v>1479</v>
      </c>
      <c r="BR71" s="64">
        <v>0.15</v>
      </c>
      <c r="BS71" s="64">
        <v>1.6E-2</v>
      </c>
      <c r="BT71" s="66">
        <v>120</v>
      </c>
      <c r="BU71" s="79"/>
      <c r="BV71" s="79"/>
      <c r="BW71" s="79"/>
      <c r="BX71" s="79"/>
      <c r="BY71" s="64">
        <v>0.7</v>
      </c>
      <c r="BZ71" s="79"/>
      <c r="CA71" s="79"/>
      <c r="CB71" s="64" t="s">
        <v>1100</v>
      </c>
      <c r="CC71" s="64" t="s">
        <v>1100</v>
      </c>
      <c r="CD71" s="64" t="s">
        <v>474</v>
      </c>
      <c r="CE71" s="79"/>
      <c r="CF71" s="79"/>
      <c r="CG71" s="79"/>
      <c r="CH71" s="79"/>
      <c r="CI71" s="79"/>
      <c r="CJ71" s="79"/>
      <c r="CK71" s="79"/>
      <c r="CL71" s="79"/>
      <c r="CM71" s="79"/>
      <c r="CN71" s="79"/>
      <c r="CO71" s="79"/>
      <c r="CP71" s="79"/>
      <c r="CQ71" s="79"/>
      <c r="CR71" s="79"/>
      <c r="CS71" s="79"/>
      <c r="CT71" s="79"/>
      <c r="CU71" s="79"/>
      <c r="CV71" s="79"/>
      <c r="CW71" s="79"/>
      <c r="CX71" s="79"/>
      <c r="CY71" s="79"/>
      <c r="CZ71" s="79"/>
      <c r="DA71" s="79"/>
      <c r="DB71" s="79"/>
      <c r="DC71" s="79"/>
      <c r="DD71" s="79"/>
      <c r="DE71" s="79"/>
      <c r="DF71" s="79"/>
      <c r="DG71" s="79"/>
      <c r="DH71" s="79"/>
      <c r="DI71" s="79"/>
      <c r="DJ71" s="79"/>
      <c r="DK71" s="79"/>
      <c r="DL71" s="79"/>
      <c r="DM71" s="79"/>
      <c r="DN71" s="79"/>
      <c r="DO71" s="79"/>
      <c r="DP71" s="79"/>
      <c r="DQ71" s="79"/>
      <c r="DR71" s="79"/>
      <c r="DS71" s="79"/>
      <c r="DT71" s="79"/>
      <c r="DU71" s="79"/>
      <c r="DV71" s="79"/>
      <c r="DW71" s="79"/>
      <c r="DX71" s="79"/>
      <c r="DY71" s="78"/>
    </row>
    <row r="72" spans="1:129" x14ac:dyDescent="0.35">
      <c r="A72" s="42" t="s">
        <v>4743</v>
      </c>
      <c r="B72" s="42" t="s">
        <v>5283</v>
      </c>
      <c r="C72" s="42" t="s">
        <v>138</v>
      </c>
      <c r="D72" s="43" t="s">
        <v>139</v>
      </c>
      <c r="F72" s="44" t="s">
        <v>5284</v>
      </c>
      <c r="G72" s="42" t="s">
        <v>4955</v>
      </c>
      <c r="H72" s="42" t="s">
        <v>68</v>
      </c>
      <c r="I72" s="43" t="s">
        <v>68</v>
      </c>
      <c r="J72" s="43" t="s">
        <v>68</v>
      </c>
      <c r="K72" s="43"/>
      <c r="L72" s="43" t="s">
        <v>69</v>
      </c>
      <c r="M72" s="43">
        <v>3</v>
      </c>
      <c r="N72" s="43">
        <v>3</v>
      </c>
      <c r="O72" s="43" t="s">
        <v>69</v>
      </c>
      <c r="P72" s="43">
        <v>4</v>
      </c>
      <c r="Q72" s="43">
        <v>4</v>
      </c>
      <c r="R72" s="43" t="s">
        <v>69</v>
      </c>
      <c r="S72" s="43">
        <v>5</v>
      </c>
      <c r="T72" s="43">
        <v>5</v>
      </c>
      <c r="U72" s="42" t="s">
        <v>5097</v>
      </c>
      <c r="V72" s="42">
        <v>106.75</v>
      </c>
      <c r="W72" s="42">
        <v>106.75</v>
      </c>
      <c r="X72" s="42" t="s">
        <v>5285</v>
      </c>
      <c r="Y72" s="42" t="s">
        <v>5286</v>
      </c>
      <c r="Z72" s="43" t="s">
        <v>4743</v>
      </c>
      <c r="AA72" s="43" t="s">
        <v>4742</v>
      </c>
      <c r="AC72" s="42" t="s">
        <v>4684</v>
      </c>
      <c r="AD72" s="42" t="s">
        <v>4685</v>
      </c>
      <c r="AE72" s="42" t="s">
        <v>4686</v>
      </c>
      <c r="AF72" s="42" t="s">
        <v>138</v>
      </c>
      <c r="AG72" s="42" t="s">
        <v>4685</v>
      </c>
      <c r="AH72" t="s">
        <v>5097</v>
      </c>
      <c r="AI72" s="42" t="s">
        <v>4959</v>
      </c>
      <c r="AJ72" s="42" t="s">
        <v>5100</v>
      </c>
      <c r="AL72" s="42" t="s">
        <v>5101</v>
      </c>
      <c r="AM72" s="43">
        <v>106.75</v>
      </c>
      <c r="AN72" s="43">
        <v>106.75</v>
      </c>
      <c r="AO72" s="43" t="s">
        <v>70</v>
      </c>
      <c r="AQ72" s="43">
        <v>1</v>
      </c>
      <c r="AR72" s="42" t="s">
        <v>5287</v>
      </c>
      <c r="AU72" s="64"/>
      <c r="AV72" s="64">
        <v>62</v>
      </c>
      <c r="AW72" s="64" t="s">
        <v>4955</v>
      </c>
      <c r="AX72" s="64" t="s">
        <v>4744</v>
      </c>
      <c r="AY72" s="66" t="s">
        <v>478</v>
      </c>
      <c r="AZ72" s="66" t="s">
        <v>138</v>
      </c>
      <c r="BA72" s="64">
        <v>106.75</v>
      </c>
      <c r="BB72" s="64">
        <v>106.75</v>
      </c>
      <c r="BC72" s="64" t="s">
        <v>5285</v>
      </c>
      <c r="BD72" s="64" t="s">
        <v>5286</v>
      </c>
      <c r="BE72" s="64" t="s">
        <v>5285</v>
      </c>
      <c r="BF72" s="64" t="s">
        <v>5286</v>
      </c>
      <c r="BG72" s="64" t="s">
        <v>4963</v>
      </c>
      <c r="BH72" s="64" t="s">
        <v>5097</v>
      </c>
      <c r="BI72" s="64" t="s">
        <v>5284</v>
      </c>
      <c r="BJ72" s="64" t="s">
        <v>4954</v>
      </c>
      <c r="BK72" s="64" t="s">
        <v>474</v>
      </c>
      <c r="BL72" s="64" t="s">
        <v>474</v>
      </c>
      <c r="BM72" s="66" t="s">
        <v>1210</v>
      </c>
      <c r="BN72" s="66" t="s">
        <v>1468</v>
      </c>
      <c r="BO72" s="66" t="s">
        <v>1468</v>
      </c>
      <c r="BP72" s="66" t="s">
        <v>1474</v>
      </c>
      <c r="BQ72" s="66" t="s">
        <v>1479</v>
      </c>
      <c r="BR72" s="64">
        <v>0.15</v>
      </c>
      <c r="BS72" s="64">
        <v>1.6E-2</v>
      </c>
      <c r="BT72" s="66">
        <v>120</v>
      </c>
      <c r="BU72" s="79"/>
      <c r="BV72" s="79"/>
      <c r="BW72" s="79"/>
      <c r="BX72" s="79"/>
      <c r="BY72" s="64">
        <v>0.7</v>
      </c>
      <c r="BZ72" s="79"/>
      <c r="CA72" s="79"/>
      <c r="CB72" s="64" t="s">
        <v>1100</v>
      </c>
      <c r="CC72" s="64" t="s">
        <v>1100</v>
      </c>
      <c r="CD72" s="64" t="s">
        <v>474</v>
      </c>
      <c r="CE72" s="79"/>
      <c r="CF72" s="79"/>
      <c r="CG72" s="79"/>
      <c r="CH72" s="79"/>
      <c r="CI72" s="79"/>
      <c r="CJ72" s="79"/>
      <c r="CK72" s="79"/>
      <c r="CL72" s="79"/>
      <c r="CM72" s="79"/>
      <c r="CN72" s="79"/>
      <c r="CO72" s="79"/>
      <c r="CP72" s="79"/>
      <c r="CQ72" s="79"/>
      <c r="CR72" s="79"/>
      <c r="CS72" s="79"/>
      <c r="CT72" s="79"/>
      <c r="CU72" s="79"/>
      <c r="CV72" s="79"/>
      <c r="CW72" s="79"/>
      <c r="CX72" s="79"/>
      <c r="CY72" s="79"/>
      <c r="CZ72" s="79"/>
      <c r="DA72" s="79"/>
      <c r="DB72" s="79"/>
      <c r="DC72" s="79"/>
      <c r="DD72" s="79"/>
      <c r="DE72" s="79"/>
      <c r="DF72" s="79"/>
      <c r="DG72" s="79"/>
      <c r="DH72" s="79"/>
      <c r="DI72" s="79"/>
      <c r="DJ72" s="79"/>
      <c r="DK72" s="79"/>
      <c r="DL72" s="79"/>
      <c r="DM72" s="79"/>
      <c r="DN72" s="79"/>
      <c r="DO72" s="79"/>
      <c r="DP72" s="79"/>
      <c r="DQ72" s="79"/>
      <c r="DR72" s="79"/>
      <c r="DS72" s="79"/>
      <c r="DT72" s="79"/>
      <c r="DU72" s="79"/>
      <c r="DV72" s="79"/>
      <c r="DW72" s="79"/>
      <c r="DX72" s="79"/>
      <c r="DY72" s="78"/>
    </row>
    <row r="73" spans="1:129" x14ac:dyDescent="0.35">
      <c r="A73" s="42" t="s">
        <v>4743</v>
      </c>
      <c r="B73" s="42" t="s">
        <v>5288</v>
      </c>
      <c r="C73" s="42" t="s">
        <v>138</v>
      </c>
      <c r="D73" s="43" t="s">
        <v>139</v>
      </c>
      <c r="F73" s="44" t="s">
        <v>5289</v>
      </c>
      <c r="G73" s="42" t="s">
        <v>4955</v>
      </c>
      <c r="H73" s="42" t="s">
        <v>68</v>
      </c>
      <c r="I73" s="43" t="s">
        <v>68</v>
      </c>
      <c r="J73" s="43" t="s">
        <v>68</v>
      </c>
      <c r="K73" s="43"/>
      <c r="L73" s="43" t="s">
        <v>69</v>
      </c>
      <c r="M73" s="43">
        <v>3</v>
      </c>
      <c r="N73" s="43">
        <v>3</v>
      </c>
      <c r="O73" s="43" t="s">
        <v>69</v>
      </c>
      <c r="P73" s="43">
        <v>4</v>
      </c>
      <c r="Q73" s="43">
        <v>4</v>
      </c>
      <c r="R73" s="43" t="s">
        <v>69</v>
      </c>
      <c r="S73" s="43">
        <v>5</v>
      </c>
      <c r="T73" s="43">
        <v>5</v>
      </c>
      <c r="U73" s="42" t="s">
        <v>5097</v>
      </c>
      <c r="V73" s="42">
        <v>106.75</v>
      </c>
      <c r="W73" s="42">
        <v>106.75</v>
      </c>
      <c r="X73" s="42" t="s">
        <v>5290</v>
      </c>
      <c r="Y73" s="42" t="s">
        <v>5291</v>
      </c>
      <c r="Z73" s="43" t="s">
        <v>4743</v>
      </c>
      <c r="AA73" s="43" t="s">
        <v>4742</v>
      </c>
      <c r="AC73" s="42" t="s">
        <v>4684</v>
      </c>
      <c r="AD73" s="42" t="s">
        <v>4685</v>
      </c>
      <c r="AE73" s="42" t="s">
        <v>4686</v>
      </c>
      <c r="AF73" s="42" t="s">
        <v>138</v>
      </c>
      <c r="AG73" s="42" t="s">
        <v>4685</v>
      </c>
      <c r="AH73" t="s">
        <v>5097</v>
      </c>
      <c r="AI73" s="42" t="s">
        <v>4959</v>
      </c>
      <c r="AJ73" s="42" t="s">
        <v>5100</v>
      </c>
      <c r="AL73" s="42" t="s">
        <v>5101</v>
      </c>
      <c r="AM73" s="43">
        <v>106.75</v>
      </c>
      <c r="AN73" s="43">
        <v>106.75</v>
      </c>
      <c r="AO73" s="43" t="s">
        <v>70</v>
      </c>
      <c r="AQ73" s="43">
        <v>1</v>
      </c>
      <c r="AR73" s="42" t="s">
        <v>5292</v>
      </c>
      <c r="AU73" s="64"/>
      <c r="AV73" s="64">
        <v>62</v>
      </c>
      <c r="AW73" s="64" t="s">
        <v>4955</v>
      </c>
      <c r="AX73" s="64" t="s">
        <v>4744</v>
      </c>
      <c r="AY73" s="66" t="s">
        <v>478</v>
      </c>
      <c r="AZ73" s="66" t="s">
        <v>138</v>
      </c>
      <c r="BA73" s="64">
        <v>106.75</v>
      </c>
      <c r="BB73" s="64">
        <v>106.75</v>
      </c>
      <c r="BC73" s="64" t="s">
        <v>5290</v>
      </c>
      <c r="BD73" s="64" t="s">
        <v>5291</v>
      </c>
      <c r="BE73" s="64" t="s">
        <v>5290</v>
      </c>
      <c r="BF73" s="64" t="s">
        <v>5291</v>
      </c>
      <c r="BG73" s="64" t="s">
        <v>4963</v>
      </c>
      <c r="BH73" s="64" t="s">
        <v>5097</v>
      </c>
      <c r="BI73" s="64" t="s">
        <v>5289</v>
      </c>
      <c r="BJ73" s="64" t="s">
        <v>4954</v>
      </c>
      <c r="BK73" s="64" t="s">
        <v>474</v>
      </c>
      <c r="BL73" s="64" t="s">
        <v>474</v>
      </c>
      <c r="BM73" s="66" t="s">
        <v>1210</v>
      </c>
      <c r="BN73" s="66" t="s">
        <v>1468</v>
      </c>
      <c r="BO73" s="66" t="s">
        <v>1468</v>
      </c>
      <c r="BP73" s="66" t="s">
        <v>1474</v>
      </c>
      <c r="BQ73" s="66" t="s">
        <v>1479</v>
      </c>
      <c r="BR73" s="64">
        <v>0.15</v>
      </c>
      <c r="BS73" s="64">
        <v>1.6E-2</v>
      </c>
      <c r="BT73" s="66">
        <v>120</v>
      </c>
      <c r="BU73" s="79"/>
      <c r="BV73" s="79"/>
      <c r="BW73" s="79"/>
      <c r="BX73" s="79"/>
      <c r="BY73" s="64">
        <v>0.7</v>
      </c>
      <c r="BZ73" s="79"/>
      <c r="CA73" s="79"/>
      <c r="CB73" s="64" t="s">
        <v>1100</v>
      </c>
      <c r="CC73" s="64" t="s">
        <v>1100</v>
      </c>
      <c r="CD73" s="64" t="s">
        <v>474</v>
      </c>
      <c r="CE73" s="79"/>
      <c r="CF73" s="79"/>
      <c r="CG73" s="79"/>
      <c r="CH73" s="79"/>
      <c r="CI73" s="79"/>
      <c r="CJ73" s="79"/>
      <c r="CK73" s="79"/>
      <c r="CL73" s="79"/>
      <c r="CM73" s="79"/>
      <c r="CN73" s="79"/>
      <c r="CO73" s="79"/>
      <c r="CP73" s="79"/>
      <c r="CQ73" s="79"/>
      <c r="CR73" s="79"/>
      <c r="CS73" s="79"/>
      <c r="CT73" s="79"/>
      <c r="CU73" s="79"/>
      <c r="CV73" s="79"/>
      <c r="CW73" s="79"/>
      <c r="CX73" s="79"/>
      <c r="CY73" s="79"/>
      <c r="CZ73" s="79"/>
      <c r="DA73" s="79"/>
      <c r="DB73" s="79"/>
      <c r="DC73" s="79"/>
      <c r="DD73" s="79"/>
      <c r="DE73" s="79"/>
      <c r="DF73" s="79"/>
      <c r="DG73" s="79"/>
      <c r="DH73" s="79"/>
      <c r="DI73" s="79"/>
      <c r="DJ73" s="79"/>
      <c r="DK73" s="79"/>
      <c r="DL73" s="79"/>
      <c r="DM73" s="79"/>
      <c r="DN73" s="79"/>
      <c r="DO73" s="79"/>
      <c r="DP73" s="79"/>
      <c r="DQ73" s="79"/>
      <c r="DR73" s="79"/>
      <c r="DS73" s="79"/>
      <c r="DT73" s="79"/>
      <c r="DU73" s="79"/>
      <c r="DV73" s="79"/>
      <c r="DW73" s="79"/>
      <c r="DX73" s="79"/>
      <c r="DY73" s="78"/>
    </row>
    <row r="74" spans="1:129" x14ac:dyDescent="0.35">
      <c r="A74" s="42" t="s">
        <v>4743</v>
      </c>
      <c r="B74" s="42" t="s">
        <v>5293</v>
      </c>
      <c r="C74" s="42" t="s">
        <v>138</v>
      </c>
      <c r="D74" s="43" t="s">
        <v>139</v>
      </c>
      <c r="F74" s="44" t="s">
        <v>5294</v>
      </c>
      <c r="G74" s="42" t="s">
        <v>4955</v>
      </c>
      <c r="H74" s="42" t="s">
        <v>68</v>
      </c>
      <c r="I74" s="43" t="s">
        <v>68</v>
      </c>
      <c r="J74" s="43" t="s">
        <v>68</v>
      </c>
      <c r="K74" s="43"/>
      <c r="L74" s="43" t="s">
        <v>69</v>
      </c>
      <c r="M74" s="43">
        <v>3</v>
      </c>
      <c r="N74" s="43">
        <v>3</v>
      </c>
      <c r="O74" s="43" t="s">
        <v>69</v>
      </c>
      <c r="P74" s="43">
        <v>4</v>
      </c>
      <c r="Q74" s="43">
        <v>4</v>
      </c>
      <c r="R74" s="43" t="s">
        <v>69</v>
      </c>
      <c r="S74" s="43">
        <v>5</v>
      </c>
      <c r="T74" s="43">
        <v>5</v>
      </c>
      <c r="U74" s="42" t="s">
        <v>5097</v>
      </c>
      <c r="V74" s="42">
        <v>106.75</v>
      </c>
      <c r="W74" s="42">
        <v>106.75</v>
      </c>
      <c r="X74" s="42" t="s">
        <v>5295</v>
      </c>
      <c r="Y74" s="42" t="s">
        <v>5296</v>
      </c>
      <c r="Z74" s="43" t="s">
        <v>4743</v>
      </c>
      <c r="AA74" s="43" t="s">
        <v>4742</v>
      </c>
      <c r="AC74" s="42" t="s">
        <v>4684</v>
      </c>
      <c r="AD74" s="42" t="s">
        <v>4685</v>
      </c>
      <c r="AE74" s="42" t="s">
        <v>4686</v>
      </c>
      <c r="AF74" s="42" t="s">
        <v>138</v>
      </c>
      <c r="AG74" s="42" t="s">
        <v>4685</v>
      </c>
      <c r="AH74" t="s">
        <v>5097</v>
      </c>
      <c r="AI74" s="42" t="s">
        <v>4959</v>
      </c>
      <c r="AJ74" s="42" t="s">
        <v>5100</v>
      </c>
      <c r="AL74" s="42" t="s">
        <v>5101</v>
      </c>
      <c r="AM74" s="43">
        <v>106.75</v>
      </c>
      <c r="AN74" s="43">
        <v>106.75</v>
      </c>
      <c r="AO74" s="43" t="s">
        <v>70</v>
      </c>
      <c r="AQ74" s="43">
        <v>1</v>
      </c>
      <c r="AR74" s="42" t="s">
        <v>5297</v>
      </c>
      <c r="AU74" s="64"/>
      <c r="AV74" s="64">
        <v>62</v>
      </c>
      <c r="AW74" s="64" t="s">
        <v>4955</v>
      </c>
      <c r="AX74" s="64" t="s">
        <v>4744</v>
      </c>
      <c r="AY74" s="66" t="s">
        <v>478</v>
      </c>
      <c r="AZ74" s="66" t="s">
        <v>138</v>
      </c>
      <c r="BA74" s="64">
        <v>106.75</v>
      </c>
      <c r="BB74" s="64">
        <v>106.75</v>
      </c>
      <c r="BC74" s="64" t="s">
        <v>5295</v>
      </c>
      <c r="BD74" s="64" t="s">
        <v>5296</v>
      </c>
      <c r="BE74" s="64" t="s">
        <v>5295</v>
      </c>
      <c r="BF74" s="64" t="s">
        <v>5296</v>
      </c>
      <c r="BG74" s="64" t="s">
        <v>4963</v>
      </c>
      <c r="BH74" s="64" t="s">
        <v>5097</v>
      </c>
      <c r="BI74" s="64" t="s">
        <v>5294</v>
      </c>
      <c r="BJ74" s="64" t="s">
        <v>4954</v>
      </c>
      <c r="BK74" s="64" t="s">
        <v>474</v>
      </c>
      <c r="BL74" s="64" t="s">
        <v>474</v>
      </c>
      <c r="BM74" s="66" t="s">
        <v>1210</v>
      </c>
      <c r="BN74" s="66" t="s">
        <v>1468</v>
      </c>
      <c r="BO74" s="66" t="s">
        <v>1468</v>
      </c>
      <c r="BP74" s="66" t="s">
        <v>1474</v>
      </c>
      <c r="BQ74" s="66" t="s">
        <v>1479</v>
      </c>
      <c r="BR74" s="64">
        <v>0.15</v>
      </c>
      <c r="BS74" s="64">
        <v>1.6E-2</v>
      </c>
      <c r="BT74" s="66">
        <v>120</v>
      </c>
      <c r="BU74" s="79"/>
      <c r="BV74" s="79"/>
      <c r="BW74" s="79"/>
      <c r="BX74" s="79"/>
      <c r="BY74" s="64">
        <v>0.7</v>
      </c>
      <c r="BZ74" s="79"/>
      <c r="CA74" s="79"/>
      <c r="CB74" s="64" t="s">
        <v>1100</v>
      </c>
      <c r="CC74" s="64" t="s">
        <v>1100</v>
      </c>
      <c r="CD74" s="64" t="s">
        <v>474</v>
      </c>
      <c r="CE74" s="79"/>
      <c r="CF74" s="79"/>
      <c r="CG74" s="79"/>
      <c r="CH74" s="79"/>
      <c r="CI74" s="79"/>
      <c r="CJ74" s="79"/>
      <c r="CK74" s="79"/>
      <c r="CL74" s="79"/>
      <c r="CM74" s="79"/>
      <c r="CN74" s="79"/>
      <c r="CO74" s="79"/>
      <c r="CP74" s="79"/>
      <c r="CQ74" s="79"/>
      <c r="CR74" s="79"/>
      <c r="CS74" s="79"/>
      <c r="CT74" s="79"/>
      <c r="CU74" s="79"/>
      <c r="CV74" s="79"/>
      <c r="CW74" s="79"/>
      <c r="CX74" s="79"/>
      <c r="CY74" s="79"/>
      <c r="CZ74" s="79"/>
      <c r="DA74" s="79"/>
      <c r="DB74" s="79"/>
      <c r="DC74" s="79"/>
      <c r="DD74" s="79"/>
      <c r="DE74" s="79"/>
      <c r="DF74" s="79"/>
      <c r="DG74" s="79"/>
      <c r="DH74" s="79"/>
      <c r="DI74" s="79"/>
      <c r="DJ74" s="79"/>
      <c r="DK74" s="79"/>
      <c r="DL74" s="79"/>
      <c r="DM74" s="79"/>
      <c r="DN74" s="79"/>
      <c r="DO74" s="79"/>
      <c r="DP74" s="79"/>
      <c r="DQ74" s="79"/>
      <c r="DR74" s="79"/>
      <c r="DS74" s="79"/>
      <c r="DT74" s="79"/>
      <c r="DU74" s="79"/>
      <c r="DV74" s="79"/>
      <c r="DW74" s="79"/>
      <c r="DX74" s="79"/>
      <c r="DY74" s="78"/>
    </row>
    <row r="75" spans="1:129" x14ac:dyDescent="0.35">
      <c r="A75" s="42" t="s">
        <v>4743</v>
      </c>
      <c r="B75" s="42" t="s">
        <v>5298</v>
      </c>
      <c r="C75" s="42" t="s">
        <v>138</v>
      </c>
      <c r="D75" s="43" t="s">
        <v>139</v>
      </c>
      <c r="F75" s="44" t="s">
        <v>5299</v>
      </c>
      <c r="G75" s="42" t="s">
        <v>4955</v>
      </c>
      <c r="H75" s="42" t="s">
        <v>68</v>
      </c>
      <c r="I75" s="43" t="s">
        <v>68</v>
      </c>
      <c r="J75" s="43" t="s">
        <v>68</v>
      </c>
      <c r="K75" s="43"/>
      <c r="L75" s="43" t="s">
        <v>69</v>
      </c>
      <c r="M75" s="43">
        <v>3</v>
      </c>
      <c r="N75" s="43">
        <v>3</v>
      </c>
      <c r="O75" s="43" t="s">
        <v>69</v>
      </c>
      <c r="P75" s="43">
        <v>4</v>
      </c>
      <c r="Q75" s="43">
        <v>4</v>
      </c>
      <c r="R75" s="43" t="s">
        <v>69</v>
      </c>
      <c r="S75" s="43">
        <v>5</v>
      </c>
      <c r="T75" s="43">
        <v>5</v>
      </c>
      <c r="U75" s="42" t="s">
        <v>5097</v>
      </c>
      <c r="V75" s="42">
        <v>106.75</v>
      </c>
      <c r="W75" s="42">
        <v>106.75</v>
      </c>
      <c r="X75" s="42" t="s">
        <v>5300</v>
      </c>
      <c r="Y75" s="42" t="s">
        <v>5301</v>
      </c>
      <c r="Z75" s="43" t="s">
        <v>4743</v>
      </c>
      <c r="AA75" s="43" t="s">
        <v>4742</v>
      </c>
      <c r="AC75" s="42" t="s">
        <v>4684</v>
      </c>
      <c r="AD75" s="42" t="s">
        <v>4685</v>
      </c>
      <c r="AE75" s="42" t="s">
        <v>4686</v>
      </c>
      <c r="AF75" s="42" t="s">
        <v>138</v>
      </c>
      <c r="AG75" s="42" t="s">
        <v>4685</v>
      </c>
      <c r="AH75" t="s">
        <v>5097</v>
      </c>
      <c r="AI75" s="42" t="s">
        <v>4959</v>
      </c>
      <c r="AJ75" s="42" t="s">
        <v>5100</v>
      </c>
      <c r="AL75" s="42" t="s">
        <v>5101</v>
      </c>
      <c r="AM75" s="43">
        <v>106.75</v>
      </c>
      <c r="AN75" s="43">
        <v>106.75</v>
      </c>
      <c r="AO75" s="43" t="s">
        <v>70</v>
      </c>
      <c r="AQ75" s="43">
        <v>1</v>
      </c>
      <c r="AR75" s="42" t="s">
        <v>5302</v>
      </c>
      <c r="AU75" s="64"/>
      <c r="AV75" s="64">
        <v>62</v>
      </c>
      <c r="AW75" s="64" t="s">
        <v>4955</v>
      </c>
      <c r="AX75" s="64" t="s">
        <v>4744</v>
      </c>
      <c r="AY75" s="66" t="s">
        <v>478</v>
      </c>
      <c r="AZ75" s="66" t="s">
        <v>138</v>
      </c>
      <c r="BA75" s="64">
        <v>106.75</v>
      </c>
      <c r="BB75" s="64">
        <v>106.75</v>
      </c>
      <c r="BC75" s="64" t="s">
        <v>5300</v>
      </c>
      <c r="BD75" s="64" t="s">
        <v>5301</v>
      </c>
      <c r="BE75" s="64" t="s">
        <v>5300</v>
      </c>
      <c r="BF75" s="64" t="s">
        <v>5301</v>
      </c>
      <c r="BG75" s="64" t="s">
        <v>4963</v>
      </c>
      <c r="BH75" s="64" t="s">
        <v>5097</v>
      </c>
      <c r="BI75" s="64" t="s">
        <v>5299</v>
      </c>
      <c r="BJ75" s="64" t="s">
        <v>4954</v>
      </c>
      <c r="BK75" s="64" t="s">
        <v>474</v>
      </c>
      <c r="BL75" s="64" t="s">
        <v>474</v>
      </c>
      <c r="BM75" s="66" t="s">
        <v>1210</v>
      </c>
      <c r="BN75" s="66" t="s">
        <v>1468</v>
      </c>
      <c r="BO75" s="66" t="s">
        <v>1468</v>
      </c>
      <c r="BP75" s="66" t="s">
        <v>1474</v>
      </c>
      <c r="BQ75" s="66" t="s">
        <v>1479</v>
      </c>
      <c r="BR75" s="64">
        <v>0.15</v>
      </c>
      <c r="BS75" s="64">
        <v>1.6E-2</v>
      </c>
      <c r="BT75" s="66">
        <v>120</v>
      </c>
      <c r="BU75" s="79"/>
      <c r="BV75" s="79"/>
      <c r="BW75" s="79"/>
      <c r="BX75" s="79"/>
      <c r="BY75" s="64">
        <v>0.7</v>
      </c>
      <c r="BZ75" s="79"/>
      <c r="CA75" s="79"/>
      <c r="CB75" s="64" t="s">
        <v>1100</v>
      </c>
      <c r="CC75" s="64" t="s">
        <v>1100</v>
      </c>
      <c r="CD75" s="64" t="s">
        <v>474</v>
      </c>
      <c r="CE75" s="79"/>
      <c r="CF75" s="79"/>
      <c r="CG75" s="79"/>
      <c r="CH75" s="79"/>
      <c r="CI75" s="79"/>
      <c r="CJ75" s="79"/>
      <c r="CK75" s="79"/>
      <c r="CL75" s="79"/>
      <c r="CM75" s="79"/>
      <c r="CN75" s="79"/>
      <c r="CO75" s="79"/>
      <c r="CP75" s="79"/>
      <c r="CQ75" s="79"/>
      <c r="CR75" s="79"/>
      <c r="CS75" s="79"/>
      <c r="CT75" s="79"/>
      <c r="CU75" s="79"/>
      <c r="CV75" s="79"/>
      <c r="CW75" s="79"/>
      <c r="CX75" s="79"/>
      <c r="CY75" s="79"/>
      <c r="CZ75" s="79"/>
      <c r="DA75" s="79"/>
      <c r="DB75" s="79"/>
      <c r="DC75" s="79"/>
      <c r="DD75" s="79"/>
      <c r="DE75" s="79"/>
      <c r="DF75" s="79"/>
      <c r="DG75" s="79"/>
      <c r="DH75" s="79"/>
      <c r="DI75" s="79"/>
      <c r="DJ75" s="79"/>
      <c r="DK75" s="79"/>
      <c r="DL75" s="79"/>
      <c r="DM75" s="79"/>
      <c r="DN75" s="79"/>
      <c r="DO75" s="79"/>
      <c r="DP75" s="79"/>
      <c r="DQ75" s="79"/>
      <c r="DR75" s="79"/>
      <c r="DS75" s="79"/>
      <c r="DT75" s="79"/>
      <c r="DU75" s="79"/>
      <c r="DV75" s="79"/>
      <c r="DW75" s="79"/>
      <c r="DX75" s="79"/>
      <c r="DY75" s="78"/>
    </row>
    <row r="76" spans="1:129" x14ac:dyDescent="0.35">
      <c r="A76" s="42" t="s">
        <v>4743</v>
      </c>
      <c r="B76" s="42" t="s">
        <v>4793</v>
      </c>
      <c r="C76" s="42" t="s">
        <v>144</v>
      </c>
      <c r="D76" s="43" t="s">
        <v>145</v>
      </c>
      <c r="F76" s="44" t="s">
        <v>4792</v>
      </c>
      <c r="G76" s="42" t="s">
        <v>4955</v>
      </c>
      <c r="H76" s="42" t="s">
        <v>68</v>
      </c>
      <c r="I76" s="43" t="s">
        <v>68</v>
      </c>
      <c r="J76" s="43" t="s">
        <v>68</v>
      </c>
      <c r="K76" s="43"/>
      <c r="L76" s="43" t="s">
        <v>69</v>
      </c>
      <c r="M76" s="43">
        <v>3</v>
      </c>
      <c r="N76" s="43">
        <v>3</v>
      </c>
      <c r="O76" s="43" t="s">
        <v>69</v>
      </c>
      <c r="P76" s="43">
        <v>4</v>
      </c>
      <c r="Q76" s="43">
        <v>4</v>
      </c>
      <c r="R76" s="43" t="s">
        <v>69</v>
      </c>
      <c r="S76" s="43">
        <v>5</v>
      </c>
      <c r="T76" s="43">
        <v>5</v>
      </c>
      <c r="U76" s="42" t="s">
        <v>5054</v>
      </c>
      <c r="V76" s="42">
        <v>106.73</v>
      </c>
      <c r="W76" s="42">
        <v>106.73</v>
      </c>
      <c r="X76" s="42" t="s">
        <v>5303</v>
      </c>
      <c r="Y76" s="42" t="s">
        <v>5304</v>
      </c>
      <c r="Z76" s="43" t="s">
        <v>4743</v>
      </c>
      <c r="AA76" s="43" t="s">
        <v>4742</v>
      </c>
      <c r="AC76" s="42" t="s">
        <v>4684</v>
      </c>
      <c r="AD76" s="42" t="s">
        <v>4685</v>
      </c>
      <c r="AE76" s="42" t="s">
        <v>4686</v>
      </c>
      <c r="AF76" s="42" t="s">
        <v>144</v>
      </c>
      <c r="AG76" s="42" t="s">
        <v>4685</v>
      </c>
      <c r="AH76" t="s">
        <v>5054</v>
      </c>
      <c r="AI76" s="42" t="s">
        <v>4959</v>
      </c>
      <c r="AJ76" s="42" t="s">
        <v>5057</v>
      </c>
      <c r="AL76" s="42" t="s">
        <v>5058</v>
      </c>
      <c r="AM76" s="43">
        <v>106.73</v>
      </c>
      <c r="AN76" s="43">
        <v>106.73</v>
      </c>
      <c r="AO76" s="43" t="s">
        <v>70</v>
      </c>
      <c r="AQ76" s="43">
        <v>1</v>
      </c>
      <c r="AR76" s="42" t="s">
        <v>5305</v>
      </c>
      <c r="AU76" s="64"/>
      <c r="AV76" s="64">
        <v>62</v>
      </c>
      <c r="AW76" s="64" t="s">
        <v>4955</v>
      </c>
      <c r="AX76" s="64" t="s">
        <v>4744</v>
      </c>
      <c r="AY76" s="66" t="s">
        <v>478</v>
      </c>
      <c r="AZ76" s="66" t="s">
        <v>144</v>
      </c>
      <c r="BA76" s="64">
        <v>106.73</v>
      </c>
      <c r="BB76" s="64">
        <v>106.73</v>
      </c>
      <c r="BC76" s="64" t="s">
        <v>5303</v>
      </c>
      <c r="BD76" s="64" t="s">
        <v>5304</v>
      </c>
      <c r="BE76" s="64" t="s">
        <v>5303</v>
      </c>
      <c r="BF76" s="64" t="s">
        <v>5304</v>
      </c>
      <c r="BG76" s="64" t="s">
        <v>4963</v>
      </c>
      <c r="BH76" s="64" t="s">
        <v>5054</v>
      </c>
      <c r="BI76" s="64" t="s">
        <v>4792</v>
      </c>
      <c r="BJ76" s="64" t="s">
        <v>4954</v>
      </c>
      <c r="BK76" s="64" t="s">
        <v>474</v>
      </c>
      <c r="BL76" s="64" t="s">
        <v>474</v>
      </c>
      <c r="BM76" s="66" t="s">
        <v>1211</v>
      </c>
      <c r="BN76" s="66" t="s">
        <v>1468</v>
      </c>
      <c r="BO76" s="66" t="s">
        <v>1468</v>
      </c>
      <c r="BP76" s="66" t="s">
        <v>1474</v>
      </c>
      <c r="BQ76" s="66" t="s">
        <v>1479</v>
      </c>
      <c r="BR76" s="79"/>
      <c r="BS76" s="64">
        <v>0.01</v>
      </c>
      <c r="BT76" s="66">
        <v>120</v>
      </c>
      <c r="BU76" s="79"/>
      <c r="BV76" s="79"/>
      <c r="BW76" s="79"/>
      <c r="BX76" s="79"/>
      <c r="BY76" s="79"/>
      <c r="BZ76" s="79"/>
      <c r="CA76" s="79"/>
      <c r="CB76" s="79"/>
      <c r="CC76" s="79"/>
      <c r="CD76" s="64" t="s">
        <v>474</v>
      </c>
      <c r="CE76" s="79"/>
      <c r="CF76" s="79"/>
      <c r="CG76" s="79"/>
      <c r="CH76" s="79"/>
      <c r="CI76" s="79"/>
      <c r="CJ76" s="79"/>
      <c r="CK76" s="79"/>
      <c r="CL76" s="79"/>
      <c r="CM76" s="79"/>
      <c r="CN76" s="79"/>
      <c r="CO76" s="79"/>
      <c r="CP76" s="79"/>
      <c r="CQ76" s="79"/>
      <c r="CR76" s="64" t="s">
        <v>4745</v>
      </c>
      <c r="CS76" s="79"/>
      <c r="CT76" s="79"/>
      <c r="CU76" s="79"/>
      <c r="CV76" s="79"/>
      <c r="CW76" s="79"/>
      <c r="CX76" s="79"/>
      <c r="CY76" s="79"/>
      <c r="CZ76" s="79"/>
      <c r="DA76" s="79"/>
      <c r="DB76" s="79"/>
      <c r="DC76" s="79"/>
      <c r="DD76" s="79"/>
      <c r="DE76" s="79"/>
      <c r="DF76" s="79"/>
      <c r="DG76" s="66" t="s">
        <v>4741</v>
      </c>
      <c r="DH76" s="66"/>
      <c r="DI76" s="66" t="s">
        <v>1750</v>
      </c>
      <c r="DJ76" s="79"/>
      <c r="DK76" s="79"/>
      <c r="DL76" s="79"/>
      <c r="DM76" s="79"/>
      <c r="DN76" s="79"/>
      <c r="DO76" s="79"/>
      <c r="DP76" s="79"/>
      <c r="DQ76" s="79"/>
      <c r="DR76" s="79"/>
      <c r="DS76" s="79"/>
      <c r="DT76" s="79"/>
      <c r="DU76" s="79"/>
      <c r="DV76" s="64">
        <v>1.28</v>
      </c>
      <c r="DW76" s="79"/>
      <c r="DX76" s="64">
        <v>1.28</v>
      </c>
      <c r="DY76" s="78"/>
    </row>
    <row r="77" spans="1:129" x14ac:dyDescent="0.35">
      <c r="A77" s="42" t="s">
        <v>4743</v>
      </c>
      <c r="B77" s="42" t="s">
        <v>4795</v>
      </c>
      <c r="C77" s="42" t="s">
        <v>144</v>
      </c>
      <c r="D77" s="43" t="s">
        <v>145</v>
      </c>
      <c r="F77" s="44" t="s">
        <v>4794</v>
      </c>
      <c r="G77" s="42" t="s">
        <v>4955</v>
      </c>
      <c r="H77" s="42" t="s">
        <v>68</v>
      </c>
      <c r="I77" s="43" t="s">
        <v>68</v>
      </c>
      <c r="J77" s="43" t="s">
        <v>68</v>
      </c>
      <c r="K77" s="43"/>
      <c r="L77" s="43" t="s">
        <v>69</v>
      </c>
      <c r="M77" s="43">
        <v>3</v>
      </c>
      <c r="N77" s="43">
        <v>3</v>
      </c>
      <c r="O77" s="43" t="s">
        <v>69</v>
      </c>
      <c r="P77" s="43">
        <v>4</v>
      </c>
      <c r="Q77" s="43">
        <v>4</v>
      </c>
      <c r="R77" s="43" t="s">
        <v>69</v>
      </c>
      <c r="S77" s="43">
        <v>5</v>
      </c>
      <c r="T77" s="43">
        <v>5</v>
      </c>
      <c r="U77" s="42" t="s">
        <v>5054</v>
      </c>
      <c r="V77" s="42">
        <v>106.75</v>
      </c>
      <c r="W77" s="42">
        <v>106.75</v>
      </c>
      <c r="X77" s="42" t="s">
        <v>5306</v>
      </c>
      <c r="Y77" s="42" t="s">
        <v>5307</v>
      </c>
      <c r="Z77" s="43" t="s">
        <v>4743</v>
      </c>
      <c r="AA77" s="43" t="s">
        <v>4742</v>
      </c>
      <c r="AC77" s="42" t="s">
        <v>4684</v>
      </c>
      <c r="AD77" s="42" t="s">
        <v>4685</v>
      </c>
      <c r="AE77" s="42" t="s">
        <v>4686</v>
      </c>
      <c r="AF77" s="42" t="s">
        <v>144</v>
      </c>
      <c r="AG77" s="42" t="s">
        <v>4685</v>
      </c>
      <c r="AH77" t="s">
        <v>5054</v>
      </c>
      <c r="AI77" s="42" t="s">
        <v>4959</v>
      </c>
      <c r="AJ77" s="42" t="s">
        <v>5057</v>
      </c>
      <c r="AL77" s="42" t="s">
        <v>5058</v>
      </c>
      <c r="AM77" s="43">
        <v>106.75</v>
      </c>
      <c r="AN77" s="43">
        <v>106.75</v>
      </c>
      <c r="AO77" s="43" t="s">
        <v>70</v>
      </c>
      <c r="AQ77" s="43">
        <v>1</v>
      </c>
      <c r="AR77" s="42" t="s">
        <v>5308</v>
      </c>
      <c r="AU77" s="64"/>
      <c r="AV77" s="64">
        <v>62</v>
      </c>
      <c r="AW77" s="64" t="s">
        <v>4955</v>
      </c>
      <c r="AX77" s="64" t="s">
        <v>4744</v>
      </c>
      <c r="AY77" s="66" t="s">
        <v>478</v>
      </c>
      <c r="AZ77" s="66" t="s">
        <v>144</v>
      </c>
      <c r="BA77" s="64">
        <v>106.75</v>
      </c>
      <c r="BB77" s="64">
        <v>106.75</v>
      </c>
      <c r="BC77" s="64" t="s">
        <v>5306</v>
      </c>
      <c r="BD77" s="64" t="s">
        <v>5307</v>
      </c>
      <c r="BE77" s="64" t="s">
        <v>5306</v>
      </c>
      <c r="BF77" s="64" t="s">
        <v>5307</v>
      </c>
      <c r="BG77" s="64" t="s">
        <v>4963</v>
      </c>
      <c r="BH77" s="64" t="s">
        <v>5054</v>
      </c>
      <c r="BI77" s="64" t="s">
        <v>4794</v>
      </c>
      <c r="BJ77" s="64" t="s">
        <v>4954</v>
      </c>
      <c r="BK77" s="64" t="s">
        <v>474</v>
      </c>
      <c r="BL77" s="64" t="s">
        <v>474</v>
      </c>
      <c r="BM77" s="66" t="s">
        <v>1211</v>
      </c>
      <c r="BN77" s="66" t="s">
        <v>1468</v>
      </c>
      <c r="BO77" s="66" t="s">
        <v>1468</v>
      </c>
      <c r="BP77" s="66" t="s">
        <v>1474</v>
      </c>
      <c r="BQ77" s="66" t="s">
        <v>1479</v>
      </c>
      <c r="BR77" s="79"/>
      <c r="BS77" s="64">
        <v>0.01</v>
      </c>
      <c r="BT77" s="66">
        <v>120</v>
      </c>
      <c r="BU77" s="79"/>
      <c r="BV77" s="79"/>
      <c r="BW77" s="79"/>
      <c r="BX77" s="79"/>
      <c r="BY77" s="79"/>
      <c r="BZ77" s="79"/>
      <c r="CA77" s="79"/>
      <c r="CB77" s="79"/>
      <c r="CC77" s="79"/>
      <c r="CD77" s="64" t="s">
        <v>474</v>
      </c>
      <c r="CE77" s="79"/>
      <c r="CF77" s="79"/>
      <c r="CG77" s="79"/>
      <c r="CH77" s="79"/>
      <c r="CI77" s="79"/>
      <c r="CJ77" s="79"/>
      <c r="CK77" s="79"/>
      <c r="CL77" s="79"/>
      <c r="CM77" s="79"/>
      <c r="CN77" s="79"/>
      <c r="CO77" s="79"/>
      <c r="CP77" s="79"/>
      <c r="CQ77" s="79"/>
      <c r="CR77" s="64" t="s">
        <v>4745</v>
      </c>
      <c r="CS77" s="79"/>
      <c r="CT77" s="79"/>
      <c r="CU77" s="79"/>
      <c r="CV77" s="79"/>
      <c r="CW77" s="79"/>
      <c r="CX77" s="79"/>
      <c r="CY77" s="79"/>
      <c r="CZ77" s="79"/>
      <c r="DA77" s="79"/>
      <c r="DB77" s="79"/>
      <c r="DC77" s="79"/>
      <c r="DD77" s="79"/>
      <c r="DE77" s="79"/>
      <c r="DF77" s="79"/>
      <c r="DG77" s="66" t="s">
        <v>4741</v>
      </c>
      <c r="DH77" s="66"/>
      <c r="DI77" s="66" t="s">
        <v>1750</v>
      </c>
      <c r="DJ77" s="79"/>
      <c r="DK77" s="79"/>
      <c r="DL77" s="79"/>
      <c r="DM77" s="79"/>
      <c r="DN77" s="79"/>
      <c r="DO77" s="79"/>
      <c r="DP77" s="79"/>
      <c r="DQ77" s="79"/>
      <c r="DR77" s="79"/>
      <c r="DS77" s="79"/>
      <c r="DT77" s="79"/>
      <c r="DU77" s="79"/>
      <c r="DV77" s="64">
        <v>1.28</v>
      </c>
      <c r="DW77" s="79"/>
      <c r="DX77" s="64">
        <v>1.28</v>
      </c>
      <c r="DY77" s="78"/>
    </row>
    <row r="78" spans="1:129" x14ac:dyDescent="0.35">
      <c r="A78" s="42" t="s">
        <v>4743</v>
      </c>
      <c r="B78" s="42" t="s">
        <v>4797</v>
      </c>
      <c r="C78" s="42" t="s">
        <v>150</v>
      </c>
      <c r="D78" s="43" t="s">
        <v>151</v>
      </c>
      <c r="F78" s="44" t="s">
        <v>4796</v>
      </c>
      <c r="G78" s="42" t="s">
        <v>4955</v>
      </c>
      <c r="H78" s="42" t="s">
        <v>68</v>
      </c>
      <c r="I78" s="43" t="s">
        <v>68</v>
      </c>
      <c r="J78" s="43" t="s">
        <v>68</v>
      </c>
      <c r="K78" s="43"/>
      <c r="L78" s="43" t="s">
        <v>69</v>
      </c>
      <c r="M78" s="43">
        <v>3</v>
      </c>
      <c r="N78" s="43">
        <v>3</v>
      </c>
      <c r="O78" s="43" t="s">
        <v>69</v>
      </c>
      <c r="P78" s="43">
        <v>4</v>
      </c>
      <c r="Q78" s="43">
        <v>4</v>
      </c>
      <c r="R78" s="43" t="s">
        <v>69</v>
      </c>
      <c r="S78" s="43">
        <v>5</v>
      </c>
      <c r="T78" s="43">
        <v>5</v>
      </c>
      <c r="U78" s="42" t="s">
        <v>4956</v>
      </c>
      <c r="V78" s="42">
        <v>106.72</v>
      </c>
      <c r="W78" s="42">
        <v>106.73</v>
      </c>
      <c r="X78" s="42" t="s">
        <v>5309</v>
      </c>
      <c r="Y78" s="42" t="s">
        <v>5310</v>
      </c>
      <c r="Z78" s="43" t="s">
        <v>4743</v>
      </c>
      <c r="AA78" s="43" t="s">
        <v>4742</v>
      </c>
      <c r="AC78" s="42" t="s">
        <v>4684</v>
      </c>
      <c r="AD78" s="42" t="s">
        <v>4685</v>
      </c>
      <c r="AE78" s="42" t="s">
        <v>4686</v>
      </c>
      <c r="AF78" s="42" t="s">
        <v>150</v>
      </c>
      <c r="AG78" s="42" t="s">
        <v>4685</v>
      </c>
      <c r="AH78" t="s">
        <v>4956</v>
      </c>
      <c r="AI78" s="42" t="s">
        <v>4959</v>
      </c>
      <c r="AJ78" s="42" t="s">
        <v>4960</v>
      </c>
      <c r="AL78" s="42" t="s">
        <v>4961</v>
      </c>
      <c r="AM78" s="43">
        <v>106.72</v>
      </c>
      <c r="AN78" s="43">
        <v>106.73</v>
      </c>
      <c r="AO78" s="43" t="s">
        <v>70</v>
      </c>
      <c r="AQ78" s="43">
        <v>1</v>
      </c>
      <c r="AR78" s="42" t="s">
        <v>5311</v>
      </c>
      <c r="AU78" s="64"/>
      <c r="AV78" s="64">
        <v>62</v>
      </c>
      <c r="AW78" s="64" t="s">
        <v>4955</v>
      </c>
      <c r="AX78" s="64" t="s">
        <v>4744</v>
      </c>
      <c r="AY78" s="66" t="s">
        <v>478</v>
      </c>
      <c r="AZ78" s="66" t="s">
        <v>150</v>
      </c>
      <c r="BA78" s="64">
        <v>106.72</v>
      </c>
      <c r="BB78" s="64">
        <v>106.73</v>
      </c>
      <c r="BC78" s="64" t="s">
        <v>5309</v>
      </c>
      <c r="BD78" s="64" t="s">
        <v>5310</v>
      </c>
      <c r="BE78" s="64" t="s">
        <v>5309</v>
      </c>
      <c r="BF78" s="64" t="s">
        <v>5310</v>
      </c>
      <c r="BG78" s="64" t="s">
        <v>4963</v>
      </c>
      <c r="BH78" s="64" t="s">
        <v>4956</v>
      </c>
      <c r="BI78" s="64" t="s">
        <v>4796</v>
      </c>
      <c r="BJ78" s="64" t="s">
        <v>4954</v>
      </c>
      <c r="BK78" s="64" t="s">
        <v>474</v>
      </c>
      <c r="BL78" s="64" t="s">
        <v>474</v>
      </c>
      <c r="BM78" s="66" t="s">
        <v>1217</v>
      </c>
      <c r="BN78" s="66" t="s">
        <v>1468</v>
      </c>
      <c r="BO78" s="66" t="s">
        <v>1468</v>
      </c>
      <c r="BP78" s="66" t="s">
        <v>1474</v>
      </c>
      <c r="BQ78" s="66" t="s">
        <v>1479</v>
      </c>
      <c r="BR78" s="64">
        <v>3.2650000000000001</v>
      </c>
      <c r="BS78" s="64">
        <v>18.350000000000001</v>
      </c>
      <c r="BT78" s="66">
        <v>120</v>
      </c>
      <c r="BU78" s="79"/>
      <c r="BV78" s="79"/>
      <c r="BW78" s="79"/>
      <c r="BX78" s="79"/>
      <c r="BY78" s="79"/>
      <c r="BZ78" s="79"/>
      <c r="CA78" s="64"/>
      <c r="CB78" s="64">
        <v>119.69591280653951</v>
      </c>
      <c r="CC78" s="64">
        <v>0.27979872611464968</v>
      </c>
      <c r="CD78" s="64" t="s">
        <v>474</v>
      </c>
      <c r="CE78" s="79"/>
      <c r="CF78" s="79"/>
      <c r="CG78" s="79"/>
      <c r="CH78" s="64">
        <v>1.05</v>
      </c>
      <c r="CI78" s="79"/>
      <c r="CJ78" s="79"/>
      <c r="CK78" s="79"/>
      <c r="CL78" s="79"/>
      <c r="CM78" s="79"/>
      <c r="CN78" s="79"/>
      <c r="CO78" s="79"/>
      <c r="CP78" s="79"/>
      <c r="CQ78" s="79"/>
      <c r="CR78" s="79"/>
      <c r="CS78" s="79"/>
      <c r="CT78" s="79"/>
      <c r="CU78" s="79"/>
      <c r="CV78" s="79"/>
      <c r="CW78" s="79"/>
      <c r="CX78" s="79"/>
      <c r="CY78" s="79"/>
      <c r="CZ78" s="79"/>
      <c r="DA78" s="79"/>
      <c r="DB78" s="79"/>
      <c r="DC78" s="79"/>
      <c r="DD78" s="79"/>
      <c r="DE78" s="79"/>
      <c r="DF78" s="79"/>
      <c r="DG78" s="79"/>
      <c r="DH78" s="79"/>
      <c r="DI78" s="79"/>
      <c r="DJ78" s="79"/>
      <c r="DK78" s="79"/>
      <c r="DL78" s="79"/>
      <c r="DM78" s="79"/>
      <c r="DN78" s="79"/>
      <c r="DO78" s="79"/>
      <c r="DP78" s="79"/>
      <c r="DQ78" s="79"/>
      <c r="DR78" s="66" t="s">
        <v>1873</v>
      </c>
      <c r="DS78" s="66"/>
      <c r="DT78" s="79"/>
      <c r="DU78" s="79"/>
      <c r="DV78" s="79"/>
      <c r="DW78" s="79"/>
      <c r="DX78" s="79"/>
      <c r="DY78" s="78"/>
    </row>
    <row r="79" spans="1:129" x14ac:dyDescent="0.35">
      <c r="A79" s="42" t="s">
        <v>4743</v>
      </c>
      <c r="B79" s="42" t="s">
        <v>4799</v>
      </c>
      <c r="C79" s="42" t="s">
        <v>150</v>
      </c>
      <c r="D79" s="43" t="s">
        <v>151</v>
      </c>
      <c r="F79" s="44" t="s">
        <v>4798</v>
      </c>
      <c r="G79" s="42" t="s">
        <v>4955</v>
      </c>
      <c r="H79" s="42" t="s">
        <v>68</v>
      </c>
      <c r="I79" s="43" t="s">
        <v>68</v>
      </c>
      <c r="J79" s="43" t="s">
        <v>68</v>
      </c>
      <c r="K79" s="43"/>
      <c r="L79" s="43" t="s">
        <v>69</v>
      </c>
      <c r="M79" s="43">
        <v>3</v>
      </c>
      <c r="N79" s="43">
        <v>3</v>
      </c>
      <c r="O79" s="43" t="s">
        <v>69</v>
      </c>
      <c r="P79" s="43">
        <v>4</v>
      </c>
      <c r="Q79" s="43">
        <v>4</v>
      </c>
      <c r="R79" s="43" t="s">
        <v>69</v>
      </c>
      <c r="S79" s="43">
        <v>5</v>
      </c>
      <c r="T79" s="43">
        <v>5</v>
      </c>
      <c r="U79" s="42" t="s">
        <v>4956</v>
      </c>
      <c r="V79" s="42">
        <v>106.72</v>
      </c>
      <c r="W79" s="42">
        <v>106.73</v>
      </c>
      <c r="X79" s="42" t="s">
        <v>5312</v>
      </c>
      <c r="Y79" s="42" t="s">
        <v>5313</v>
      </c>
      <c r="Z79" s="43" t="s">
        <v>4743</v>
      </c>
      <c r="AA79" s="43" t="s">
        <v>4742</v>
      </c>
      <c r="AC79" s="42" t="s">
        <v>4684</v>
      </c>
      <c r="AD79" s="42" t="s">
        <v>4685</v>
      </c>
      <c r="AE79" s="42" t="s">
        <v>4686</v>
      </c>
      <c r="AF79" s="42" t="s">
        <v>150</v>
      </c>
      <c r="AG79" s="42" t="s">
        <v>4685</v>
      </c>
      <c r="AH79" t="s">
        <v>4956</v>
      </c>
      <c r="AI79" s="42" t="s">
        <v>4959</v>
      </c>
      <c r="AJ79" s="42" t="s">
        <v>4960</v>
      </c>
      <c r="AL79" s="42" t="s">
        <v>4961</v>
      </c>
      <c r="AM79" s="43">
        <v>106.72</v>
      </c>
      <c r="AN79" s="43">
        <v>106.73</v>
      </c>
      <c r="AO79" s="43" t="s">
        <v>70</v>
      </c>
      <c r="AQ79" s="43">
        <v>1</v>
      </c>
      <c r="AR79" s="42" t="s">
        <v>5314</v>
      </c>
      <c r="AU79" s="64"/>
      <c r="AV79" s="64">
        <v>62</v>
      </c>
      <c r="AW79" s="64" t="s">
        <v>4955</v>
      </c>
      <c r="AX79" s="64" t="s">
        <v>4744</v>
      </c>
      <c r="AY79" s="66" t="s">
        <v>478</v>
      </c>
      <c r="AZ79" s="66" t="s">
        <v>150</v>
      </c>
      <c r="BA79" s="64">
        <v>106.72</v>
      </c>
      <c r="BB79" s="64">
        <v>106.73</v>
      </c>
      <c r="BC79" s="64" t="s">
        <v>5312</v>
      </c>
      <c r="BD79" s="64" t="s">
        <v>5313</v>
      </c>
      <c r="BE79" s="64" t="s">
        <v>5312</v>
      </c>
      <c r="BF79" s="64" t="s">
        <v>5313</v>
      </c>
      <c r="BG79" s="64" t="s">
        <v>4963</v>
      </c>
      <c r="BH79" s="64" t="s">
        <v>4956</v>
      </c>
      <c r="BI79" s="64" t="s">
        <v>4798</v>
      </c>
      <c r="BJ79" s="64" t="s">
        <v>4954</v>
      </c>
      <c r="BK79" s="64" t="s">
        <v>474</v>
      </c>
      <c r="BL79" s="64" t="s">
        <v>474</v>
      </c>
      <c r="BM79" s="66" t="s">
        <v>1217</v>
      </c>
      <c r="BN79" s="66" t="s">
        <v>1468</v>
      </c>
      <c r="BO79" s="66" t="s">
        <v>1468</v>
      </c>
      <c r="BP79" s="66" t="s">
        <v>1474</v>
      </c>
      <c r="BQ79" s="66" t="s">
        <v>1479</v>
      </c>
      <c r="BR79" s="64">
        <v>3</v>
      </c>
      <c r="BS79" s="64">
        <v>7.73</v>
      </c>
      <c r="BT79" s="66">
        <v>120</v>
      </c>
      <c r="BU79" s="79"/>
      <c r="BV79" s="79"/>
      <c r="BW79" s="79"/>
      <c r="BX79" s="79"/>
      <c r="BY79" s="79"/>
      <c r="BZ79" s="79"/>
      <c r="CA79" s="64"/>
      <c r="CB79" s="64">
        <v>132.18628719275549</v>
      </c>
      <c r="CC79" s="64">
        <v>0.1301656050955414</v>
      </c>
      <c r="CD79" s="64" t="s">
        <v>474</v>
      </c>
      <c r="CE79" s="79"/>
      <c r="CF79" s="79"/>
      <c r="CG79" s="79"/>
      <c r="CH79" s="64">
        <v>0.5</v>
      </c>
      <c r="CI79" s="79"/>
      <c r="CJ79" s="79"/>
      <c r="CK79" s="79"/>
      <c r="CL79" s="79"/>
      <c r="CM79" s="79"/>
      <c r="CN79" s="79"/>
      <c r="CO79" s="79"/>
      <c r="CP79" s="79"/>
      <c r="CQ79" s="79"/>
      <c r="CR79" s="79"/>
      <c r="CS79" s="79"/>
      <c r="CT79" s="79"/>
      <c r="CU79" s="79"/>
      <c r="CV79" s="79"/>
      <c r="CW79" s="79"/>
      <c r="CX79" s="79"/>
      <c r="CY79" s="79"/>
      <c r="CZ79" s="79"/>
      <c r="DA79" s="79"/>
      <c r="DB79" s="79"/>
      <c r="DC79" s="79"/>
      <c r="DD79" s="79"/>
      <c r="DE79" s="79"/>
      <c r="DF79" s="79"/>
      <c r="DG79" s="79"/>
      <c r="DH79" s="79"/>
      <c r="DI79" s="79"/>
      <c r="DJ79" s="79"/>
      <c r="DK79" s="79"/>
      <c r="DL79" s="79"/>
      <c r="DM79" s="79"/>
      <c r="DN79" s="79"/>
      <c r="DO79" s="79"/>
      <c r="DP79" s="79"/>
      <c r="DQ79" s="79"/>
      <c r="DR79" s="66" t="s">
        <v>1873</v>
      </c>
      <c r="DS79" s="66"/>
      <c r="DT79" s="79"/>
      <c r="DU79" s="79"/>
      <c r="DV79" s="79"/>
      <c r="DW79" s="79"/>
      <c r="DX79" s="79"/>
      <c r="DY79" s="78"/>
    </row>
    <row r="80" spans="1:129" x14ac:dyDescent="0.35">
      <c r="A80" s="42" t="s">
        <v>4743</v>
      </c>
      <c r="B80" s="42" t="s">
        <v>4801</v>
      </c>
      <c r="C80" s="42" t="s">
        <v>150</v>
      </c>
      <c r="D80" s="43" t="s">
        <v>151</v>
      </c>
      <c r="F80" s="44" t="s">
        <v>4800</v>
      </c>
      <c r="G80" s="42" t="s">
        <v>4955</v>
      </c>
      <c r="H80" s="42" t="s">
        <v>68</v>
      </c>
      <c r="I80" s="43" t="s">
        <v>68</v>
      </c>
      <c r="J80" s="43" t="s">
        <v>68</v>
      </c>
      <c r="K80" s="43"/>
      <c r="L80" s="43" t="s">
        <v>69</v>
      </c>
      <c r="M80" s="43">
        <v>3</v>
      </c>
      <c r="N80" s="43">
        <v>3</v>
      </c>
      <c r="O80" s="43" t="s">
        <v>69</v>
      </c>
      <c r="P80" s="43">
        <v>4</v>
      </c>
      <c r="Q80" s="43">
        <v>4</v>
      </c>
      <c r="R80" s="43" t="s">
        <v>69</v>
      </c>
      <c r="S80" s="43">
        <v>5</v>
      </c>
      <c r="T80" s="43">
        <v>5</v>
      </c>
      <c r="U80" s="42" t="s">
        <v>4956</v>
      </c>
      <c r="V80" s="42">
        <v>106.72</v>
      </c>
      <c r="W80" s="42">
        <v>106.73</v>
      </c>
      <c r="X80" s="42" t="s">
        <v>5315</v>
      </c>
      <c r="Y80" s="42" t="s">
        <v>5316</v>
      </c>
      <c r="Z80" s="43" t="s">
        <v>4743</v>
      </c>
      <c r="AA80" s="43" t="s">
        <v>4742</v>
      </c>
      <c r="AC80" s="42" t="s">
        <v>4684</v>
      </c>
      <c r="AD80" s="42" t="s">
        <v>4685</v>
      </c>
      <c r="AE80" s="42" t="s">
        <v>4686</v>
      </c>
      <c r="AF80" s="42" t="s">
        <v>150</v>
      </c>
      <c r="AG80" s="42" t="s">
        <v>4685</v>
      </c>
      <c r="AH80" t="s">
        <v>4956</v>
      </c>
      <c r="AI80" s="42" t="s">
        <v>4959</v>
      </c>
      <c r="AJ80" s="42" t="s">
        <v>4960</v>
      </c>
      <c r="AL80" s="42" t="s">
        <v>4961</v>
      </c>
      <c r="AM80" s="43">
        <v>106.72</v>
      </c>
      <c r="AN80" s="43">
        <v>106.73</v>
      </c>
      <c r="AO80" s="43" t="s">
        <v>70</v>
      </c>
      <c r="AQ80" s="43">
        <v>1</v>
      </c>
      <c r="AR80" s="42" t="s">
        <v>5317</v>
      </c>
      <c r="AU80" s="64"/>
      <c r="AV80" s="64">
        <v>62</v>
      </c>
      <c r="AW80" s="64" t="s">
        <v>4955</v>
      </c>
      <c r="AX80" s="64" t="s">
        <v>4744</v>
      </c>
      <c r="AY80" s="66" t="s">
        <v>478</v>
      </c>
      <c r="AZ80" s="66" t="s">
        <v>150</v>
      </c>
      <c r="BA80" s="64">
        <v>106.72</v>
      </c>
      <c r="BB80" s="64">
        <v>106.73</v>
      </c>
      <c r="BC80" s="64" t="s">
        <v>5315</v>
      </c>
      <c r="BD80" s="64" t="s">
        <v>5316</v>
      </c>
      <c r="BE80" s="64" t="s">
        <v>5315</v>
      </c>
      <c r="BF80" s="64" t="s">
        <v>5316</v>
      </c>
      <c r="BG80" s="64" t="s">
        <v>4963</v>
      </c>
      <c r="BH80" s="64" t="s">
        <v>4956</v>
      </c>
      <c r="BI80" s="64" t="s">
        <v>4800</v>
      </c>
      <c r="BJ80" s="64" t="s">
        <v>4954</v>
      </c>
      <c r="BK80" s="64" t="s">
        <v>474</v>
      </c>
      <c r="BL80" s="64" t="s">
        <v>474</v>
      </c>
      <c r="BM80" s="66" t="s">
        <v>1217</v>
      </c>
      <c r="BN80" s="66" t="s">
        <v>1468</v>
      </c>
      <c r="BO80" s="66" t="s">
        <v>1468</v>
      </c>
      <c r="BP80" s="66" t="s">
        <v>1474</v>
      </c>
      <c r="BQ80" s="66" t="s">
        <v>1479</v>
      </c>
      <c r="BR80" s="64">
        <v>3</v>
      </c>
      <c r="BS80" s="64">
        <v>7.73</v>
      </c>
      <c r="BT80" s="66">
        <v>120</v>
      </c>
      <c r="BU80" s="79"/>
      <c r="BV80" s="79"/>
      <c r="BW80" s="79"/>
      <c r="BX80" s="79"/>
      <c r="BY80" s="79"/>
      <c r="BZ80" s="79"/>
      <c r="CA80" s="64"/>
      <c r="CB80" s="64">
        <v>132.18628719275549</v>
      </c>
      <c r="CC80" s="64">
        <v>0.1301656050955414</v>
      </c>
      <c r="CD80" s="64" t="s">
        <v>474</v>
      </c>
      <c r="CE80" s="79"/>
      <c r="CF80" s="79"/>
      <c r="CG80" s="79"/>
      <c r="CH80" s="64">
        <v>0.5</v>
      </c>
      <c r="CI80" s="79"/>
      <c r="CJ80" s="79"/>
      <c r="CK80" s="79"/>
      <c r="CL80" s="79"/>
      <c r="CM80" s="79"/>
      <c r="CN80" s="79"/>
      <c r="CO80" s="79"/>
      <c r="CP80" s="79"/>
      <c r="CQ80" s="79"/>
      <c r="CR80" s="79"/>
      <c r="CS80" s="79"/>
      <c r="CT80" s="79"/>
      <c r="CU80" s="79"/>
      <c r="CV80" s="79"/>
      <c r="CW80" s="79"/>
      <c r="CX80" s="79"/>
      <c r="CY80" s="79"/>
      <c r="CZ80" s="79"/>
      <c r="DA80" s="79"/>
      <c r="DB80" s="79"/>
      <c r="DC80" s="79"/>
      <c r="DD80" s="79"/>
      <c r="DE80" s="79"/>
      <c r="DF80" s="79"/>
      <c r="DG80" s="79"/>
      <c r="DH80" s="79"/>
      <c r="DI80" s="79"/>
      <c r="DJ80" s="79"/>
      <c r="DK80" s="79"/>
      <c r="DL80" s="79"/>
      <c r="DM80" s="79"/>
      <c r="DN80" s="79"/>
      <c r="DO80" s="79"/>
      <c r="DP80" s="79"/>
      <c r="DQ80" s="79"/>
      <c r="DR80" s="66" t="s">
        <v>1873</v>
      </c>
      <c r="DS80" s="66"/>
      <c r="DT80" s="79"/>
      <c r="DU80" s="79"/>
      <c r="DV80" s="79"/>
      <c r="DW80" s="79"/>
      <c r="DX80" s="79"/>
      <c r="DY80" s="78"/>
    </row>
    <row r="81" spans="1:129" x14ac:dyDescent="0.35">
      <c r="A81" s="42" t="s">
        <v>4743</v>
      </c>
      <c r="B81" s="42" t="s">
        <v>4803</v>
      </c>
      <c r="C81" s="42" t="s">
        <v>150</v>
      </c>
      <c r="D81" s="43" t="s">
        <v>151</v>
      </c>
      <c r="F81" s="44" t="s">
        <v>4802</v>
      </c>
      <c r="G81" s="42" t="s">
        <v>4955</v>
      </c>
      <c r="H81" s="42" t="s">
        <v>68</v>
      </c>
      <c r="I81" s="43" t="s">
        <v>68</v>
      </c>
      <c r="J81" s="43" t="s">
        <v>68</v>
      </c>
      <c r="K81" s="43"/>
      <c r="L81" s="43" t="s">
        <v>69</v>
      </c>
      <c r="M81" s="43">
        <v>3</v>
      </c>
      <c r="N81" s="43">
        <v>3</v>
      </c>
      <c r="O81" s="43" t="s">
        <v>69</v>
      </c>
      <c r="P81" s="43">
        <v>4</v>
      </c>
      <c r="Q81" s="43">
        <v>4</v>
      </c>
      <c r="R81" s="43" t="s">
        <v>69</v>
      </c>
      <c r="S81" s="43">
        <v>5</v>
      </c>
      <c r="T81" s="43">
        <v>5</v>
      </c>
      <c r="U81" s="42" t="s">
        <v>5318</v>
      </c>
      <c r="V81" s="42">
        <v>106.72</v>
      </c>
      <c r="W81" s="42">
        <v>106.73</v>
      </c>
      <c r="X81" s="42" t="s">
        <v>5319</v>
      </c>
      <c r="Y81" s="42" t="s">
        <v>5320</v>
      </c>
      <c r="Z81" s="43" t="s">
        <v>4743</v>
      </c>
      <c r="AA81" s="43" t="s">
        <v>4742</v>
      </c>
      <c r="AC81" s="42" t="s">
        <v>4684</v>
      </c>
      <c r="AD81" s="42" t="s">
        <v>4685</v>
      </c>
      <c r="AE81" s="42" t="s">
        <v>4686</v>
      </c>
      <c r="AF81" s="42" t="s">
        <v>150</v>
      </c>
      <c r="AG81" s="42" t="s">
        <v>4685</v>
      </c>
      <c r="AH81" t="s">
        <v>5318</v>
      </c>
      <c r="AI81" s="42" t="s">
        <v>4959</v>
      </c>
      <c r="AJ81" s="42" t="s">
        <v>5321</v>
      </c>
      <c r="AL81" s="42" t="s">
        <v>5322</v>
      </c>
      <c r="AM81" s="43">
        <v>106.72</v>
      </c>
      <c r="AN81" s="43">
        <v>106.73</v>
      </c>
      <c r="AO81" s="43" t="s">
        <v>70</v>
      </c>
      <c r="AQ81" s="43">
        <v>1</v>
      </c>
      <c r="AR81" s="42" t="s">
        <v>5323</v>
      </c>
      <c r="AU81" s="64"/>
      <c r="AV81" s="64">
        <v>62</v>
      </c>
      <c r="AW81" s="64" t="s">
        <v>4955</v>
      </c>
      <c r="AX81" s="64" t="s">
        <v>4744</v>
      </c>
      <c r="AY81" s="66" t="s">
        <v>478</v>
      </c>
      <c r="AZ81" s="66" t="s">
        <v>150</v>
      </c>
      <c r="BA81" s="64">
        <v>106.72</v>
      </c>
      <c r="BB81" s="64">
        <v>106.73</v>
      </c>
      <c r="BC81" s="64" t="s">
        <v>5319</v>
      </c>
      <c r="BD81" s="64" t="s">
        <v>5320</v>
      </c>
      <c r="BE81" s="64" t="s">
        <v>5319</v>
      </c>
      <c r="BF81" s="64" t="s">
        <v>5320</v>
      </c>
      <c r="BG81" s="64" t="s">
        <v>4963</v>
      </c>
      <c r="BH81" s="64" t="s">
        <v>5318</v>
      </c>
      <c r="BI81" s="64" t="s">
        <v>4802</v>
      </c>
      <c r="BJ81" s="64" t="s">
        <v>4954</v>
      </c>
      <c r="BK81" s="64" t="s">
        <v>474</v>
      </c>
      <c r="BL81" s="64" t="s">
        <v>474</v>
      </c>
      <c r="BM81" s="66" t="s">
        <v>1225</v>
      </c>
      <c r="BN81" s="66" t="s">
        <v>1468</v>
      </c>
      <c r="BO81" s="66" t="s">
        <v>1468</v>
      </c>
      <c r="BP81" s="66" t="s">
        <v>1474</v>
      </c>
      <c r="BQ81" s="66" t="s">
        <v>1479</v>
      </c>
      <c r="BR81" s="64">
        <v>3.34</v>
      </c>
      <c r="BS81" s="64">
        <v>1.556</v>
      </c>
      <c r="BT81" s="66">
        <v>120</v>
      </c>
      <c r="BU81" s="79"/>
      <c r="BV81" s="79"/>
      <c r="BW81" s="79"/>
      <c r="BX81" s="79"/>
      <c r="BY81" s="79"/>
      <c r="BZ81" s="79"/>
      <c r="CA81" s="64"/>
      <c r="CB81" s="64" t="s">
        <v>1100</v>
      </c>
      <c r="CC81" s="64" t="s">
        <v>1100</v>
      </c>
      <c r="CD81" s="64" t="s">
        <v>474</v>
      </c>
      <c r="CE81" s="79"/>
      <c r="CF81" s="79"/>
      <c r="CG81" s="79"/>
      <c r="CH81" s="64">
        <v>7.4999999999999997E-2</v>
      </c>
      <c r="CI81" s="79"/>
      <c r="CJ81" s="79"/>
      <c r="CK81" s="79"/>
      <c r="CL81" s="79"/>
      <c r="CM81" s="79"/>
      <c r="CN81" s="79"/>
      <c r="CO81" s="79"/>
      <c r="CP81" s="79"/>
      <c r="CQ81" s="79"/>
      <c r="CR81" s="79"/>
      <c r="CS81" s="79"/>
      <c r="CT81" s="79"/>
      <c r="CU81" s="79"/>
      <c r="CV81" s="79"/>
      <c r="CW81" s="79"/>
      <c r="CX81" s="79"/>
      <c r="CY81" s="79"/>
      <c r="CZ81" s="79"/>
      <c r="DA81" s="79"/>
      <c r="DB81" s="79"/>
      <c r="DC81" s="79"/>
      <c r="DD81" s="79"/>
      <c r="DE81" s="79"/>
      <c r="DF81" s="79"/>
      <c r="DG81" s="79"/>
      <c r="DH81" s="79"/>
      <c r="DI81" s="79"/>
      <c r="DJ81" s="79"/>
      <c r="DK81" s="79"/>
      <c r="DL81" s="79"/>
      <c r="DM81" s="79"/>
      <c r="DN81" s="79"/>
      <c r="DO81" s="79"/>
      <c r="DP81" s="79"/>
      <c r="DQ81" s="79"/>
      <c r="DR81" s="66" t="s">
        <v>1873</v>
      </c>
      <c r="DS81" s="66"/>
      <c r="DT81" s="79"/>
      <c r="DU81" s="79"/>
      <c r="DV81" s="79"/>
      <c r="DW81" s="79"/>
      <c r="DX81" s="79"/>
      <c r="DY81" s="78"/>
    </row>
    <row r="82" spans="1:129" x14ac:dyDescent="0.35">
      <c r="A82" s="42" t="s">
        <v>4743</v>
      </c>
      <c r="B82" s="42" t="s">
        <v>4805</v>
      </c>
      <c r="C82" s="42" t="s">
        <v>150</v>
      </c>
      <c r="D82" s="43" t="s">
        <v>151</v>
      </c>
      <c r="F82" s="44" t="s">
        <v>4804</v>
      </c>
      <c r="G82" s="42" t="s">
        <v>4955</v>
      </c>
      <c r="H82" s="42" t="s">
        <v>68</v>
      </c>
      <c r="I82" s="43" t="s">
        <v>68</v>
      </c>
      <c r="J82" s="43" t="s">
        <v>68</v>
      </c>
      <c r="K82" s="43"/>
      <c r="L82" s="43" t="s">
        <v>69</v>
      </c>
      <c r="M82" s="43">
        <v>3</v>
      </c>
      <c r="N82" s="43">
        <v>3</v>
      </c>
      <c r="O82" s="43" t="s">
        <v>69</v>
      </c>
      <c r="P82" s="43">
        <v>4</v>
      </c>
      <c r="Q82" s="43">
        <v>4</v>
      </c>
      <c r="R82" s="43" t="s">
        <v>69</v>
      </c>
      <c r="S82" s="43">
        <v>5</v>
      </c>
      <c r="T82" s="43">
        <v>5</v>
      </c>
      <c r="U82" s="42" t="s">
        <v>5318</v>
      </c>
      <c r="V82" s="42">
        <v>106.72</v>
      </c>
      <c r="W82" s="42">
        <v>106.73</v>
      </c>
      <c r="X82" s="42" t="s">
        <v>5324</v>
      </c>
      <c r="Y82" s="42" t="s">
        <v>5325</v>
      </c>
      <c r="Z82" s="43" t="s">
        <v>4743</v>
      </c>
      <c r="AA82" s="43" t="s">
        <v>4742</v>
      </c>
      <c r="AC82" s="42" t="s">
        <v>4684</v>
      </c>
      <c r="AD82" s="42" t="s">
        <v>4685</v>
      </c>
      <c r="AE82" s="42" t="s">
        <v>4686</v>
      </c>
      <c r="AF82" s="42" t="s">
        <v>150</v>
      </c>
      <c r="AG82" s="42" t="s">
        <v>4685</v>
      </c>
      <c r="AH82" t="s">
        <v>5318</v>
      </c>
      <c r="AI82" s="42" t="s">
        <v>4959</v>
      </c>
      <c r="AJ82" s="42" t="s">
        <v>5321</v>
      </c>
      <c r="AL82" s="42" t="s">
        <v>5322</v>
      </c>
      <c r="AM82" s="43">
        <v>106.72</v>
      </c>
      <c r="AN82" s="43">
        <v>106.73</v>
      </c>
      <c r="AO82" s="43" t="s">
        <v>70</v>
      </c>
      <c r="AQ82" s="43">
        <v>1</v>
      </c>
      <c r="AR82" s="42" t="s">
        <v>5326</v>
      </c>
      <c r="AU82" s="64"/>
      <c r="AV82" s="64">
        <v>62</v>
      </c>
      <c r="AW82" s="64" t="s">
        <v>4955</v>
      </c>
      <c r="AX82" s="64" t="s">
        <v>4744</v>
      </c>
      <c r="AY82" s="66" t="s">
        <v>478</v>
      </c>
      <c r="AZ82" s="66" t="s">
        <v>150</v>
      </c>
      <c r="BA82" s="64">
        <v>106.72</v>
      </c>
      <c r="BB82" s="64">
        <v>106.73</v>
      </c>
      <c r="BC82" s="64" t="s">
        <v>5324</v>
      </c>
      <c r="BD82" s="64" t="s">
        <v>5325</v>
      </c>
      <c r="BE82" s="64" t="s">
        <v>5324</v>
      </c>
      <c r="BF82" s="64" t="s">
        <v>5325</v>
      </c>
      <c r="BG82" s="64" t="s">
        <v>4963</v>
      </c>
      <c r="BH82" s="64" t="s">
        <v>5318</v>
      </c>
      <c r="BI82" s="64" t="s">
        <v>4804</v>
      </c>
      <c r="BJ82" s="64" t="s">
        <v>4954</v>
      </c>
      <c r="BK82" s="64" t="s">
        <v>474</v>
      </c>
      <c r="BL82" s="64" t="s">
        <v>474</v>
      </c>
      <c r="BM82" s="66" t="s">
        <v>1225</v>
      </c>
      <c r="BN82" s="66" t="s">
        <v>1468</v>
      </c>
      <c r="BO82" s="66" t="s">
        <v>1468</v>
      </c>
      <c r="BP82" s="66" t="s">
        <v>1474</v>
      </c>
      <c r="BQ82" s="66" t="s">
        <v>1479</v>
      </c>
      <c r="BR82" s="64">
        <v>3.0659999999999998</v>
      </c>
      <c r="BS82" s="64">
        <v>1.22</v>
      </c>
      <c r="BT82" s="66">
        <v>120</v>
      </c>
      <c r="BU82" s="79"/>
      <c r="BV82" s="79"/>
      <c r="BW82" s="79"/>
      <c r="BX82" s="79"/>
      <c r="BY82" s="79"/>
      <c r="BZ82" s="79"/>
      <c r="CA82" s="64"/>
      <c r="CB82" s="64" t="s">
        <v>1100</v>
      </c>
      <c r="CC82" s="64" t="s">
        <v>1100</v>
      </c>
      <c r="CD82" s="64" t="s">
        <v>474</v>
      </c>
      <c r="CE82" s="79"/>
      <c r="CF82" s="79"/>
      <c r="CG82" s="79"/>
      <c r="CH82" s="64">
        <v>7.4999999999999997E-2</v>
      </c>
      <c r="CI82" s="79"/>
      <c r="CJ82" s="79"/>
      <c r="CK82" s="79"/>
      <c r="CL82" s="79"/>
      <c r="CM82" s="79"/>
      <c r="CN82" s="79"/>
      <c r="CO82" s="79"/>
      <c r="CP82" s="79"/>
      <c r="CQ82" s="79"/>
      <c r="CR82" s="79"/>
      <c r="CS82" s="79"/>
      <c r="CT82" s="79"/>
      <c r="CU82" s="79"/>
      <c r="CV82" s="79"/>
      <c r="CW82" s="79"/>
      <c r="CX82" s="79"/>
      <c r="CY82" s="79"/>
      <c r="CZ82" s="79"/>
      <c r="DA82" s="79"/>
      <c r="DB82" s="79"/>
      <c r="DC82" s="79"/>
      <c r="DD82" s="79"/>
      <c r="DE82" s="79"/>
      <c r="DF82" s="79"/>
      <c r="DG82" s="79"/>
      <c r="DH82" s="79"/>
      <c r="DI82" s="79"/>
      <c r="DJ82" s="79"/>
      <c r="DK82" s="79"/>
      <c r="DL82" s="79"/>
      <c r="DM82" s="79"/>
      <c r="DN82" s="79"/>
      <c r="DO82" s="79"/>
      <c r="DP82" s="79"/>
      <c r="DQ82" s="79"/>
      <c r="DR82" s="66" t="s">
        <v>1873</v>
      </c>
      <c r="DS82" s="66"/>
      <c r="DT82" s="79"/>
      <c r="DU82" s="79"/>
      <c r="DV82" s="79"/>
      <c r="DW82" s="79"/>
      <c r="DX82" s="79"/>
      <c r="DY82" s="78"/>
    </row>
    <row r="83" spans="1:129" x14ac:dyDescent="0.35">
      <c r="A83" s="42" t="s">
        <v>4743</v>
      </c>
      <c r="B83" s="42" t="s">
        <v>4807</v>
      </c>
      <c r="C83" s="42" t="s">
        <v>150</v>
      </c>
      <c r="D83" s="43" t="s">
        <v>151</v>
      </c>
      <c r="F83" s="44" t="s">
        <v>4806</v>
      </c>
      <c r="G83" s="42" t="s">
        <v>4955</v>
      </c>
      <c r="H83" s="42" t="s">
        <v>68</v>
      </c>
      <c r="I83" s="43" t="s">
        <v>68</v>
      </c>
      <c r="J83" s="43" t="s">
        <v>68</v>
      </c>
      <c r="K83" s="43"/>
      <c r="L83" s="43" t="s">
        <v>69</v>
      </c>
      <c r="M83" s="43">
        <v>3</v>
      </c>
      <c r="N83" s="43">
        <v>3</v>
      </c>
      <c r="O83" s="43" t="s">
        <v>69</v>
      </c>
      <c r="P83" s="43">
        <v>4</v>
      </c>
      <c r="Q83" s="43">
        <v>4</v>
      </c>
      <c r="R83" s="43" t="s">
        <v>69</v>
      </c>
      <c r="S83" s="43">
        <v>5</v>
      </c>
      <c r="T83" s="43">
        <v>5</v>
      </c>
      <c r="U83" s="42" t="s">
        <v>5318</v>
      </c>
      <c r="V83" s="42">
        <v>106.72</v>
      </c>
      <c r="W83" s="42">
        <v>106.73</v>
      </c>
      <c r="X83" s="42" t="s">
        <v>5327</v>
      </c>
      <c r="Y83" s="42" t="s">
        <v>5328</v>
      </c>
      <c r="Z83" s="43" t="s">
        <v>4743</v>
      </c>
      <c r="AA83" s="43" t="s">
        <v>4742</v>
      </c>
      <c r="AC83" s="42" t="s">
        <v>4684</v>
      </c>
      <c r="AD83" s="42" t="s">
        <v>4685</v>
      </c>
      <c r="AE83" s="42" t="s">
        <v>4686</v>
      </c>
      <c r="AF83" s="42" t="s">
        <v>150</v>
      </c>
      <c r="AG83" s="42" t="s">
        <v>4685</v>
      </c>
      <c r="AH83" t="s">
        <v>5318</v>
      </c>
      <c r="AI83" s="42" t="s">
        <v>4959</v>
      </c>
      <c r="AJ83" s="42" t="s">
        <v>5321</v>
      </c>
      <c r="AL83" s="42" t="s">
        <v>5322</v>
      </c>
      <c r="AM83" s="43">
        <v>106.72</v>
      </c>
      <c r="AN83" s="43">
        <v>106.73</v>
      </c>
      <c r="AO83" s="43" t="s">
        <v>70</v>
      </c>
      <c r="AQ83" s="43">
        <v>1</v>
      </c>
      <c r="AR83" s="42" t="s">
        <v>5329</v>
      </c>
      <c r="AU83" s="64"/>
      <c r="AV83" s="64">
        <v>62</v>
      </c>
      <c r="AW83" s="64" t="s">
        <v>4955</v>
      </c>
      <c r="AX83" s="64" t="s">
        <v>4744</v>
      </c>
      <c r="AY83" s="66" t="s">
        <v>478</v>
      </c>
      <c r="AZ83" s="66" t="s">
        <v>150</v>
      </c>
      <c r="BA83" s="64">
        <v>106.72</v>
      </c>
      <c r="BB83" s="64">
        <v>106.73</v>
      </c>
      <c r="BC83" s="64" t="s">
        <v>5327</v>
      </c>
      <c r="BD83" s="64" t="s">
        <v>5328</v>
      </c>
      <c r="BE83" s="64" t="s">
        <v>5327</v>
      </c>
      <c r="BF83" s="64" t="s">
        <v>5328</v>
      </c>
      <c r="BG83" s="64" t="s">
        <v>4963</v>
      </c>
      <c r="BH83" s="64" t="s">
        <v>5318</v>
      </c>
      <c r="BI83" s="64" t="s">
        <v>4806</v>
      </c>
      <c r="BJ83" s="64" t="s">
        <v>4954</v>
      </c>
      <c r="BK83" s="64" t="s">
        <v>474</v>
      </c>
      <c r="BL83" s="64" t="s">
        <v>474</v>
      </c>
      <c r="BM83" s="66" t="s">
        <v>1225</v>
      </c>
      <c r="BN83" s="66" t="s">
        <v>1468</v>
      </c>
      <c r="BO83" s="66" t="s">
        <v>1468</v>
      </c>
      <c r="BP83" s="66" t="s">
        <v>1474</v>
      </c>
      <c r="BQ83" s="66" t="s">
        <v>1479</v>
      </c>
      <c r="BR83" s="64">
        <v>3.0760000000000001</v>
      </c>
      <c r="BS83" s="64">
        <v>1.22</v>
      </c>
      <c r="BT83" s="66">
        <v>120</v>
      </c>
      <c r="BU83" s="79"/>
      <c r="BV83" s="79"/>
      <c r="BW83" s="79"/>
      <c r="BX83" s="79"/>
      <c r="BY83" s="79"/>
      <c r="BZ83" s="79"/>
      <c r="CA83" s="64"/>
      <c r="CB83" s="64" t="s">
        <v>1100</v>
      </c>
      <c r="CC83" s="64" t="s">
        <v>1100</v>
      </c>
      <c r="CD83" s="64" t="s">
        <v>474</v>
      </c>
      <c r="CE83" s="79"/>
      <c r="CF83" s="79"/>
      <c r="CG83" s="79"/>
      <c r="CH83" s="64">
        <v>7.4999999999999997E-2</v>
      </c>
      <c r="CI83" s="79"/>
      <c r="CJ83" s="79"/>
      <c r="CK83" s="79"/>
      <c r="CL83" s="79"/>
      <c r="CM83" s="79"/>
      <c r="CN83" s="79"/>
      <c r="CO83" s="79"/>
      <c r="CP83" s="79"/>
      <c r="CQ83" s="79"/>
      <c r="CR83" s="79"/>
      <c r="CS83" s="79"/>
      <c r="CT83" s="79"/>
      <c r="CU83" s="79"/>
      <c r="CV83" s="79"/>
      <c r="CW83" s="79"/>
      <c r="CX83" s="79"/>
      <c r="CY83" s="79"/>
      <c r="CZ83" s="79"/>
      <c r="DA83" s="79"/>
      <c r="DB83" s="79"/>
      <c r="DC83" s="79"/>
      <c r="DD83" s="79"/>
      <c r="DE83" s="79"/>
      <c r="DF83" s="79"/>
      <c r="DG83" s="79"/>
      <c r="DH83" s="79"/>
      <c r="DI83" s="79"/>
      <c r="DJ83" s="79"/>
      <c r="DK83" s="79"/>
      <c r="DL83" s="79"/>
      <c r="DM83" s="79"/>
      <c r="DN83" s="79"/>
      <c r="DO83" s="79"/>
      <c r="DP83" s="79"/>
      <c r="DQ83" s="79"/>
      <c r="DR83" s="66" t="s">
        <v>1873</v>
      </c>
      <c r="DS83" s="66"/>
      <c r="DT83" s="79"/>
      <c r="DU83" s="79"/>
      <c r="DV83" s="79"/>
      <c r="DW83" s="79"/>
      <c r="DX83" s="79"/>
      <c r="DY83" s="78"/>
    </row>
    <row r="84" spans="1:129" x14ac:dyDescent="0.35">
      <c r="A84" s="42" t="s">
        <v>4743</v>
      </c>
      <c r="B84" s="42" t="s">
        <v>4809</v>
      </c>
      <c r="C84" s="42" t="s">
        <v>150</v>
      </c>
      <c r="D84" s="43" t="s">
        <v>151</v>
      </c>
      <c r="F84" s="44" t="s">
        <v>4808</v>
      </c>
      <c r="G84" s="42" t="s">
        <v>4955</v>
      </c>
      <c r="H84" s="42" t="s">
        <v>68</v>
      </c>
      <c r="I84" s="43" t="s">
        <v>68</v>
      </c>
      <c r="J84" s="43" t="s">
        <v>68</v>
      </c>
      <c r="K84" s="43"/>
      <c r="L84" s="43" t="s">
        <v>69</v>
      </c>
      <c r="M84" s="43">
        <v>3</v>
      </c>
      <c r="N84" s="43">
        <v>3</v>
      </c>
      <c r="O84" s="43" t="s">
        <v>69</v>
      </c>
      <c r="P84" s="43">
        <v>4</v>
      </c>
      <c r="Q84" s="43">
        <v>4</v>
      </c>
      <c r="R84" s="43" t="s">
        <v>69</v>
      </c>
      <c r="S84" s="43">
        <v>5</v>
      </c>
      <c r="T84" s="43">
        <v>5</v>
      </c>
      <c r="U84" s="42" t="s">
        <v>4956</v>
      </c>
      <c r="V84" s="42">
        <v>106.75</v>
      </c>
      <c r="W84" s="42">
        <v>106.76</v>
      </c>
      <c r="X84" s="42" t="s">
        <v>5330</v>
      </c>
      <c r="Y84" s="42" t="s">
        <v>5331</v>
      </c>
      <c r="Z84" s="43" t="s">
        <v>4743</v>
      </c>
      <c r="AA84" s="43" t="s">
        <v>4742</v>
      </c>
      <c r="AC84" s="42" t="s">
        <v>4684</v>
      </c>
      <c r="AD84" s="42" t="s">
        <v>4685</v>
      </c>
      <c r="AE84" s="42" t="s">
        <v>4686</v>
      </c>
      <c r="AF84" s="42" t="s">
        <v>150</v>
      </c>
      <c r="AG84" s="42" t="s">
        <v>4685</v>
      </c>
      <c r="AH84" t="s">
        <v>4956</v>
      </c>
      <c r="AI84" s="42" t="s">
        <v>4959</v>
      </c>
      <c r="AJ84" s="42" t="s">
        <v>4960</v>
      </c>
      <c r="AL84" s="42" t="s">
        <v>4961</v>
      </c>
      <c r="AM84" s="43">
        <v>106.75</v>
      </c>
      <c r="AN84" s="43">
        <v>106.76</v>
      </c>
      <c r="AO84" s="43" t="s">
        <v>70</v>
      </c>
      <c r="AQ84" s="43">
        <v>1</v>
      </c>
      <c r="AR84" s="42" t="s">
        <v>5332</v>
      </c>
      <c r="AU84" s="64"/>
      <c r="AV84" s="64">
        <v>62</v>
      </c>
      <c r="AW84" s="64" t="s">
        <v>4955</v>
      </c>
      <c r="AX84" s="64" t="s">
        <v>4744</v>
      </c>
      <c r="AY84" s="66" t="s">
        <v>478</v>
      </c>
      <c r="AZ84" s="66" t="s">
        <v>150</v>
      </c>
      <c r="BA84" s="64">
        <v>106.75</v>
      </c>
      <c r="BB84" s="64">
        <v>106.76</v>
      </c>
      <c r="BC84" s="64" t="s">
        <v>5330</v>
      </c>
      <c r="BD84" s="64" t="s">
        <v>5331</v>
      </c>
      <c r="BE84" s="64" t="s">
        <v>5330</v>
      </c>
      <c r="BF84" s="64" t="s">
        <v>5331</v>
      </c>
      <c r="BG84" s="64" t="s">
        <v>4963</v>
      </c>
      <c r="BH84" s="64" t="s">
        <v>4956</v>
      </c>
      <c r="BI84" s="64" t="s">
        <v>4808</v>
      </c>
      <c r="BJ84" s="64" t="s">
        <v>4954</v>
      </c>
      <c r="BK84" s="64" t="s">
        <v>474</v>
      </c>
      <c r="BL84" s="64" t="s">
        <v>474</v>
      </c>
      <c r="BM84" s="66" t="s">
        <v>1217</v>
      </c>
      <c r="BN84" s="66" t="s">
        <v>1468</v>
      </c>
      <c r="BO84" s="66" t="s">
        <v>1468</v>
      </c>
      <c r="BP84" s="66" t="s">
        <v>1474</v>
      </c>
      <c r="BQ84" s="66" t="s">
        <v>1479</v>
      </c>
      <c r="BR84" s="64">
        <v>3.2650000000000001</v>
      </c>
      <c r="BS84" s="64">
        <v>18.350000000000001</v>
      </c>
      <c r="BT84" s="66">
        <v>120</v>
      </c>
      <c r="BU84" s="79"/>
      <c r="BV84" s="79"/>
      <c r="BW84" s="79"/>
      <c r="BX84" s="79"/>
      <c r="BY84" s="79"/>
      <c r="BZ84" s="79"/>
      <c r="CA84" s="64"/>
      <c r="CB84" s="64">
        <v>119.69591280653951</v>
      </c>
      <c r="CC84" s="64">
        <v>0.27979872611464968</v>
      </c>
      <c r="CD84" s="64" t="s">
        <v>474</v>
      </c>
      <c r="CE84" s="79"/>
      <c r="CF84" s="79"/>
      <c r="CG84" s="79"/>
      <c r="CH84" s="64">
        <v>1.05</v>
      </c>
      <c r="CI84" s="79"/>
      <c r="CJ84" s="79"/>
      <c r="CK84" s="79"/>
      <c r="CL84" s="79"/>
      <c r="CM84" s="79"/>
      <c r="CN84" s="79"/>
      <c r="CO84" s="79"/>
      <c r="CP84" s="79"/>
      <c r="CQ84" s="79"/>
      <c r="CR84" s="79"/>
      <c r="CS84" s="79"/>
      <c r="CT84" s="79"/>
      <c r="CU84" s="79"/>
      <c r="CV84" s="79"/>
      <c r="CW84" s="79"/>
      <c r="CX84" s="79"/>
      <c r="CY84" s="79"/>
      <c r="CZ84" s="79"/>
      <c r="DA84" s="79"/>
      <c r="DB84" s="79"/>
      <c r="DC84" s="79"/>
      <c r="DD84" s="79"/>
      <c r="DE84" s="79"/>
      <c r="DF84" s="79"/>
      <c r="DG84" s="79"/>
      <c r="DH84" s="79"/>
      <c r="DI84" s="79"/>
      <c r="DJ84" s="79"/>
      <c r="DK84" s="79"/>
      <c r="DL84" s="79"/>
      <c r="DM84" s="79"/>
      <c r="DN84" s="79"/>
      <c r="DO84" s="79"/>
      <c r="DP84" s="79"/>
      <c r="DQ84" s="79"/>
      <c r="DR84" s="66" t="s">
        <v>1873</v>
      </c>
      <c r="DS84" s="66"/>
      <c r="DT84" s="79"/>
      <c r="DU84" s="79"/>
      <c r="DV84" s="79"/>
      <c r="DW84" s="79"/>
      <c r="DX84" s="79"/>
      <c r="DY84" s="78"/>
    </row>
    <row r="85" spans="1:129" x14ac:dyDescent="0.35">
      <c r="A85" s="42" t="s">
        <v>4743</v>
      </c>
      <c r="B85" s="42" t="s">
        <v>4811</v>
      </c>
      <c r="C85" s="42" t="s">
        <v>150</v>
      </c>
      <c r="D85" s="43" t="s">
        <v>151</v>
      </c>
      <c r="F85" s="44" t="s">
        <v>4810</v>
      </c>
      <c r="G85" s="42" t="s">
        <v>4955</v>
      </c>
      <c r="H85" s="42" t="s">
        <v>68</v>
      </c>
      <c r="I85" s="43" t="s">
        <v>68</v>
      </c>
      <c r="J85" s="43" t="s">
        <v>68</v>
      </c>
      <c r="K85" s="43"/>
      <c r="L85" s="43" t="s">
        <v>69</v>
      </c>
      <c r="M85" s="43">
        <v>3</v>
      </c>
      <c r="N85" s="43">
        <v>3</v>
      </c>
      <c r="O85" s="43" t="s">
        <v>69</v>
      </c>
      <c r="P85" s="43">
        <v>4</v>
      </c>
      <c r="Q85" s="43">
        <v>4</v>
      </c>
      <c r="R85" s="43" t="s">
        <v>69</v>
      </c>
      <c r="S85" s="43">
        <v>5</v>
      </c>
      <c r="T85" s="43">
        <v>5</v>
      </c>
      <c r="U85" s="42" t="s">
        <v>4956</v>
      </c>
      <c r="V85" s="42">
        <v>106.75</v>
      </c>
      <c r="W85" s="42">
        <v>106.76</v>
      </c>
      <c r="X85" s="42" t="s">
        <v>5333</v>
      </c>
      <c r="Y85" s="42" t="s">
        <v>5334</v>
      </c>
      <c r="Z85" s="43" t="s">
        <v>4743</v>
      </c>
      <c r="AA85" s="43" t="s">
        <v>4742</v>
      </c>
      <c r="AC85" s="42" t="s">
        <v>4684</v>
      </c>
      <c r="AD85" s="42" t="s">
        <v>4685</v>
      </c>
      <c r="AE85" s="42" t="s">
        <v>4686</v>
      </c>
      <c r="AF85" s="42" t="s">
        <v>150</v>
      </c>
      <c r="AG85" s="42" t="s">
        <v>4685</v>
      </c>
      <c r="AH85" t="s">
        <v>4956</v>
      </c>
      <c r="AI85" s="42" t="s">
        <v>4959</v>
      </c>
      <c r="AJ85" s="42" t="s">
        <v>4960</v>
      </c>
      <c r="AL85" s="42" t="s">
        <v>4961</v>
      </c>
      <c r="AM85" s="43">
        <v>106.75</v>
      </c>
      <c r="AN85" s="43">
        <v>106.76</v>
      </c>
      <c r="AO85" s="43" t="s">
        <v>70</v>
      </c>
      <c r="AQ85" s="43">
        <v>1</v>
      </c>
      <c r="AR85" s="42" t="s">
        <v>5335</v>
      </c>
      <c r="AU85" s="64"/>
      <c r="AV85" s="64">
        <v>62</v>
      </c>
      <c r="AW85" s="64" t="s">
        <v>4955</v>
      </c>
      <c r="AX85" s="64" t="s">
        <v>4744</v>
      </c>
      <c r="AY85" s="66" t="s">
        <v>478</v>
      </c>
      <c r="AZ85" s="66" t="s">
        <v>150</v>
      </c>
      <c r="BA85" s="64">
        <v>106.75</v>
      </c>
      <c r="BB85" s="64">
        <v>106.76</v>
      </c>
      <c r="BC85" s="64" t="s">
        <v>5333</v>
      </c>
      <c r="BD85" s="64" t="s">
        <v>5334</v>
      </c>
      <c r="BE85" s="64" t="s">
        <v>5333</v>
      </c>
      <c r="BF85" s="64" t="s">
        <v>5334</v>
      </c>
      <c r="BG85" s="64" t="s">
        <v>4963</v>
      </c>
      <c r="BH85" s="64" t="s">
        <v>4956</v>
      </c>
      <c r="BI85" s="64" t="s">
        <v>4810</v>
      </c>
      <c r="BJ85" s="64" t="s">
        <v>4954</v>
      </c>
      <c r="BK85" s="64" t="s">
        <v>474</v>
      </c>
      <c r="BL85" s="64" t="s">
        <v>474</v>
      </c>
      <c r="BM85" s="66" t="s">
        <v>1217</v>
      </c>
      <c r="BN85" s="66" t="s">
        <v>1468</v>
      </c>
      <c r="BO85" s="66" t="s">
        <v>1468</v>
      </c>
      <c r="BP85" s="66" t="s">
        <v>1474</v>
      </c>
      <c r="BQ85" s="66" t="s">
        <v>1479</v>
      </c>
      <c r="BR85" s="64">
        <v>3</v>
      </c>
      <c r="BS85" s="64">
        <v>7.73</v>
      </c>
      <c r="BT85" s="66">
        <v>120</v>
      </c>
      <c r="BU85" s="79"/>
      <c r="BV85" s="79"/>
      <c r="BW85" s="79"/>
      <c r="BX85" s="79"/>
      <c r="BY85" s="79"/>
      <c r="BZ85" s="79"/>
      <c r="CA85" s="64"/>
      <c r="CB85" s="64">
        <v>132.18628719275549</v>
      </c>
      <c r="CC85" s="64">
        <v>0.1301656050955414</v>
      </c>
      <c r="CD85" s="64" t="s">
        <v>474</v>
      </c>
      <c r="CE85" s="79"/>
      <c r="CF85" s="79"/>
      <c r="CG85" s="79"/>
      <c r="CH85" s="64">
        <v>0.5</v>
      </c>
      <c r="CI85" s="79"/>
      <c r="CJ85" s="79"/>
      <c r="CK85" s="79"/>
      <c r="CL85" s="79"/>
      <c r="CM85" s="79"/>
      <c r="CN85" s="79"/>
      <c r="CO85" s="79"/>
      <c r="CP85" s="79"/>
      <c r="CQ85" s="79"/>
      <c r="CR85" s="79"/>
      <c r="CS85" s="79"/>
      <c r="CT85" s="79"/>
      <c r="CU85" s="79"/>
      <c r="CV85" s="79"/>
      <c r="CW85" s="79"/>
      <c r="CX85" s="79"/>
      <c r="CY85" s="79"/>
      <c r="CZ85" s="79"/>
      <c r="DA85" s="79"/>
      <c r="DB85" s="79"/>
      <c r="DC85" s="79"/>
      <c r="DD85" s="79"/>
      <c r="DE85" s="79"/>
      <c r="DF85" s="79"/>
      <c r="DG85" s="79"/>
      <c r="DH85" s="79"/>
      <c r="DI85" s="79"/>
      <c r="DJ85" s="79"/>
      <c r="DK85" s="79"/>
      <c r="DL85" s="79"/>
      <c r="DM85" s="79"/>
      <c r="DN85" s="79"/>
      <c r="DO85" s="79"/>
      <c r="DP85" s="79"/>
      <c r="DQ85" s="79"/>
      <c r="DR85" s="66" t="s">
        <v>1873</v>
      </c>
      <c r="DS85" s="66"/>
      <c r="DT85" s="79"/>
      <c r="DU85" s="79"/>
      <c r="DV85" s="79"/>
      <c r="DW85" s="79"/>
      <c r="DX85" s="79"/>
      <c r="DY85" s="78"/>
    </row>
    <row r="86" spans="1:129" x14ac:dyDescent="0.35">
      <c r="A86" s="42" t="s">
        <v>4743</v>
      </c>
      <c r="B86" s="42" t="s">
        <v>4813</v>
      </c>
      <c r="C86" s="42" t="s">
        <v>150</v>
      </c>
      <c r="D86" s="43" t="s">
        <v>151</v>
      </c>
      <c r="F86" s="44" t="s">
        <v>4812</v>
      </c>
      <c r="G86" s="42" t="s">
        <v>4955</v>
      </c>
      <c r="H86" s="42" t="s">
        <v>68</v>
      </c>
      <c r="I86" s="43" t="s">
        <v>68</v>
      </c>
      <c r="J86" s="43" t="s">
        <v>68</v>
      </c>
      <c r="K86" s="43"/>
      <c r="L86" s="43" t="s">
        <v>69</v>
      </c>
      <c r="M86" s="43">
        <v>3</v>
      </c>
      <c r="N86" s="43">
        <v>3</v>
      </c>
      <c r="O86" s="43" t="s">
        <v>69</v>
      </c>
      <c r="P86" s="43">
        <v>4</v>
      </c>
      <c r="Q86" s="43">
        <v>4</v>
      </c>
      <c r="R86" s="43" t="s">
        <v>69</v>
      </c>
      <c r="S86" s="43">
        <v>5</v>
      </c>
      <c r="T86" s="43">
        <v>5</v>
      </c>
      <c r="U86" s="42" t="s">
        <v>4956</v>
      </c>
      <c r="V86" s="42">
        <v>106.75</v>
      </c>
      <c r="W86" s="42">
        <v>106.76</v>
      </c>
      <c r="X86" s="42" t="s">
        <v>5336</v>
      </c>
      <c r="Y86" s="42" t="s">
        <v>5337</v>
      </c>
      <c r="Z86" s="43" t="s">
        <v>4743</v>
      </c>
      <c r="AA86" s="43" t="s">
        <v>4742</v>
      </c>
      <c r="AC86" s="42" t="s">
        <v>4684</v>
      </c>
      <c r="AD86" s="42" t="s">
        <v>4685</v>
      </c>
      <c r="AE86" s="42" t="s">
        <v>4686</v>
      </c>
      <c r="AF86" s="42" t="s">
        <v>150</v>
      </c>
      <c r="AG86" s="42" t="s">
        <v>4685</v>
      </c>
      <c r="AH86" t="s">
        <v>4956</v>
      </c>
      <c r="AI86" s="42" t="s">
        <v>4959</v>
      </c>
      <c r="AJ86" s="42" t="s">
        <v>4960</v>
      </c>
      <c r="AL86" s="42" t="s">
        <v>4961</v>
      </c>
      <c r="AM86" s="43">
        <v>106.75</v>
      </c>
      <c r="AN86" s="43">
        <v>106.76</v>
      </c>
      <c r="AO86" s="43" t="s">
        <v>70</v>
      </c>
      <c r="AQ86" s="43">
        <v>1</v>
      </c>
      <c r="AR86" s="42" t="s">
        <v>5338</v>
      </c>
      <c r="AU86" s="64"/>
      <c r="AV86" s="64">
        <v>62</v>
      </c>
      <c r="AW86" s="64" t="s">
        <v>4955</v>
      </c>
      <c r="AX86" s="64" t="s">
        <v>4744</v>
      </c>
      <c r="AY86" s="66" t="s">
        <v>478</v>
      </c>
      <c r="AZ86" s="66" t="s">
        <v>150</v>
      </c>
      <c r="BA86" s="64">
        <v>106.75</v>
      </c>
      <c r="BB86" s="64">
        <v>106.76</v>
      </c>
      <c r="BC86" s="64" t="s">
        <v>5336</v>
      </c>
      <c r="BD86" s="64" t="s">
        <v>5337</v>
      </c>
      <c r="BE86" s="64" t="s">
        <v>5336</v>
      </c>
      <c r="BF86" s="64" t="s">
        <v>5337</v>
      </c>
      <c r="BG86" s="64" t="s">
        <v>4963</v>
      </c>
      <c r="BH86" s="64" t="s">
        <v>4956</v>
      </c>
      <c r="BI86" s="64" t="s">
        <v>4812</v>
      </c>
      <c r="BJ86" s="64" t="s">
        <v>4954</v>
      </c>
      <c r="BK86" s="64" t="s">
        <v>474</v>
      </c>
      <c r="BL86" s="64" t="s">
        <v>474</v>
      </c>
      <c r="BM86" s="66" t="s">
        <v>1217</v>
      </c>
      <c r="BN86" s="66" t="s">
        <v>1468</v>
      </c>
      <c r="BO86" s="66" t="s">
        <v>1468</v>
      </c>
      <c r="BP86" s="66" t="s">
        <v>1474</v>
      </c>
      <c r="BQ86" s="66" t="s">
        <v>1479</v>
      </c>
      <c r="BR86" s="64">
        <v>3</v>
      </c>
      <c r="BS86" s="64">
        <v>7.73</v>
      </c>
      <c r="BT86" s="66">
        <v>120</v>
      </c>
      <c r="BU86" s="79"/>
      <c r="BV86" s="79"/>
      <c r="BW86" s="79"/>
      <c r="BX86" s="79"/>
      <c r="BY86" s="79"/>
      <c r="BZ86" s="79"/>
      <c r="CA86" s="64"/>
      <c r="CB86" s="64">
        <v>132.18628719275549</v>
      </c>
      <c r="CC86" s="64">
        <v>0.1301656050955414</v>
      </c>
      <c r="CD86" s="64" t="s">
        <v>474</v>
      </c>
      <c r="CE86" s="79"/>
      <c r="CF86" s="79"/>
      <c r="CG86" s="79"/>
      <c r="CH86" s="64">
        <v>0.5</v>
      </c>
      <c r="CI86" s="79"/>
      <c r="CJ86" s="79"/>
      <c r="CK86" s="79"/>
      <c r="CL86" s="79"/>
      <c r="CM86" s="79"/>
      <c r="CN86" s="79"/>
      <c r="CO86" s="79"/>
      <c r="CP86" s="79"/>
      <c r="CQ86" s="79"/>
      <c r="CR86" s="79"/>
      <c r="CS86" s="79"/>
      <c r="CT86" s="79"/>
      <c r="CU86" s="79"/>
      <c r="CV86" s="79"/>
      <c r="CW86" s="79"/>
      <c r="CX86" s="79"/>
      <c r="CY86" s="79"/>
      <c r="CZ86" s="79"/>
      <c r="DA86" s="79"/>
      <c r="DB86" s="79"/>
      <c r="DC86" s="79"/>
      <c r="DD86" s="79"/>
      <c r="DE86" s="79"/>
      <c r="DF86" s="79"/>
      <c r="DG86" s="79"/>
      <c r="DH86" s="79"/>
      <c r="DI86" s="79"/>
      <c r="DJ86" s="79"/>
      <c r="DK86" s="79"/>
      <c r="DL86" s="79"/>
      <c r="DM86" s="79"/>
      <c r="DN86" s="79"/>
      <c r="DO86" s="79"/>
      <c r="DP86" s="79"/>
      <c r="DQ86" s="79"/>
      <c r="DR86" s="66" t="s">
        <v>1873</v>
      </c>
      <c r="DS86" s="66"/>
      <c r="DT86" s="79"/>
      <c r="DU86" s="79"/>
      <c r="DV86" s="79"/>
      <c r="DW86" s="79"/>
      <c r="DX86" s="79"/>
      <c r="DY86" s="78"/>
    </row>
    <row r="87" spans="1:129" x14ac:dyDescent="0.35">
      <c r="A87" s="42" t="s">
        <v>4743</v>
      </c>
      <c r="B87" s="42" t="s">
        <v>4815</v>
      </c>
      <c r="C87" s="42" t="s">
        <v>150</v>
      </c>
      <c r="D87" s="43" t="s">
        <v>151</v>
      </c>
      <c r="F87" s="44" t="s">
        <v>4814</v>
      </c>
      <c r="G87" s="42" t="s">
        <v>4955</v>
      </c>
      <c r="H87" s="42" t="s">
        <v>68</v>
      </c>
      <c r="I87" s="43" t="s">
        <v>68</v>
      </c>
      <c r="J87" s="43" t="s">
        <v>68</v>
      </c>
      <c r="K87" s="43"/>
      <c r="L87" s="43" t="s">
        <v>69</v>
      </c>
      <c r="M87" s="43">
        <v>3</v>
      </c>
      <c r="N87" s="43">
        <v>3</v>
      </c>
      <c r="O87" s="43" t="s">
        <v>69</v>
      </c>
      <c r="P87" s="43">
        <v>4</v>
      </c>
      <c r="Q87" s="43">
        <v>4</v>
      </c>
      <c r="R87" s="43" t="s">
        <v>69</v>
      </c>
      <c r="S87" s="43">
        <v>5</v>
      </c>
      <c r="T87" s="43">
        <v>5</v>
      </c>
      <c r="U87" s="42" t="s">
        <v>5318</v>
      </c>
      <c r="V87" s="42">
        <v>106.75</v>
      </c>
      <c r="W87" s="42">
        <v>106.76</v>
      </c>
      <c r="X87" s="42" t="s">
        <v>5339</v>
      </c>
      <c r="Y87" s="42" t="s">
        <v>5340</v>
      </c>
      <c r="Z87" s="43" t="s">
        <v>4743</v>
      </c>
      <c r="AA87" s="43" t="s">
        <v>4742</v>
      </c>
      <c r="AC87" s="42" t="s">
        <v>4684</v>
      </c>
      <c r="AD87" s="42" t="s">
        <v>4685</v>
      </c>
      <c r="AE87" s="42" t="s">
        <v>4686</v>
      </c>
      <c r="AF87" s="42" t="s">
        <v>150</v>
      </c>
      <c r="AG87" s="42" t="s">
        <v>4685</v>
      </c>
      <c r="AH87" t="s">
        <v>5318</v>
      </c>
      <c r="AI87" s="42" t="s">
        <v>4959</v>
      </c>
      <c r="AJ87" s="42" t="s">
        <v>5321</v>
      </c>
      <c r="AL87" s="42" t="s">
        <v>5322</v>
      </c>
      <c r="AM87" s="43">
        <v>106.75</v>
      </c>
      <c r="AN87" s="43">
        <v>106.76</v>
      </c>
      <c r="AO87" s="43" t="s">
        <v>70</v>
      </c>
      <c r="AQ87" s="43">
        <v>1</v>
      </c>
      <c r="AR87" s="42" t="s">
        <v>5341</v>
      </c>
      <c r="AU87" s="64"/>
      <c r="AV87" s="64">
        <v>62</v>
      </c>
      <c r="AW87" s="64" t="s">
        <v>4955</v>
      </c>
      <c r="AX87" s="64" t="s">
        <v>4744</v>
      </c>
      <c r="AY87" s="66" t="s">
        <v>478</v>
      </c>
      <c r="AZ87" s="66" t="s">
        <v>150</v>
      </c>
      <c r="BA87" s="64">
        <v>106.75</v>
      </c>
      <c r="BB87" s="64">
        <v>106.76</v>
      </c>
      <c r="BC87" s="64" t="s">
        <v>5339</v>
      </c>
      <c r="BD87" s="64" t="s">
        <v>5340</v>
      </c>
      <c r="BE87" s="64" t="s">
        <v>5339</v>
      </c>
      <c r="BF87" s="64" t="s">
        <v>5340</v>
      </c>
      <c r="BG87" s="64" t="s">
        <v>4963</v>
      </c>
      <c r="BH87" s="64" t="s">
        <v>5318</v>
      </c>
      <c r="BI87" s="64" t="s">
        <v>4814</v>
      </c>
      <c r="BJ87" s="64" t="s">
        <v>4954</v>
      </c>
      <c r="BK87" s="64" t="s">
        <v>474</v>
      </c>
      <c r="BL87" s="64" t="s">
        <v>474</v>
      </c>
      <c r="BM87" s="66" t="s">
        <v>1225</v>
      </c>
      <c r="BN87" s="66" t="s">
        <v>1468</v>
      </c>
      <c r="BO87" s="66" t="s">
        <v>1468</v>
      </c>
      <c r="BP87" s="66" t="s">
        <v>1474</v>
      </c>
      <c r="BQ87" s="66" t="s">
        <v>1479</v>
      </c>
      <c r="BR87" s="64">
        <v>3.34</v>
      </c>
      <c r="BS87" s="64">
        <v>1.556</v>
      </c>
      <c r="BT87" s="66">
        <v>120</v>
      </c>
      <c r="BU87" s="79"/>
      <c r="BV87" s="79"/>
      <c r="BW87" s="79"/>
      <c r="BX87" s="79"/>
      <c r="BY87" s="79"/>
      <c r="BZ87" s="79"/>
      <c r="CA87" s="64"/>
      <c r="CB87" s="64" t="s">
        <v>1100</v>
      </c>
      <c r="CC87" s="64" t="s">
        <v>1100</v>
      </c>
      <c r="CD87" s="64" t="s">
        <v>474</v>
      </c>
      <c r="CE87" s="79"/>
      <c r="CF87" s="79"/>
      <c r="CG87" s="79"/>
      <c r="CH87" s="64">
        <v>7.4999999999999997E-2</v>
      </c>
      <c r="CI87" s="79"/>
      <c r="CJ87" s="79"/>
      <c r="CK87" s="79"/>
      <c r="CL87" s="79"/>
      <c r="CM87" s="79"/>
      <c r="CN87" s="79"/>
      <c r="CO87" s="79"/>
      <c r="CP87" s="79"/>
      <c r="CQ87" s="79"/>
      <c r="CR87" s="79"/>
      <c r="CS87" s="79"/>
      <c r="CT87" s="79"/>
      <c r="CU87" s="79"/>
      <c r="CV87" s="79"/>
      <c r="CW87" s="79"/>
      <c r="CX87" s="79"/>
      <c r="CY87" s="79"/>
      <c r="CZ87" s="79"/>
      <c r="DA87" s="79"/>
      <c r="DB87" s="79"/>
      <c r="DC87" s="79"/>
      <c r="DD87" s="79"/>
      <c r="DE87" s="79"/>
      <c r="DF87" s="79"/>
      <c r="DG87" s="79"/>
      <c r="DH87" s="79"/>
      <c r="DI87" s="79"/>
      <c r="DJ87" s="79"/>
      <c r="DK87" s="79"/>
      <c r="DL87" s="79"/>
      <c r="DM87" s="79"/>
      <c r="DN87" s="79"/>
      <c r="DO87" s="79"/>
      <c r="DP87" s="79"/>
      <c r="DQ87" s="79"/>
      <c r="DR87" s="66" t="s">
        <v>1873</v>
      </c>
      <c r="DS87" s="66"/>
      <c r="DT87" s="79"/>
      <c r="DU87" s="79"/>
      <c r="DV87" s="79"/>
      <c r="DW87" s="79"/>
      <c r="DX87" s="79"/>
      <c r="DY87" s="78"/>
    </row>
    <row r="88" spans="1:129" x14ac:dyDescent="0.35">
      <c r="A88" s="42" t="s">
        <v>4743</v>
      </c>
      <c r="B88" s="42" t="s">
        <v>4817</v>
      </c>
      <c r="C88" s="42" t="s">
        <v>150</v>
      </c>
      <c r="D88" s="43" t="s">
        <v>151</v>
      </c>
      <c r="F88" s="44" t="s">
        <v>4816</v>
      </c>
      <c r="G88" s="42" t="s">
        <v>4955</v>
      </c>
      <c r="H88" s="42" t="s">
        <v>68</v>
      </c>
      <c r="I88" s="43" t="s">
        <v>68</v>
      </c>
      <c r="J88" s="43" t="s">
        <v>68</v>
      </c>
      <c r="K88" s="43"/>
      <c r="L88" s="43" t="s">
        <v>69</v>
      </c>
      <c r="M88" s="43">
        <v>3</v>
      </c>
      <c r="N88" s="43">
        <v>3</v>
      </c>
      <c r="O88" s="43" t="s">
        <v>69</v>
      </c>
      <c r="P88" s="43">
        <v>4</v>
      </c>
      <c r="Q88" s="43">
        <v>4</v>
      </c>
      <c r="R88" s="43" t="s">
        <v>69</v>
      </c>
      <c r="S88" s="43">
        <v>5</v>
      </c>
      <c r="T88" s="43">
        <v>5</v>
      </c>
      <c r="U88" s="42" t="s">
        <v>5318</v>
      </c>
      <c r="V88" s="42">
        <v>106.75</v>
      </c>
      <c r="W88" s="42">
        <v>106.76</v>
      </c>
      <c r="X88" s="42" t="s">
        <v>5342</v>
      </c>
      <c r="Y88" s="42" t="s">
        <v>5343</v>
      </c>
      <c r="Z88" s="43" t="s">
        <v>4743</v>
      </c>
      <c r="AA88" s="43" t="s">
        <v>4742</v>
      </c>
      <c r="AC88" s="42" t="s">
        <v>4684</v>
      </c>
      <c r="AD88" s="42" t="s">
        <v>4685</v>
      </c>
      <c r="AE88" s="42" t="s">
        <v>4686</v>
      </c>
      <c r="AF88" s="42" t="s">
        <v>150</v>
      </c>
      <c r="AG88" s="42" t="s">
        <v>4685</v>
      </c>
      <c r="AH88" t="s">
        <v>5318</v>
      </c>
      <c r="AI88" s="42" t="s">
        <v>4959</v>
      </c>
      <c r="AJ88" s="42" t="s">
        <v>5321</v>
      </c>
      <c r="AL88" s="42" t="s">
        <v>5322</v>
      </c>
      <c r="AM88" s="43">
        <v>106.75</v>
      </c>
      <c r="AN88" s="43">
        <v>106.76</v>
      </c>
      <c r="AO88" s="43" t="s">
        <v>70</v>
      </c>
      <c r="AQ88" s="43">
        <v>1</v>
      </c>
      <c r="AR88" s="42" t="s">
        <v>5344</v>
      </c>
      <c r="AU88" s="64"/>
      <c r="AV88" s="64">
        <v>62</v>
      </c>
      <c r="AW88" s="64" t="s">
        <v>4955</v>
      </c>
      <c r="AX88" s="64" t="s">
        <v>4744</v>
      </c>
      <c r="AY88" s="66" t="s">
        <v>478</v>
      </c>
      <c r="AZ88" s="66" t="s">
        <v>150</v>
      </c>
      <c r="BA88" s="64">
        <v>106.75</v>
      </c>
      <c r="BB88" s="64">
        <v>106.76</v>
      </c>
      <c r="BC88" s="64" t="s">
        <v>5342</v>
      </c>
      <c r="BD88" s="64" t="s">
        <v>5343</v>
      </c>
      <c r="BE88" s="64" t="s">
        <v>5342</v>
      </c>
      <c r="BF88" s="64" t="s">
        <v>5343</v>
      </c>
      <c r="BG88" s="64" t="s">
        <v>4963</v>
      </c>
      <c r="BH88" s="64" t="s">
        <v>5318</v>
      </c>
      <c r="BI88" s="64" t="s">
        <v>4816</v>
      </c>
      <c r="BJ88" s="64" t="s">
        <v>4954</v>
      </c>
      <c r="BK88" s="64" t="s">
        <v>474</v>
      </c>
      <c r="BL88" s="64" t="s">
        <v>474</v>
      </c>
      <c r="BM88" s="66" t="s">
        <v>1225</v>
      </c>
      <c r="BN88" s="66" t="s">
        <v>1468</v>
      </c>
      <c r="BO88" s="66" t="s">
        <v>1468</v>
      </c>
      <c r="BP88" s="66" t="s">
        <v>1474</v>
      </c>
      <c r="BQ88" s="66" t="s">
        <v>1479</v>
      </c>
      <c r="BR88" s="64">
        <v>3.0659999999999998</v>
      </c>
      <c r="BS88" s="64">
        <v>1.22</v>
      </c>
      <c r="BT88" s="66">
        <v>120</v>
      </c>
      <c r="BU88" s="79"/>
      <c r="BV88" s="79"/>
      <c r="BW88" s="79"/>
      <c r="BX88" s="79"/>
      <c r="BY88" s="79"/>
      <c r="BZ88" s="79"/>
      <c r="CA88" s="64"/>
      <c r="CB88" s="64" t="s">
        <v>1100</v>
      </c>
      <c r="CC88" s="64" t="s">
        <v>1100</v>
      </c>
      <c r="CD88" s="64" t="s">
        <v>474</v>
      </c>
      <c r="CE88" s="79"/>
      <c r="CF88" s="79"/>
      <c r="CG88" s="79"/>
      <c r="CH88" s="64">
        <v>7.4999999999999997E-2</v>
      </c>
      <c r="CI88" s="79"/>
      <c r="CJ88" s="79"/>
      <c r="CK88" s="79"/>
      <c r="CL88" s="79"/>
      <c r="CM88" s="79"/>
      <c r="CN88" s="79"/>
      <c r="CO88" s="79"/>
      <c r="CP88" s="79"/>
      <c r="CQ88" s="79"/>
      <c r="CR88" s="79"/>
      <c r="CS88" s="79"/>
      <c r="CT88" s="79"/>
      <c r="CU88" s="79"/>
      <c r="CV88" s="79"/>
      <c r="CW88" s="79"/>
      <c r="CX88" s="79"/>
      <c r="CY88" s="79"/>
      <c r="CZ88" s="79"/>
      <c r="DA88" s="79"/>
      <c r="DB88" s="79"/>
      <c r="DC88" s="79"/>
      <c r="DD88" s="79"/>
      <c r="DE88" s="79"/>
      <c r="DF88" s="79"/>
      <c r="DG88" s="79"/>
      <c r="DH88" s="79"/>
      <c r="DI88" s="79"/>
      <c r="DJ88" s="79"/>
      <c r="DK88" s="79"/>
      <c r="DL88" s="79"/>
      <c r="DM88" s="79"/>
      <c r="DN88" s="79"/>
      <c r="DO88" s="79"/>
      <c r="DP88" s="79"/>
      <c r="DQ88" s="79"/>
      <c r="DR88" s="66" t="s">
        <v>1873</v>
      </c>
      <c r="DS88" s="66"/>
      <c r="DT88" s="79"/>
      <c r="DU88" s="79"/>
      <c r="DV88" s="79"/>
      <c r="DW88" s="79"/>
      <c r="DX88" s="79"/>
      <c r="DY88" s="78"/>
    </row>
    <row r="89" spans="1:129" x14ac:dyDescent="0.35">
      <c r="A89" s="42" t="s">
        <v>4743</v>
      </c>
      <c r="B89" s="42" t="s">
        <v>4819</v>
      </c>
      <c r="C89" s="42" t="s">
        <v>150</v>
      </c>
      <c r="D89" s="43" t="s">
        <v>151</v>
      </c>
      <c r="F89" s="44" t="s">
        <v>4818</v>
      </c>
      <c r="G89" s="42" t="s">
        <v>4955</v>
      </c>
      <c r="H89" s="42" t="s">
        <v>68</v>
      </c>
      <c r="I89" s="43" t="s">
        <v>68</v>
      </c>
      <c r="J89" s="43" t="s">
        <v>68</v>
      </c>
      <c r="K89" s="43"/>
      <c r="L89" s="43" t="s">
        <v>69</v>
      </c>
      <c r="M89" s="43">
        <v>3</v>
      </c>
      <c r="N89" s="43">
        <v>3</v>
      </c>
      <c r="O89" s="43" t="s">
        <v>69</v>
      </c>
      <c r="P89" s="43">
        <v>4</v>
      </c>
      <c r="Q89" s="43">
        <v>4</v>
      </c>
      <c r="R89" s="43" t="s">
        <v>69</v>
      </c>
      <c r="S89" s="43">
        <v>5</v>
      </c>
      <c r="T89" s="43">
        <v>5</v>
      </c>
      <c r="U89" s="42" t="s">
        <v>5318</v>
      </c>
      <c r="V89" s="42">
        <v>106.75</v>
      </c>
      <c r="W89" s="42">
        <v>106.76</v>
      </c>
      <c r="X89" s="42" t="s">
        <v>5345</v>
      </c>
      <c r="Y89" s="42" t="s">
        <v>5346</v>
      </c>
      <c r="Z89" s="43" t="s">
        <v>4743</v>
      </c>
      <c r="AA89" s="43" t="s">
        <v>4742</v>
      </c>
      <c r="AC89" s="42" t="s">
        <v>4684</v>
      </c>
      <c r="AD89" s="42" t="s">
        <v>4685</v>
      </c>
      <c r="AE89" s="42" t="s">
        <v>4686</v>
      </c>
      <c r="AF89" s="42" t="s">
        <v>150</v>
      </c>
      <c r="AG89" s="42" t="s">
        <v>4685</v>
      </c>
      <c r="AH89" t="s">
        <v>5318</v>
      </c>
      <c r="AI89" s="42" t="s">
        <v>4959</v>
      </c>
      <c r="AJ89" s="42" t="s">
        <v>5321</v>
      </c>
      <c r="AL89" s="42" t="s">
        <v>5322</v>
      </c>
      <c r="AM89" s="43">
        <v>106.75</v>
      </c>
      <c r="AN89" s="43">
        <v>106.76</v>
      </c>
      <c r="AO89" s="43" t="s">
        <v>70</v>
      </c>
      <c r="AQ89" s="43">
        <v>1</v>
      </c>
      <c r="AR89" s="42" t="s">
        <v>5347</v>
      </c>
      <c r="AU89" s="64"/>
      <c r="AV89" s="64">
        <v>62</v>
      </c>
      <c r="AW89" s="64" t="s">
        <v>4955</v>
      </c>
      <c r="AX89" s="64" t="s">
        <v>4744</v>
      </c>
      <c r="AY89" s="66" t="s">
        <v>478</v>
      </c>
      <c r="AZ89" s="66" t="s">
        <v>150</v>
      </c>
      <c r="BA89" s="64">
        <v>106.75</v>
      </c>
      <c r="BB89" s="64">
        <v>106.76</v>
      </c>
      <c r="BC89" s="64" t="s">
        <v>5345</v>
      </c>
      <c r="BD89" s="64" t="s">
        <v>5346</v>
      </c>
      <c r="BE89" s="64" t="s">
        <v>5345</v>
      </c>
      <c r="BF89" s="64" t="s">
        <v>5346</v>
      </c>
      <c r="BG89" s="64" t="s">
        <v>4963</v>
      </c>
      <c r="BH89" s="64" t="s">
        <v>5318</v>
      </c>
      <c r="BI89" s="64" t="s">
        <v>4818</v>
      </c>
      <c r="BJ89" s="64" t="s">
        <v>4954</v>
      </c>
      <c r="BK89" s="64" t="s">
        <v>474</v>
      </c>
      <c r="BL89" s="64" t="s">
        <v>474</v>
      </c>
      <c r="BM89" s="66" t="s">
        <v>1225</v>
      </c>
      <c r="BN89" s="66" t="s">
        <v>1468</v>
      </c>
      <c r="BO89" s="66" t="s">
        <v>1468</v>
      </c>
      <c r="BP89" s="66" t="s">
        <v>1474</v>
      </c>
      <c r="BQ89" s="66" t="s">
        <v>1479</v>
      </c>
      <c r="BR89" s="64">
        <v>3.0760000000000001</v>
      </c>
      <c r="BS89" s="64">
        <v>1.22</v>
      </c>
      <c r="BT89" s="66">
        <v>120</v>
      </c>
      <c r="BU89" s="79"/>
      <c r="BV89" s="79"/>
      <c r="BW89" s="79"/>
      <c r="BX89" s="79"/>
      <c r="BY89" s="79"/>
      <c r="BZ89" s="79"/>
      <c r="CA89" s="64"/>
      <c r="CB89" s="64" t="s">
        <v>1100</v>
      </c>
      <c r="CC89" s="64" t="s">
        <v>1100</v>
      </c>
      <c r="CD89" s="64" t="s">
        <v>474</v>
      </c>
      <c r="CE89" s="79"/>
      <c r="CF89" s="79"/>
      <c r="CG89" s="79"/>
      <c r="CH89" s="64">
        <v>7.4999999999999997E-2</v>
      </c>
      <c r="CI89" s="79"/>
      <c r="CJ89" s="79"/>
      <c r="CK89" s="79"/>
      <c r="CL89" s="79"/>
      <c r="CM89" s="79"/>
      <c r="CN89" s="79"/>
      <c r="CO89" s="79"/>
      <c r="CP89" s="79"/>
      <c r="CQ89" s="79"/>
      <c r="CR89" s="79"/>
      <c r="CS89" s="79"/>
      <c r="CT89" s="79"/>
      <c r="CU89" s="79"/>
      <c r="CV89" s="79"/>
      <c r="CW89" s="79"/>
      <c r="CX89" s="79"/>
      <c r="CY89" s="79"/>
      <c r="CZ89" s="79"/>
      <c r="DA89" s="79"/>
      <c r="DB89" s="79"/>
      <c r="DC89" s="79"/>
      <c r="DD89" s="79"/>
      <c r="DE89" s="79"/>
      <c r="DF89" s="79"/>
      <c r="DG89" s="79"/>
      <c r="DH89" s="79"/>
      <c r="DI89" s="79"/>
      <c r="DJ89" s="79"/>
      <c r="DK89" s="79"/>
      <c r="DL89" s="79"/>
      <c r="DM89" s="79"/>
      <c r="DN89" s="79"/>
      <c r="DO89" s="79"/>
      <c r="DP89" s="79"/>
      <c r="DQ89" s="79"/>
      <c r="DR89" s="66" t="s">
        <v>1873</v>
      </c>
      <c r="DS89" s="66"/>
      <c r="DT89" s="79"/>
      <c r="DU89" s="79"/>
      <c r="DV89" s="79"/>
      <c r="DW89" s="79"/>
      <c r="DX89" s="79"/>
      <c r="DY89" s="78"/>
    </row>
    <row r="90" spans="1:129" x14ac:dyDescent="0.35">
      <c r="A90" s="42" t="s">
        <v>4743</v>
      </c>
      <c r="B90" s="42" t="s">
        <v>5348</v>
      </c>
      <c r="C90" s="42" t="s">
        <v>154</v>
      </c>
      <c r="D90" s="43" t="s">
        <v>155</v>
      </c>
      <c r="F90" s="44" t="s">
        <v>5349</v>
      </c>
      <c r="G90" s="42" t="s">
        <v>4955</v>
      </c>
      <c r="H90" s="42" t="s">
        <v>68</v>
      </c>
      <c r="I90" s="43" t="s">
        <v>68</v>
      </c>
      <c r="J90" s="43" t="s">
        <v>68</v>
      </c>
      <c r="K90" s="43"/>
      <c r="L90" s="43" t="s">
        <v>69</v>
      </c>
      <c r="M90" s="43">
        <v>3</v>
      </c>
      <c r="N90" s="43">
        <v>3</v>
      </c>
      <c r="O90" s="43" t="s">
        <v>69</v>
      </c>
      <c r="P90" s="43">
        <v>4</v>
      </c>
      <c r="Q90" s="43">
        <v>4</v>
      </c>
      <c r="R90" s="43" t="s">
        <v>69</v>
      </c>
      <c r="S90" s="43">
        <v>5</v>
      </c>
      <c r="T90" s="43">
        <v>5</v>
      </c>
      <c r="U90" s="42" t="s">
        <v>5350</v>
      </c>
      <c r="V90" s="42">
        <v>106.73</v>
      </c>
      <c r="W90" s="42">
        <v>106.73</v>
      </c>
      <c r="X90" s="42" t="s">
        <v>5351</v>
      </c>
      <c r="Y90" s="42" t="s">
        <v>5352</v>
      </c>
      <c r="Z90" s="43" t="s">
        <v>4743</v>
      </c>
      <c r="AA90" s="43" t="s">
        <v>4742</v>
      </c>
      <c r="AC90" s="42" t="s">
        <v>4684</v>
      </c>
      <c r="AD90" s="42" t="s">
        <v>4685</v>
      </c>
      <c r="AE90" s="42" t="s">
        <v>4686</v>
      </c>
      <c r="AF90" s="42" t="s">
        <v>154</v>
      </c>
      <c r="AG90" s="42" t="s">
        <v>4685</v>
      </c>
      <c r="AH90" t="s">
        <v>5350</v>
      </c>
      <c r="AI90" s="42" t="s">
        <v>4959</v>
      </c>
      <c r="AJ90" s="42" t="s">
        <v>155</v>
      </c>
      <c r="AL90" s="42" t="s">
        <v>5353</v>
      </c>
      <c r="AM90" s="43">
        <v>106.73</v>
      </c>
      <c r="AN90" s="43">
        <v>106.73</v>
      </c>
      <c r="AO90" s="43" t="s">
        <v>70</v>
      </c>
      <c r="AQ90" s="43">
        <v>1</v>
      </c>
      <c r="AR90" s="42" t="s">
        <v>5354</v>
      </c>
      <c r="AU90" s="64"/>
      <c r="AV90" s="64">
        <v>62</v>
      </c>
      <c r="AW90" s="64" t="s">
        <v>4955</v>
      </c>
      <c r="AX90" s="64" t="s">
        <v>4744</v>
      </c>
      <c r="AY90" s="66" t="s">
        <v>478</v>
      </c>
      <c r="AZ90" s="66" t="s">
        <v>154</v>
      </c>
      <c r="BA90" s="64">
        <v>106.73</v>
      </c>
      <c r="BB90" s="64">
        <v>106.73</v>
      </c>
      <c r="BC90" s="64" t="s">
        <v>5351</v>
      </c>
      <c r="BD90" s="64" t="s">
        <v>5352</v>
      </c>
      <c r="BE90" s="64" t="s">
        <v>5351</v>
      </c>
      <c r="BF90" s="64" t="s">
        <v>5352</v>
      </c>
      <c r="BG90" s="64" t="s">
        <v>4963</v>
      </c>
      <c r="BH90" s="64" t="s">
        <v>5350</v>
      </c>
      <c r="BI90" s="64" t="s">
        <v>5349</v>
      </c>
      <c r="BJ90" s="64" t="s">
        <v>4954</v>
      </c>
      <c r="BK90" s="64" t="s">
        <v>474</v>
      </c>
      <c r="BL90" s="64" t="s">
        <v>474</v>
      </c>
      <c r="BM90" s="66" t="s">
        <v>1256</v>
      </c>
      <c r="BN90" s="66" t="s">
        <v>1468</v>
      </c>
      <c r="BO90" s="66" t="s">
        <v>1468</v>
      </c>
      <c r="BP90" s="66" t="s">
        <v>1474</v>
      </c>
      <c r="BQ90" s="66" t="s">
        <v>1479</v>
      </c>
      <c r="BR90" s="64">
        <v>5.0250000000000004</v>
      </c>
      <c r="BS90" s="64">
        <v>0.01</v>
      </c>
      <c r="BT90" s="66">
        <v>120</v>
      </c>
      <c r="BU90" s="79"/>
      <c r="BV90" s="79"/>
      <c r="BW90" s="79"/>
      <c r="BX90" s="79"/>
      <c r="BY90" s="64">
        <v>3.9449999999999998</v>
      </c>
      <c r="BZ90" s="79"/>
      <c r="CA90" s="79"/>
      <c r="CB90" s="79"/>
      <c r="CC90" s="79"/>
      <c r="CD90" s="79"/>
      <c r="CE90" s="79"/>
      <c r="CF90" s="79"/>
      <c r="CG90" s="79"/>
      <c r="CH90" s="79"/>
      <c r="CI90" s="79"/>
      <c r="CJ90" s="79"/>
      <c r="CK90" s="79"/>
      <c r="CL90" s="79"/>
      <c r="CM90" s="79"/>
      <c r="CN90" s="79"/>
      <c r="CO90" s="79"/>
      <c r="CP90" s="66" t="s">
        <v>1654</v>
      </c>
      <c r="CQ90" s="79"/>
      <c r="CR90" s="79"/>
      <c r="CS90" s="79"/>
      <c r="CT90" s="79"/>
      <c r="CU90" s="79"/>
      <c r="CV90" s="79"/>
      <c r="CW90" s="79"/>
      <c r="CX90" s="79"/>
      <c r="CY90" s="79"/>
      <c r="CZ90" s="79"/>
      <c r="DA90" s="79"/>
      <c r="DB90" s="79"/>
      <c r="DC90" s="79"/>
      <c r="DD90" s="79"/>
      <c r="DE90" s="79"/>
      <c r="DF90" s="79"/>
      <c r="DG90" s="79"/>
      <c r="DH90" s="79"/>
      <c r="DI90" s="79"/>
      <c r="DJ90" s="79"/>
      <c r="DK90" s="79"/>
      <c r="DL90" s="79"/>
      <c r="DM90" s="79"/>
      <c r="DN90" s="79"/>
      <c r="DO90" s="79"/>
      <c r="DP90" s="79"/>
      <c r="DQ90" s="79"/>
      <c r="DR90" s="79"/>
      <c r="DS90" s="79"/>
      <c r="DT90" s="79"/>
      <c r="DU90" s="79"/>
      <c r="DV90" s="79"/>
      <c r="DW90" s="79"/>
      <c r="DX90" s="79"/>
      <c r="DY90" s="78"/>
    </row>
    <row r="91" spans="1:129" x14ac:dyDescent="0.35">
      <c r="A91" s="42" t="s">
        <v>4743</v>
      </c>
      <c r="B91" s="42" t="s">
        <v>5355</v>
      </c>
      <c r="C91" s="42" t="s">
        <v>154</v>
      </c>
      <c r="D91" s="43" t="s">
        <v>155</v>
      </c>
      <c r="F91" s="44" t="s">
        <v>5356</v>
      </c>
      <c r="G91" s="42" t="s">
        <v>4955</v>
      </c>
      <c r="H91" s="42" t="s">
        <v>68</v>
      </c>
      <c r="I91" s="43" t="s">
        <v>68</v>
      </c>
      <c r="J91" s="43" t="s">
        <v>68</v>
      </c>
      <c r="K91" s="43"/>
      <c r="L91" s="43" t="s">
        <v>69</v>
      </c>
      <c r="M91" s="43">
        <v>3</v>
      </c>
      <c r="N91" s="43">
        <v>3</v>
      </c>
      <c r="O91" s="43" t="s">
        <v>69</v>
      </c>
      <c r="P91" s="43">
        <v>4</v>
      </c>
      <c r="Q91" s="43">
        <v>4</v>
      </c>
      <c r="R91" s="43" t="s">
        <v>69</v>
      </c>
      <c r="S91" s="43">
        <v>5</v>
      </c>
      <c r="T91" s="43">
        <v>5</v>
      </c>
      <c r="U91" s="42" t="s">
        <v>5350</v>
      </c>
      <c r="V91" s="42">
        <v>106.73</v>
      </c>
      <c r="W91" s="42">
        <v>106.73</v>
      </c>
      <c r="X91" s="42" t="s">
        <v>5357</v>
      </c>
      <c r="Y91" s="42" t="s">
        <v>5358</v>
      </c>
      <c r="Z91" s="43" t="s">
        <v>4743</v>
      </c>
      <c r="AA91" s="43" t="s">
        <v>4742</v>
      </c>
      <c r="AC91" s="42" t="s">
        <v>4684</v>
      </c>
      <c r="AD91" s="42" t="s">
        <v>4685</v>
      </c>
      <c r="AE91" s="42" t="s">
        <v>4686</v>
      </c>
      <c r="AF91" s="42" t="s">
        <v>154</v>
      </c>
      <c r="AG91" s="42" t="s">
        <v>4685</v>
      </c>
      <c r="AH91" t="s">
        <v>5350</v>
      </c>
      <c r="AI91" s="42" t="s">
        <v>4959</v>
      </c>
      <c r="AJ91" s="42" t="s">
        <v>155</v>
      </c>
      <c r="AL91" s="42" t="s">
        <v>5353</v>
      </c>
      <c r="AM91" s="43">
        <v>106.73</v>
      </c>
      <c r="AN91" s="43">
        <v>106.73</v>
      </c>
      <c r="AO91" s="43" t="s">
        <v>70</v>
      </c>
      <c r="AQ91" s="43">
        <v>1</v>
      </c>
      <c r="AR91" s="42" t="s">
        <v>5359</v>
      </c>
      <c r="AU91" s="64"/>
      <c r="AV91" s="64">
        <v>62</v>
      </c>
      <c r="AW91" s="64" t="s">
        <v>4955</v>
      </c>
      <c r="AX91" s="64" t="s">
        <v>4744</v>
      </c>
      <c r="AY91" s="66" t="s">
        <v>478</v>
      </c>
      <c r="AZ91" s="66" t="s">
        <v>154</v>
      </c>
      <c r="BA91" s="64">
        <v>106.73</v>
      </c>
      <c r="BB91" s="64">
        <v>106.73</v>
      </c>
      <c r="BC91" s="64" t="s">
        <v>5357</v>
      </c>
      <c r="BD91" s="64" t="s">
        <v>5358</v>
      </c>
      <c r="BE91" s="64" t="s">
        <v>5357</v>
      </c>
      <c r="BF91" s="64" t="s">
        <v>5358</v>
      </c>
      <c r="BG91" s="64" t="s">
        <v>4963</v>
      </c>
      <c r="BH91" s="64" t="s">
        <v>5350</v>
      </c>
      <c r="BI91" s="64" t="s">
        <v>5356</v>
      </c>
      <c r="BJ91" s="64" t="s">
        <v>4954</v>
      </c>
      <c r="BK91" s="64" t="s">
        <v>474</v>
      </c>
      <c r="BL91" s="64" t="s">
        <v>474</v>
      </c>
      <c r="BM91" s="66" t="s">
        <v>1256</v>
      </c>
      <c r="BN91" s="66" t="s">
        <v>1468</v>
      </c>
      <c r="BO91" s="66" t="s">
        <v>1468</v>
      </c>
      <c r="BP91" s="66" t="s">
        <v>1474</v>
      </c>
      <c r="BQ91" s="66" t="s">
        <v>1479</v>
      </c>
      <c r="BR91" s="64">
        <v>4.7249999999999996</v>
      </c>
      <c r="BS91" s="64">
        <v>0.01</v>
      </c>
      <c r="BT91" s="66">
        <v>120</v>
      </c>
      <c r="BU91" s="79"/>
      <c r="BV91" s="79"/>
      <c r="BW91" s="79"/>
      <c r="BX91" s="79"/>
      <c r="BY91" s="64">
        <v>3.68</v>
      </c>
      <c r="BZ91" s="79"/>
      <c r="CA91" s="79"/>
      <c r="CB91" s="79"/>
      <c r="CC91" s="79"/>
      <c r="CD91" s="79"/>
      <c r="CE91" s="79"/>
      <c r="CF91" s="79"/>
      <c r="CG91" s="79"/>
      <c r="CH91" s="79"/>
      <c r="CI91" s="79"/>
      <c r="CJ91" s="79"/>
      <c r="CK91" s="79"/>
      <c r="CL91" s="79"/>
      <c r="CM91" s="79"/>
      <c r="CN91" s="79"/>
      <c r="CO91" s="79"/>
      <c r="CP91" s="66" t="s">
        <v>1654</v>
      </c>
      <c r="CQ91" s="79"/>
      <c r="CR91" s="79"/>
      <c r="CS91" s="79"/>
      <c r="CT91" s="79"/>
      <c r="CU91" s="79"/>
      <c r="CV91" s="79"/>
      <c r="CW91" s="79"/>
      <c r="CX91" s="79"/>
      <c r="CY91" s="79"/>
      <c r="CZ91" s="79"/>
      <c r="DA91" s="79"/>
      <c r="DB91" s="79"/>
      <c r="DC91" s="79"/>
      <c r="DD91" s="79"/>
      <c r="DE91" s="79"/>
      <c r="DF91" s="79"/>
      <c r="DG91" s="79"/>
      <c r="DH91" s="79"/>
      <c r="DI91" s="79"/>
      <c r="DJ91" s="79"/>
      <c r="DK91" s="79"/>
      <c r="DL91" s="79"/>
      <c r="DM91" s="79"/>
      <c r="DN91" s="79"/>
      <c r="DO91" s="79"/>
      <c r="DP91" s="79"/>
      <c r="DQ91" s="79"/>
      <c r="DR91" s="79"/>
      <c r="DS91" s="79"/>
      <c r="DT91" s="79"/>
      <c r="DU91" s="79"/>
      <c r="DV91" s="79"/>
      <c r="DW91" s="79"/>
      <c r="DX91" s="79"/>
      <c r="DY91" s="78"/>
    </row>
    <row r="92" spans="1:129" x14ac:dyDescent="0.35">
      <c r="A92" s="42" t="s">
        <v>4743</v>
      </c>
      <c r="B92" s="42" t="s">
        <v>5360</v>
      </c>
      <c r="C92" s="42" t="s">
        <v>154</v>
      </c>
      <c r="D92" s="43" t="s">
        <v>155</v>
      </c>
      <c r="F92" s="44" t="s">
        <v>5361</v>
      </c>
      <c r="G92" s="42" t="s">
        <v>4955</v>
      </c>
      <c r="H92" s="42" t="s">
        <v>68</v>
      </c>
      <c r="I92" s="43" t="s">
        <v>68</v>
      </c>
      <c r="J92" s="43" t="s">
        <v>68</v>
      </c>
      <c r="K92" s="43"/>
      <c r="L92" s="43" t="s">
        <v>69</v>
      </c>
      <c r="M92" s="43">
        <v>3</v>
      </c>
      <c r="N92" s="43">
        <v>3</v>
      </c>
      <c r="O92" s="43" t="s">
        <v>69</v>
      </c>
      <c r="P92" s="43">
        <v>4</v>
      </c>
      <c r="Q92" s="43">
        <v>4</v>
      </c>
      <c r="R92" s="43" t="s">
        <v>69</v>
      </c>
      <c r="S92" s="43">
        <v>5</v>
      </c>
      <c r="T92" s="43">
        <v>5</v>
      </c>
      <c r="U92" s="42" t="s">
        <v>5350</v>
      </c>
      <c r="V92" s="42">
        <v>106.73</v>
      </c>
      <c r="W92" s="42">
        <v>106.73</v>
      </c>
      <c r="X92" s="42" t="s">
        <v>5362</v>
      </c>
      <c r="Y92" s="42" t="s">
        <v>5363</v>
      </c>
      <c r="Z92" s="43" t="s">
        <v>4743</v>
      </c>
      <c r="AA92" s="43" t="s">
        <v>4742</v>
      </c>
      <c r="AC92" s="42" t="s">
        <v>4684</v>
      </c>
      <c r="AD92" s="42" t="s">
        <v>4685</v>
      </c>
      <c r="AE92" s="42" t="s">
        <v>4686</v>
      </c>
      <c r="AF92" s="42" t="s">
        <v>154</v>
      </c>
      <c r="AG92" s="42" t="s">
        <v>4685</v>
      </c>
      <c r="AH92" t="s">
        <v>5350</v>
      </c>
      <c r="AI92" s="42" t="s">
        <v>4959</v>
      </c>
      <c r="AJ92" s="42" t="s">
        <v>155</v>
      </c>
      <c r="AL92" s="42" t="s">
        <v>5353</v>
      </c>
      <c r="AM92" s="43">
        <v>106.73</v>
      </c>
      <c r="AN92" s="43">
        <v>106.73</v>
      </c>
      <c r="AO92" s="43" t="s">
        <v>70</v>
      </c>
      <c r="AQ92" s="43">
        <v>1</v>
      </c>
      <c r="AR92" s="42" t="s">
        <v>5364</v>
      </c>
      <c r="AU92" s="64"/>
      <c r="AV92" s="64">
        <v>62</v>
      </c>
      <c r="AW92" s="64" t="s">
        <v>4955</v>
      </c>
      <c r="AX92" s="64" t="s">
        <v>4744</v>
      </c>
      <c r="AY92" s="66" t="s">
        <v>478</v>
      </c>
      <c r="AZ92" s="66" t="s">
        <v>154</v>
      </c>
      <c r="BA92" s="64">
        <v>106.73</v>
      </c>
      <c r="BB92" s="64">
        <v>106.73</v>
      </c>
      <c r="BC92" s="64" t="s">
        <v>5362</v>
      </c>
      <c r="BD92" s="64" t="s">
        <v>5363</v>
      </c>
      <c r="BE92" s="64" t="s">
        <v>5362</v>
      </c>
      <c r="BF92" s="64" t="s">
        <v>5363</v>
      </c>
      <c r="BG92" s="64" t="s">
        <v>4963</v>
      </c>
      <c r="BH92" s="64" t="s">
        <v>5350</v>
      </c>
      <c r="BI92" s="64" t="s">
        <v>5361</v>
      </c>
      <c r="BJ92" s="64" t="s">
        <v>4954</v>
      </c>
      <c r="BK92" s="64" t="s">
        <v>474</v>
      </c>
      <c r="BL92" s="64" t="s">
        <v>474</v>
      </c>
      <c r="BM92" s="66" t="s">
        <v>1256</v>
      </c>
      <c r="BN92" s="66" t="s">
        <v>1468</v>
      </c>
      <c r="BO92" s="66" t="s">
        <v>1468</v>
      </c>
      <c r="BP92" s="66" t="s">
        <v>1474</v>
      </c>
      <c r="BQ92" s="66" t="s">
        <v>1479</v>
      </c>
      <c r="BR92" s="64">
        <v>0.88400000000000001</v>
      </c>
      <c r="BS92" s="64">
        <v>0.01</v>
      </c>
      <c r="BT92" s="66">
        <v>120</v>
      </c>
      <c r="BU92" s="79"/>
      <c r="BV92" s="79"/>
      <c r="BW92" s="79"/>
      <c r="BX92" s="79"/>
      <c r="BY92" s="64">
        <v>1.65</v>
      </c>
      <c r="BZ92" s="79"/>
      <c r="CA92" s="79"/>
      <c r="CB92" s="79"/>
      <c r="CC92" s="79"/>
      <c r="CD92" s="79"/>
      <c r="CE92" s="79"/>
      <c r="CF92" s="79"/>
      <c r="CG92" s="79"/>
      <c r="CH92" s="79"/>
      <c r="CI92" s="79"/>
      <c r="CJ92" s="79"/>
      <c r="CK92" s="79"/>
      <c r="CL92" s="79"/>
      <c r="CM92" s="79"/>
      <c r="CN92" s="79"/>
      <c r="CO92" s="79"/>
      <c r="CP92" s="66" t="s">
        <v>1654</v>
      </c>
      <c r="CQ92" s="79"/>
      <c r="CR92" s="79"/>
      <c r="CS92" s="79"/>
      <c r="CT92" s="79"/>
      <c r="CU92" s="79"/>
      <c r="CV92" s="79"/>
      <c r="CW92" s="79"/>
      <c r="CX92" s="79"/>
      <c r="CY92" s="79"/>
      <c r="CZ92" s="79"/>
      <c r="DA92" s="79"/>
      <c r="DB92" s="79"/>
      <c r="DC92" s="79"/>
      <c r="DD92" s="79"/>
      <c r="DE92" s="79"/>
      <c r="DF92" s="79"/>
      <c r="DG92" s="79"/>
      <c r="DH92" s="79"/>
      <c r="DI92" s="79"/>
      <c r="DJ92" s="79"/>
      <c r="DK92" s="79"/>
      <c r="DL92" s="79"/>
      <c r="DM92" s="79"/>
      <c r="DN92" s="79"/>
      <c r="DO92" s="79"/>
      <c r="DP92" s="79"/>
      <c r="DQ92" s="79"/>
      <c r="DR92" s="79"/>
      <c r="DS92" s="79"/>
      <c r="DT92" s="79"/>
      <c r="DU92" s="79"/>
      <c r="DV92" s="79"/>
      <c r="DW92" s="79"/>
      <c r="DX92" s="79"/>
      <c r="DY92" s="78"/>
    </row>
    <row r="93" spans="1:129" x14ac:dyDescent="0.35">
      <c r="A93" s="42" t="s">
        <v>4743</v>
      </c>
      <c r="B93" s="42" t="s">
        <v>5365</v>
      </c>
      <c r="C93" s="42" t="s">
        <v>154</v>
      </c>
      <c r="D93" s="43" t="s">
        <v>155</v>
      </c>
      <c r="F93" s="44" t="s">
        <v>5366</v>
      </c>
      <c r="G93" s="42" t="s">
        <v>4955</v>
      </c>
      <c r="H93" s="42" t="s">
        <v>68</v>
      </c>
      <c r="I93" s="43" t="s">
        <v>68</v>
      </c>
      <c r="J93" s="43" t="s">
        <v>68</v>
      </c>
      <c r="K93" s="43"/>
      <c r="L93" s="43" t="s">
        <v>69</v>
      </c>
      <c r="M93" s="43">
        <v>3</v>
      </c>
      <c r="N93" s="43">
        <v>3</v>
      </c>
      <c r="O93" s="43" t="s">
        <v>69</v>
      </c>
      <c r="P93" s="43">
        <v>4</v>
      </c>
      <c r="Q93" s="43">
        <v>4</v>
      </c>
      <c r="R93" s="43" t="s">
        <v>69</v>
      </c>
      <c r="S93" s="43">
        <v>5</v>
      </c>
      <c r="T93" s="43">
        <v>5</v>
      </c>
      <c r="U93" s="42" t="s">
        <v>5350</v>
      </c>
      <c r="V93" s="42">
        <v>106.73</v>
      </c>
      <c r="W93" s="42">
        <v>106.73</v>
      </c>
      <c r="X93" s="42" t="s">
        <v>5367</v>
      </c>
      <c r="Y93" s="42" t="s">
        <v>5368</v>
      </c>
      <c r="Z93" s="43" t="s">
        <v>4743</v>
      </c>
      <c r="AA93" s="43" t="s">
        <v>4742</v>
      </c>
      <c r="AC93" s="42" t="s">
        <v>4684</v>
      </c>
      <c r="AD93" s="42" t="s">
        <v>4685</v>
      </c>
      <c r="AE93" s="42" t="s">
        <v>4686</v>
      </c>
      <c r="AF93" s="42" t="s">
        <v>154</v>
      </c>
      <c r="AG93" s="42" t="s">
        <v>4685</v>
      </c>
      <c r="AH93" t="s">
        <v>5350</v>
      </c>
      <c r="AI93" s="42" t="s">
        <v>4959</v>
      </c>
      <c r="AJ93" s="42" t="s">
        <v>155</v>
      </c>
      <c r="AL93" s="42" t="s">
        <v>5353</v>
      </c>
      <c r="AM93" s="43">
        <v>106.73</v>
      </c>
      <c r="AN93" s="43">
        <v>106.73</v>
      </c>
      <c r="AO93" s="43" t="s">
        <v>70</v>
      </c>
      <c r="AQ93" s="43">
        <v>1</v>
      </c>
      <c r="AR93" s="42" t="s">
        <v>5369</v>
      </c>
      <c r="AU93" s="64"/>
      <c r="AV93" s="64">
        <v>62</v>
      </c>
      <c r="AW93" s="64" t="s">
        <v>4955</v>
      </c>
      <c r="AX93" s="64" t="s">
        <v>4744</v>
      </c>
      <c r="AY93" s="66" t="s">
        <v>478</v>
      </c>
      <c r="AZ93" s="66" t="s">
        <v>154</v>
      </c>
      <c r="BA93" s="64">
        <v>106.73</v>
      </c>
      <c r="BB93" s="64">
        <v>106.73</v>
      </c>
      <c r="BC93" s="64" t="s">
        <v>5367</v>
      </c>
      <c r="BD93" s="64" t="s">
        <v>5368</v>
      </c>
      <c r="BE93" s="64" t="s">
        <v>5367</v>
      </c>
      <c r="BF93" s="64" t="s">
        <v>5368</v>
      </c>
      <c r="BG93" s="64" t="s">
        <v>4963</v>
      </c>
      <c r="BH93" s="64" t="s">
        <v>5350</v>
      </c>
      <c r="BI93" s="64" t="s">
        <v>5366</v>
      </c>
      <c r="BJ93" s="64" t="s">
        <v>4954</v>
      </c>
      <c r="BK93" s="64" t="s">
        <v>474</v>
      </c>
      <c r="BL93" s="64" t="s">
        <v>474</v>
      </c>
      <c r="BM93" s="66" t="s">
        <v>1256</v>
      </c>
      <c r="BN93" s="66" t="s">
        <v>1468</v>
      </c>
      <c r="BO93" s="66" t="s">
        <v>1468</v>
      </c>
      <c r="BP93" s="66" t="s">
        <v>1474</v>
      </c>
      <c r="BQ93" s="66" t="s">
        <v>1479</v>
      </c>
      <c r="BR93" s="64">
        <v>1.0820000000000001</v>
      </c>
      <c r="BS93" s="64">
        <v>0.01</v>
      </c>
      <c r="BT93" s="66">
        <v>120</v>
      </c>
      <c r="BU93" s="79"/>
      <c r="BV93" s="79"/>
      <c r="BW93" s="79"/>
      <c r="BX93" s="79"/>
      <c r="BY93" s="64">
        <v>1.65</v>
      </c>
      <c r="BZ93" s="79"/>
      <c r="CA93" s="79"/>
      <c r="CB93" s="79"/>
      <c r="CC93" s="79"/>
      <c r="CD93" s="79"/>
      <c r="CE93" s="79"/>
      <c r="CF93" s="79"/>
      <c r="CG93" s="79"/>
      <c r="CH93" s="79"/>
      <c r="CI93" s="79"/>
      <c r="CJ93" s="79"/>
      <c r="CK93" s="79"/>
      <c r="CL93" s="79"/>
      <c r="CM93" s="79"/>
      <c r="CN93" s="79"/>
      <c r="CO93" s="79"/>
      <c r="CP93" s="66" t="s">
        <v>1654</v>
      </c>
      <c r="CQ93" s="79"/>
      <c r="CR93" s="79"/>
      <c r="CS93" s="79"/>
      <c r="CT93" s="79"/>
      <c r="CU93" s="79"/>
      <c r="CV93" s="79"/>
      <c r="CW93" s="79"/>
      <c r="CX93" s="79"/>
      <c r="CY93" s="79"/>
      <c r="CZ93" s="79"/>
      <c r="DA93" s="79"/>
      <c r="DB93" s="79"/>
      <c r="DC93" s="79"/>
      <c r="DD93" s="79"/>
      <c r="DE93" s="79"/>
      <c r="DF93" s="79"/>
      <c r="DG93" s="79"/>
      <c r="DH93" s="79"/>
      <c r="DI93" s="79"/>
      <c r="DJ93" s="79"/>
      <c r="DK93" s="79"/>
      <c r="DL93" s="79"/>
      <c r="DM93" s="79"/>
      <c r="DN93" s="79"/>
      <c r="DO93" s="79"/>
      <c r="DP93" s="79"/>
      <c r="DQ93" s="79"/>
      <c r="DR93" s="79"/>
      <c r="DS93" s="79"/>
      <c r="DT93" s="79"/>
      <c r="DU93" s="79"/>
      <c r="DV93" s="79"/>
      <c r="DW93" s="79"/>
      <c r="DX93" s="79"/>
      <c r="DY93" s="78"/>
    </row>
    <row r="94" spans="1:129" x14ac:dyDescent="0.35">
      <c r="A94" s="42" t="s">
        <v>4743</v>
      </c>
      <c r="B94" s="42" t="s">
        <v>5370</v>
      </c>
      <c r="C94" s="42" t="s">
        <v>154</v>
      </c>
      <c r="D94" s="43" t="s">
        <v>155</v>
      </c>
      <c r="F94" s="44" t="s">
        <v>5371</v>
      </c>
      <c r="G94" s="42" t="s">
        <v>4955</v>
      </c>
      <c r="H94" s="42" t="s">
        <v>68</v>
      </c>
      <c r="I94" s="43" t="s">
        <v>68</v>
      </c>
      <c r="J94" s="43" t="s">
        <v>68</v>
      </c>
      <c r="K94" s="43"/>
      <c r="L94" s="43" t="s">
        <v>69</v>
      </c>
      <c r="M94" s="43">
        <v>3</v>
      </c>
      <c r="N94" s="43">
        <v>3</v>
      </c>
      <c r="O94" s="43" t="s">
        <v>69</v>
      </c>
      <c r="P94" s="43">
        <v>4</v>
      </c>
      <c r="Q94" s="43">
        <v>4</v>
      </c>
      <c r="R94" s="43" t="s">
        <v>69</v>
      </c>
      <c r="S94" s="43">
        <v>5</v>
      </c>
      <c r="T94" s="43">
        <v>5</v>
      </c>
      <c r="U94" s="42" t="s">
        <v>5350</v>
      </c>
      <c r="V94" s="42">
        <v>106.75</v>
      </c>
      <c r="W94" s="42">
        <v>106.75</v>
      </c>
      <c r="X94" s="42" t="s">
        <v>5372</v>
      </c>
      <c r="Y94" s="42" t="s">
        <v>5373</v>
      </c>
      <c r="Z94" s="43" t="s">
        <v>4743</v>
      </c>
      <c r="AA94" s="43" t="s">
        <v>4742</v>
      </c>
      <c r="AC94" s="42" t="s">
        <v>4684</v>
      </c>
      <c r="AD94" s="42" t="s">
        <v>4685</v>
      </c>
      <c r="AE94" s="42" t="s">
        <v>4686</v>
      </c>
      <c r="AF94" s="42" t="s">
        <v>154</v>
      </c>
      <c r="AG94" s="42" t="s">
        <v>4685</v>
      </c>
      <c r="AH94" t="s">
        <v>5350</v>
      </c>
      <c r="AI94" s="42" t="s">
        <v>4959</v>
      </c>
      <c r="AJ94" s="42" t="s">
        <v>155</v>
      </c>
      <c r="AL94" s="42" t="s">
        <v>5353</v>
      </c>
      <c r="AM94" s="43">
        <v>106.75</v>
      </c>
      <c r="AN94" s="43">
        <v>106.75</v>
      </c>
      <c r="AO94" s="43" t="s">
        <v>70</v>
      </c>
      <c r="AQ94" s="43">
        <v>1</v>
      </c>
      <c r="AR94" s="42" t="s">
        <v>5374</v>
      </c>
      <c r="AU94" s="64"/>
      <c r="AV94" s="64">
        <v>62</v>
      </c>
      <c r="AW94" s="64" t="s">
        <v>4955</v>
      </c>
      <c r="AX94" s="64" t="s">
        <v>4744</v>
      </c>
      <c r="AY94" s="66" t="s">
        <v>478</v>
      </c>
      <c r="AZ94" s="66" t="s">
        <v>154</v>
      </c>
      <c r="BA94" s="64">
        <v>106.75</v>
      </c>
      <c r="BB94" s="64">
        <v>106.75</v>
      </c>
      <c r="BC94" s="64" t="s">
        <v>5372</v>
      </c>
      <c r="BD94" s="64" t="s">
        <v>5373</v>
      </c>
      <c r="BE94" s="64" t="s">
        <v>5372</v>
      </c>
      <c r="BF94" s="64" t="s">
        <v>5373</v>
      </c>
      <c r="BG94" s="64" t="s">
        <v>4963</v>
      </c>
      <c r="BH94" s="64" t="s">
        <v>5350</v>
      </c>
      <c r="BI94" s="64" t="s">
        <v>5371</v>
      </c>
      <c r="BJ94" s="64" t="s">
        <v>4954</v>
      </c>
      <c r="BK94" s="64" t="s">
        <v>474</v>
      </c>
      <c r="BL94" s="64" t="s">
        <v>474</v>
      </c>
      <c r="BM94" s="66" t="s">
        <v>1256</v>
      </c>
      <c r="BN94" s="66" t="s">
        <v>1468</v>
      </c>
      <c r="BO94" s="66" t="s">
        <v>1468</v>
      </c>
      <c r="BP94" s="66" t="s">
        <v>1474</v>
      </c>
      <c r="BQ94" s="66" t="s">
        <v>1479</v>
      </c>
      <c r="BR94" s="64">
        <v>5.0250000000000004</v>
      </c>
      <c r="BS94" s="64">
        <v>0.01</v>
      </c>
      <c r="BT94" s="66">
        <v>120</v>
      </c>
      <c r="BU94" s="79"/>
      <c r="BV94" s="79"/>
      <c r="BW94" s="79"/>
      <c r="BX94" s="79"/>
      <c r="BY94" s="64">
        <v>3.9449999999999998</v>
      </c>
      <c r="BZ94" s="79"/>
      <c r="CA94" s="79"/>
      <c r="CB94" s="79"/>
      <c r="CC94" s="79"/>
      <c r="CD94" s="79"/>
      <c r="CE94" s="79"/>
      <c r="CF94" s="79"/>
      <c r="CG94" s="79"/>
      <c r="CH94" s="79"/>
      <c r="CI94" s="79"/>
      <c r="CJ94" s="79"/>
      <c r="CK94" s="79"/>
      <c r="CL94" s="79"/>
      <c r="CM94" s="79"/>
      <c r="CN94" s="79"/>
      <c r="CO94" s="79"/>
      <c r="CP94" s="66" t="s">
        <v>1654</v>
      </c>
      <c r="CQ94" s="79"/>
      <c r="CR94" s="79"/>
      <c r="CS94" s="79"/>
      <c r="CT94" s="79"/>
      <c r="CU94" s="79"/>
      <c r="CV94" s="79"/>
      <c r="CW94" s="79"/>
      <c r="CX94" s="79"/>
      <c r="CY94" s="79"/>
      <c r="CZ94" s="79"/>
      <c r="DA94" s="79"/>
      <c r="DB94" s="79"/>
      <c r="DC94" s="79"/>
      <c r="DD94" s="79"/>
      <c r="DE94" s="79"/>
      <c r="DF94" s="79"/>
      <c r="DG94" s="79"/>
      <c r="DH94" s="79"/>
      <c r="DI94" s="79"/>
      <c r="DJ94" s="79"/>
      <c r="DK94" s="79"/>
      <c r="DL94" s="79"/>
      <c r="DM94" s="79"/>
      <c r="DN94" s="79"/>
      <c r="DO94" s="79"/>
      <c r="DP94" s="79"/>
      <c r="DQ94" s="79"/>
      <c r="DR94" s="79"/>
      <c r="DS94" s="79"/>
      <c r="DT94" s="79"/>
      <c r="DU94" s="79"/>
      <c r="DV94" s="79"/>
      <c r="DW94" s="79"/>
      <c r="DX94" s="79"/>
      <c r="DY94" s="78"/>
    </row>
    <row r="95" spans="1:129" x14ac:dyDescent="0.35">
      <c r="A95" s="42" t="s">
        <v>4743</v>
      </c>
      <c r="B95" s="42" t="s">
        <v>5375</v>
      </c>
      <c r="C95" s="42" t="s">
        <v>154</v>
      </c>
      <c r="D95" s="43" t="s">
        <v>155</v>
      </c>
      <c r="F95" s="44" t="s">
        <v>5376</v>
      </c>
      <c r="G95" s="42" t="s">
        <v>4955</v>
      </c>
      <c r="H95" s="42" t="s">
        <v>68</v>
      </c>
      <c r="I95" s="43" t="s">
        <v>68</v>
      </c>
      <c r="J95" s="43" t="s">
        <v>68</v>
      </c>
      <c r="K95" s="43"/>
      <c r="L95" s="43" t="s">
        <v>69</v>
      </c>
      <c r="M95" s="43">
        <v>3</v>
      </c>
      <c r="N95" s="43">
        <v>3</v>
      </c>
      <c r="O95" s="43" t="s">
        <v>69</v>
      </c>
      <c r="P95" s="43">
        <v>4</v>
      </c>
      <c r="Q95" s="43">
        <v>4</v>
      </c>
      <c r="R95" s="43" t="s">
        <v>69</v>
      </c>
      <c r="S95" s="43">
        <v>5</v>
      </c>
      <c r="T95" s="43">
        <v>5</v>
      </c>
      <c r="U95" s="42" t="s">
        <v>5350</v>
      </c>
      <c r="V95" s="42">
        <v>106.75</v>
      </c>
      <c r="W95" s="42">
        <v>106.75</v>
      </c>
      <c r="X95" s="42" t="s">
        <v>5377</v>
      </c>
      <c r="Y95" s="42" t="s">
        <v>5232</v>
      </c>
      <c r="Z95" s="43" t="s">
        <v>4743</v>
      </c>
      <c r="AA95" s="43" t="s">
        <v>4742</v>
      </c>
      <c r="AC95" s="42" t="s">
        <v>4684</v>
      </c>
      <c r="AD95" s="42" t="s">
        <v>4685</v>
      </c>
      <c r="AE95" s="42" t="s">
        <v>4686</v>
      </c>
      <c r="AF95" s="42" t="s">
        <v>154</v>
      </c>
      <c r="AG95" s="42" t="s">
        <v>4685</v>
      </c>
      <c r="AH95" t="s">
        <v>5350</v>
      </c>
      <c r="AI95" s="42" t="s">
        <v>4959</v>
      </c>
      <c r="AJ95" s="42" t="s">
        <v>155</v>
      </c>
      <c r="AL95" s="42" t="s">
        <v>5353</v>
      </c>
      <c r="AM95" s="43">
        <v>106.75</v>
      </c>
      <c r="AN95" s="43">
        <v>106.75</v>
      </c>
      <c r="AO95" s="43" t="s">
        <v>70</v>
      </c>
      <c r="AQ95" s="43">
        <v>1</v>
      </c>
      <c r="AR95" s="42" t="s">
        <v>5378</v>
      </c>
      <c r="AU95" s="64"/>
      <c r="AV95" s="64">
        <v>62</v>
      </c>
      <c r="AW95" s="64" t="s">
        <v>4955</v>
      </c>
      <c r="AX95" s="64" t="s">
        <v>4744</v>
      </c>
      <c r="AY95" s="66" t="s">
        <v>478</v>
      </c>
      <c r="AZ95" s="66" t="s">
        <v>154</v>
      </c>
      <c r="BA95" s="64">
        <v>106.75</v>
      </c>
      <c r="BB95" s="64">
        <v>106.75</v>
      </c>
      <c r="BC95" s="64" t="s">
        <v>5377</v>
      </c>
      <c r="BD95" s="64" t="s">
        <v>5232</v>
      </c>
      <c r="BE95" s="64" t="s">
        <v>5377</v>
      </c>
      <c r="BF95" s="64" t="s">
        <v>5232</v>
      </c>
      <c r="BG95" s="64" t="s">
        <v>4963</v>
      </c>
      <c r="BH95" s="64" t="s">
        <v>5350</v>
      </c>
      <c r="BI95" s="64" t="s">
        <v>5376</v>
      </c>
      <c r="BJ95" s="64" t="s">
        <v>4954</v>
      </c>
      <c r="BK95" s="64" t="s">
        <v>474</v>
      </c>
      <c r="BL95" s="64" t="s">
        <v>474</v>
      </c>
      <c r="BM95" s="66" t="s">
        <v>1256</v>
      </c>
      <c r="BN95" s="66" t="s">
        <v>1468</v>
      </c>
      <c r="BO95" s="66" t="s">
        <v>1468</v>
      </c>
      <c r="BP95" s="66" t="s">
        <v>1474</v>
      </c>
      <c r="BQ95" s="66" t="s">
        <v>1479</v>
      </c>
      <c r="BR95" s="64">
        <v>4.7249999999999996</v>
      </c>
      <c r="BS95" s="64">
        <v>0.01</v>
      </c>
      <c r="BT95" s="66">
        <v>120</v>
      </c>
      <c r="BU95" s="79"/>
      <c r="BV95" s="79"/>
      <c r="BW95" s="79"/>
      <c r="BX95" s="79"/>
      <c r="BY95" s="64">
        <v>3.68</v>
      </c>
      <c r="BZ95" s="79"/>
      <c r="CA95" s="79"/>
      <c r="CB95" s="79"/>
      <c r="CC95" s="79"/>
      <c r="CD95" s="79"/>
      <c r="CE95" s="79"/>
      <c r="CF95" s="79"/>
      <c r="CG95" s="79"/>
      <c r="CH95" s="79"/>
      <c r="CI95" s="79"/>
      <c r="CJ95" s="79"/>
      <c r="CK95" s="79"/>
      <c r="CL95" s="79"/>
      <c r="CM95" s="79"/>
      <c r="CN95" s="79"/>
      <c r="CO95" s="79"/>
      <c r="CP95" s="66" t="s">
        <v>1654</v>
      </c>
      <c r="CQ95" s="79"/>
      <c r="CR95" s="79"/>
      <c r="CS95" s="79"/>
      <c r="CT95" s="79"/>
      <c r="CU95" s="79"/>
      <c r="CV95" s="79"/>
      <c r="CW95" s="79"/>
      <c r="CX95" s="79"/>
      <c r="CY95" s="79"/>
      <c r="CZ95" s="79"/>
      <c r="DA95" s="79"/>
      <c r="DB95" s="79"/>
      <c r="DC95" s="79"/>
      <c r="DD95" s="79"/>
      <c r="DE95" s="79"/>
      <c r="DF95" s="79"/>
      <c r="DG95" s="79"/>
      <c r="DH95" s="79"/>
      <c r="DI95" s="79"/>
      <c r="DJ95" s="79"/>
      <c r="DK95" s="79"/>
      <c r="DL95" s="79"/>
      <c r="DM95" s="79"/>
      <c r="DN95" s="79"/>
      <c r="DO95" s="79"/>
      <c r="DP95" s="79"/>
      <c r="DQ95" s="79"/>
      <c r="DR95" s="79"/>
      <c r="DS95" s="79"/>
      <c r="DT95" s="79"/>
      <c r="DU95" s="79"/>
      <c r="DV95" s="79"/>
      <c r="DW95" s="79"/>
      <c r="DX95" s="79"/>
      <c r="DY95" s="78"/>
    </row>
    <row r="96" spans="1:129" x14ac:dyDescent="0.35">
      <c r="A96" s="42" t="s">
        <v>4743</v>
      </c>
      <c r="B96" s="42" t="s">
        <v>5379</v>
      </c>
      <c r="C96" s="42" t="s">
        <v>154</v>
      </c>
      <c r="D96" s="43" t="s">
        <v>155</v>
      </c>
      <c r="F96" s="44" t="s">
        <v>5380</v>
      </c>
      <c r="G96" s="42" t="s">
        <v>4955</v>
      </c>
      <c r="H96" s="42" t="s">
        <v>68</v>
      </c>
      <c r="I96" s="43" t="s">
        <v>68</v>
      </c>
      <c r="J96" s="43" t="s">
        <v>68</v>
      </c>
      <c r="K96" s="43"/>
      <c r="L96" s="43" t="s">
        <v>69</v>
      </c>
      <c r="M96" s="43">
        <v>3</v>
      </c>
      <c r="N96" s="43">
        <v>3</v>
      </c>
      <c r="O96" s="43" t="s">
        <v>69</v>
      </c>
      <c r="P96" s="43">
        <v>4</v>
      </c>
      <c r="Q96" s="43">
        <v>4</v>
      </c>
      <c r="R96" s="43" t="s">
        <v>69</v>
      </c>
      <c r="S96" s="43">
        <v>5</v>
      </c>
      <c r="T96" s="43">
        <v>5</v>
      </c>
      <c r="U96" s="42" t="s">
        <v>5350</v>
      </c>
      <c r="V96" s="42">
        <v>106.75</v>
      </c>
      <c r="W96" s="42">
        <v>106.75</v>
      </c>
      <c r="X96" s="42" t="s">
        <v>5381</v>
      </c>
      <c r="Y96" s="42" t="s">
        <v>5382</v>
      </c>
      <c r="Z96" s="43" t="s">
        <v>4743</v>
      </c>
      <c r="AA96" s="43" t="s">
        <v>4742</v>
      </c>
      <c r="AC96" s="42" t="s">
        <v>4684</v>
      </c>
      <c r="AD96" s="42" t="s">
        <v>4685</v>
      </c>
      <c r="AE96" s="42" t="s">
        <v>4686</v>
      </c>
      <c r="AF96" s="42" t="s">
        <v>154</v>
      </c>
      <c r="AG96" s="42" t="s">
        <v>4685</v>
      </c>
      <c r="AH96" t="s">
        <v>5350</v>
      </c>
      <c r="AI96" s="42" t="s">
        <v>4959</v>
      </c>
      <c r="AJ96" s="42" t="s">
        <v>155</v>
      </c>
      <c r="AL96" s="42" t="s">
        <v>5353</v>
      </c>
      <c r="AM96" s="43">
        <v>106.75</v>
      </c>
      <c r="AN96" s="43">
        <v>106.75</v>
      </c>
      <c r="AO96" s="43" t="s">
        <v>70</v>
      </c>
      <c r="AQ96" s="43">
        <v>1</v>
      </c>
      <c r="AR96" s="42" t="s">
        <v>5383</v>
      </c>
      <c r="AU96" s="64"/>
      <c r="AV96" s="64">
        <v>62</v>
      </c>
      <c r="AW96" s="64" t="s">
        <v>4955</v>
      </c>
      <c r="AX96" s="64" t="s">
        <v>4744</v>
      </c>
      <c r="AY96" s="66" t="s">
        <v>478</v>
      </c>
      <c r="AZ96" s="66" t="s">
        <v>154</v>
      </c>
      <c r="BA96" s="64">
        <v>106.75</v>
      </c>
      <c r="BB96" s="64">
        <v>106.75</v>
      </c>
      <c r="BC96" s="64" t="s">
        <v>5381</v>
      </c>
      <c r="BD96" s="64" t="s">
        <v>5382</v>
      </c>
      <c r="BE96" s="64" t="s">
        <v>5381</v>
      </c>
      <c r="BF96" s="64" t="s">
        <v>5382</v>
      </c>
      <c r="BG96" s="64" t="s">
        <v>4963</v>
      </c>
      <c r="BH96" s="64" t="s">
        <v>5350</v>
      </c>
      <c r="BI96" s="64" t="s">
        <v>5380</v>
      </c>
      <c r="BJ96" s="64" t="s">
        <v>4954</v>
      </c>
      <c r="BK96" s="64" t="s">
        <v>474</v>
      </c>
      <c r="BL96" s="64" t="s">
        <v>474</v>
      </c>
      <c r="BM96" s="66" t="s">
        <v>1256</v>
      </c>
      <c r="BN96" s="66" t="s">
        <v>1468</v>
      </c>
      <c r="BO96" s="66" t="s">
        <v>1468</v>
      </c>
      <c r="BP96" s="66" t="s">
        <v>1474</v>
      </c>
      <c r="BQ96" s="66" t="s">
        <v>1479</v>
      </c>
      <c r="BR96" s="64">
        <v>0.88400000000000001</v>
      </c>
      <c r="BS96" s="64">
        <v>0.01</v>
      </c>
      <c r="BT96" s="66">
        <v>120</v>
      </c>
      <c r="BU96" s="79"/>
      <c r="BV96" s="79"/>
      <c r="BW96" s="79"/>
      <c r="BX96" s="79"/>
      <c r="BY96" s="64">
        <v>1.65</v>
      </c>
      <c r="BZ96" s="79"/>
      <c r="CA96" s="79"/>
      <c r="CB96" s="79"/>
      <c r="CC96" s="79"/>
      <c r="CD96" s="79"/>
      <c r="CE96" s="79"/>
      <c r="CF96" s="79"/>
      <c r="CG96" s="79"/>
      <c r="CH96" s="79"/>
      <c r="CI96" s="79"/>
      <c r="CJ96" s="79"/>
      <c r="CK96" s="79"/>
      <c r="CL96" s="79"/>
      <c r="CM96" s="79"/>
      <c r="CN96" s="79"/>
      <c r="CO96" s="79"/>
      <c r="CP96" s="66" t="s">
        <v>1654</v>
      </c>
      <c r="CQ96" s="79"/>
      <c r="CR96" s="79"/>
      <c r="CS96" s="79"/>
      <c r="CT96" s="79"/>
      <c r="CU96" s="79"/>
      <c r="CV96" s="79"/>
      <c r="CW96" s="79"/>
      <c r="CX96" s="79"/>
      <c r="CY96" s="79"/>
      <c r="CZ96" s="79"/>
      <c r="DA96" s="79"/>
      <c r="DB96" s="79"/>
      <c r="DC96" s="79"/>
      <c r="DD96" s="79"/>
      <c r="DE96" s="79"/>
      <c r="DF96" s="79"/>
      <c r="DG96" s="79"/>
      <c r="DH96" s="79"/>
      <c r="DI96" s="79"/>
      <c r="DJ96" s="79"/>
      <c r="DK96" s="79"/>
      <c r="DL96" s="79"/>
      <c r="DM96" s="79"/>
      <c r="DN96" s="79"/>
      <c r="DO96" s="79"/>
      <c r="DP96" s="79"/>
      <c r="DQ96" s="79"/>
      <c r="DR96" s="79"/>
      <c r="DS96" s="79"/>
      <c r="DT96" s="79"/>
      <c r="DU96" s="79"/>
      <c r="DV96" s="79"/>
      <c r="DW96" s="79"/>
      <c r="DX96" s="79"/>
      <c r="DY96" s="78"/>
    </row>
    <row r="97" spans="1:129" x14ac:dyDescent="0.35">
      <c r="A97" s="42" t="s">
        <v>4743</v>
      </c>
      <c r="B97" s="42" t="s">
        <v>5384</v>
      </c>
      <c r="C97" s="42" t="s">
        <v>154</v>
      </c>
      <c r="D97" s="43" t="s">
        <v>155</v>
      </c>
      <c r="F97" s="44" t="s">
        <v>5385</v>
      </c>
      <c r="G97" s="42" t="s">
        <v>4955</v>
      </c>
      <c r="H97" s="42" t="s">
        <v>68</v>
      </c>
      <c r="I97" s="43" t="s">
        <v>68</v>
      </c>
      <c r="J97" s="43" t="s">
        <v>68</v>
      </c>
      <c r="K97" s="43"/>
      <c r="L97" s="43" t="s">
        <v>69</v>
      </c>
      <c r="M97" s="43">
        <v>3</v>
      </c>
      <c r="N97" s="43">
        <v>3</v>
      </c>
      <c r="O97" s="43" t="s">
        <v>69</v>
      </c>
      <c r="P97" s="43">
        <v>4</v>
      </c>
      <c r="Q97" s="43">
        <v>4</v>
      </c>
      <c r="R97" s="43" t="s">
        <v>69</v>
      </c>
      <c r="S97" s="43">
        <v>5</v>
      </c>
      <c r="T97" s="43">
        <v>5</v>
      </c>
      <c r="U97" s="42" t="s">
        <v>5350</v>
      </c>
      <c r="V97" s="42">
        <v>106.75</v>
      </c>
      <c r="W97" s="42">
        <v>106.75</v>
      </c>
      <c r="X97" s="42" t="s">
        <v>5386</v>
      </c>
      <c r="Y97" s="42" t="s">
        <v>5387</v>
      </c>
      <c r="Z97" s="43" t="s">
        <v>4743</v>
      </c>
      <c r="AA97" s="43" t="s">
        <v>4742</v>
      </c>
      <c r="AC97" s="42" t="s">
        <v>4684</v>
      </c>
      <c r="AD97" s="42" t="s">
        <v>4685</v>
      </c>
      <c r="AE97" s="42" t="s">
        <v>4686</v>
      </c>
      <c r="AF97" s="42" t="s">
        <v>154</v>
      </c>
      <c r="AG97" s="42" t="s">
        <v>4685</v>
      </c>
      <c r="AH97" t="s">
        <v>5350</v>
      </c>
      <c r="AI97" s="42" t="s">
        <v>4959</v>
      </c>
      <c r="AJ97" s="42" t="s">
        <v>155</v>
      </c>
      <c r="AL97" s="42" t="s">
        <v>5353</v>
      </c>
      <c r="AM97" s="43">
        <v>106.75</v>
      </c>
      <c r="AN97" s="43">
        <v>106.75</v>
      </c>
      <c r="AO97" s="43" t="s">
        <v>70</v>
      </c>
      <c r="AQ97" s="43">
        <v>1</v>
      </c>
      <c r="AR97" s="42" t="s">
        <v>5388</v>
      </c>
      <c r="AU97" s="64"/>
      <c r="AV97" s="64">
        <v>62</v>
      </c>
      <c r="AW97" s="64" t="s">
        <v>4955</v>
      </c>
      <c r="AX97" s="64" t="s">
        <v>4744</v>
      </c>
      <c r="AY97" s="66" t="s">
        <v>478</v>
      </c>
      <c r="AZ97" s="66" t="s">
        <v>154</v>
      </c>
      <c r="BA97" s="64">
        <v>106.75</v>
      </c>
      <c r="BB97" s="64">
        <v>106.75</v>
      </c>
      <c r="BC97" s="64" t="s">
        <v>5386</v>
      </c>
      <c r="BD97" s="64" t="s">
        <v>5387</v>
      </c>
      <c r="BE97" s="64" t="s">
        <v>5386</v>
      </c>
      <c r="BF97" s="64" t="s">
        <v>5387</v>
      </c>
      <c r="BG97" s="64" t="s">
        <v>4963</v>
      </c>
      <c r="BH97" s="64" t="s">
        <v>5350</v>
      </c>
      <c r="BI97" s="64" t="s">
        <v>5385</v>
      </c>
      <c r="BJ97" s="64" t="s">
        <v>4954</v>
      </c>
      <c r="BK97" s="64" t="s">
        <v>474</v>
      </c>
      <c r="BL97" s="64" t="s">
        <v>474</v>
      </c>
      <c r="BM97" s="66" t="s">
        <v>1256</v>
      </c>
      <c r="BN97" s="66" t="s">
        <v>1468</v>
      </c>
      <c r="BO97" s="66" t="s">
        <v>1468</v>
      </c>
      <c r="BP97" s="66" t="s">
        <v>1474</v>
      </c>
      <c r="BQ97" s="66" t="s">
        <v>1479</v>
      </c>
      <c r="BR97" s="64">
        <v>1.0820000000000001</v>
      </c>
      <c r="BS97" s="64">
        <v>0.01</v>
      </c>
      <c r="BT97" s="66">
        <v>120</v>
      </c>
      <c r="BU97" s="79"/>
      <c r="BV97" s="79"/>
      <c r="BW97" s="79"/>
      <c r="BX97" s="79"/>
      <c r="BY97" s="64">
        <v>1.65</v>
      </c>
      <c r="BZ97" s="79"/>
      <c r="CA97" s="79"/>
      <c r="CB97" s="79"/>
      <c r="CC97" s="79"/>
      <c r="CD97" s="79"/>
      <c r="CE97" s="79"/>
      <c r="CF97" s="79"/>
      <c r="CG97" s="79"/>
      <c r="CH97" s="79"/>
      <c r="CI97" s="79"/>
      <c r="CJ97" s="79"/>
      <c r="CK97" s="79"/>
      <c r="CL97" s="79"/>
      <c r="CM97" s="79"/>
      <c r="CN97" s="79"/>
      <c r="CO97" s="79"/>
      <c r="CP97" s="66" t="s">
        <v>1654</v>
      </c>
      <c r="CQ97" s="79"/>
      <c r="CR97" s="79"/>
      <c r="CS97" s="79"/>
      <c r="CT97" s="79"/>
      <c r="CU97" s="79"/>
      <c r="CV97" s="79"/>
      <c r="CW97" s="79"/>
      <c r="CX97" s="79"/>
      <c r="CY97" s="79"/>
      <c r="CZ97" s="79"/>
      <c r="DA97" s="79"/>
      <c r="DB97" s="79"/>
      <c r="DC97" s="79"/>
      <c r="DD97" s="79"/>
      <c r="DE97" s="79"/>
      <c r="DF97" s="79"/>
      <c r="DG97" s="79"/>
      <c r="DH97" s="79"/>
      <c r="DI97" s="79"/>
      <c r="DJ97" s="79"/>
      <c r="DK97" s="79"/>
      <c r="DL97" s="79"/>
      <c r="DM97" s="79"/>
      <c r="DN97" s="79"/>
      <c r="DO97" s="79"/>
      <c r="DP97" s="79"/>
      <c r="DQ97" s="79"/>
      <c r="DR97" s="79"/>
      <c r="DS97" s="79"/>
      <c r="DT97" s="79"/>
      <c r="DU97" s="79"/>
      <c r="DV97" s="79"/>
      <c r="DW97" s="79"/>
      <c r="DX97" s="79"/>
      <c r="DY97" s="78"/>
    </row>
    <row r="98" spans="1:129" x14ac:dyDescent="0.35">
      <c r="A98" s="42" t="s">
        <v>4743</v>
      </c>
      <c r="B98" s="42" t="s">
        <v>5389</v>
      </c>
      <c r="C98" s="42" t="s">
        <v>154</v>
      </c>
      <c r="D98" s="43" t="s">
        <v>155</v>
      </c>
      <c r="F98" s="44" t="s">
        <v>5390</v>
      </c>
      <c r="G98" s="42" t="s">
        <v>4955</v>
      </c>
      <c r="H98" s="42" t="s">
        <v>68</v>
      </c>
      <c r="I98" s="43" t="s">
        <v>68</v>
      </c>
      <c r="J98" s="43" t="s">
        <v>68</v>
      </c>
      <c r="K98" s="43"/>
      <c r="L98" s="43" t="s">
        <v>69</v>
      </c>
      <c r="M98" s="43">
        <v>3</v>
      </c>
      <c r="N98" s="43">
        <v>3</v>
      </c>
      <c r="O98" s="43" t="s">
        <v>69</v>
      </c>
      <c r="P98" s="43">
        <v>4</v>
      </c>
      <c r="Q98" s="43">
        <v>4</v>
      </c>
      <c r="R98" s="43" t="s">
        <v>69</v>
      </c>
      <c r="S98" s="43">
        <v>5</v>
      </c>
      <c r="T98" s="43">
        <v>5</v>
      </c>
      <c r="U98" s="42" t="s">
        <v>5350</v>
      </c>
      <c r="V98" s="42">
        <v>106.73</v>
      </c>
      <c r="W98" s="42">
        <v>106.73</v>
      </c>
      <c r="X98" s="42" t="s">
        <v>5391</v>
      </c>
      <c r="Y98" s="42" t="s">
        <v>5392</v>
      </c>
      <c r="Z98" s="43" t="s">
        <v>4743</v>
      </c>
      <c r="AA98" s="43" t="s">
        <v>4742</v>
      </c>
      <c r="AC98" s="42" t="s">
        <v>4684</v>
      </c>
      <c r="AD98" s="42" t="s">
        <v>4685</v>
      </c>
      <c r="AE98" s="42" t="s">
        <v>4686</v>
      </c>
      <c r="AF98" s="42" t="s">
        <v>154</v>
      </c>
      <c r="AG98" s="42" t="s">
        <v>4685</v>
      </c>
      <c r="AH98" t="s">
        <v>5350</v>
      </c>
      <c r="AI98" s="42" t="s">
        <v>4959</v>
      </c>
      <c r="AJ98" s="42" t="s">
        <v>155</v>
      </c>
      <c r="AL98" s="42" t="s">
        <v>5353</v>
      </c>
      <c r="AM98" s="43">
        <v>106.73</v>
      </c>
      <c r="AN98" s="43">
        <v>106.73</v>
      </c>
      <c r="AO98" s="43" t="s">
        <v>70</v>
      </c>
      <c r="AQ98" s="43">
        <v>1</v>
      </c>
      <c r="AR98" s="42" t="s">
        <v>5393</v>
      </c>
      <c r="AU98" s="64"/>
      <c r="AV98" s="64">
        <v>62</v>
      </c>
      <c r="AW98" s="64" t="s">
        <v>4955</v>
      </c>
      <c r="AX98" s="64" t="s">
        <v>4744</v>
      </c>
      <c r="AY98" s="66" t="s">
        <v>478</v>
      </c>
      <c r="AZ98" s="66" t="s">
        <v>154</v>
      </c>
      <c r="BA98" s="64">
        <v>106.73</v>
      </c>
      <c r="BB98" s="64">
        <v>106.73</v>
      </c>
      <c r="BC98" s="64" t="s">
        <v>5391</v>
      </c>
      <c r="BD98" s="64" t="s">
        <v>5392</v>
      </c>
      <c r="BE98" s="64" t="s">
        <v>5391</v>
      </c>
      <c r="BF98" s="64" t="s">
        <v>5392</v>
      </c>
      <c r="BG98" s="64" t="s">
        <v>4963</v>
      </c>
      <c r="BH98" s="64" t="s">
        <v>5350</v>
      </c>
      <c r="BI98" s="64" t="s">
        <v>5390</v>
      </c>
      <c r="BJ98" s="64" t="s">
        <v>4954</v>
      </c>
      <c r="BK98" s="64" t="s">
        <v>474</v>
      </c>
      <c r="BL98" s="64" t="s">
        <v>474</v>
      </c>
      <c r="BM98" s="66" t="s">
        <v>1256</v>
      </c>
      <c r="BN98" s="66" t="s">
        <v>1468</v>
      </c>
      <c r="BO98" s="66" t="s">
        <v>1468</v>
      </c>
      <c r="BP98" s="66" t="s">
        <v>1474</v>
      </c>
      <c r="BQ98" s="66" t="s">
        <v>1479</v>
      </c>
      <c r="BR98" s="64">
        <v>4.8479999999999999</v>
      </c>
      <c r="BS98" s="64">
        <v>0.01</v>
      </c>
      <c r="BT98" s="66">
        <v>120</v>
      </c>
      <c r="BU98" s="79"/>
      <c r="BV98" s="79"/>
      <c r="BW98" s="79"/>
      <c r="BX98" s="79"/>
      <c r="BY98" s="64">
        <v>3.6019999999999999</v>
      </c>
      <c r="BZ98" s="79"/>
      <c r="CA98" s="79"/>
      <c r="CB98" s="79"/>
      <c r="CC98" s="79"/>
      <c r="CD98" s="79"/>
      <c r="CE98" s="79"/>
      <c r="CF98" s="79"/>
      <c r="CG98" s="79"/>
      <c r="CH98" s="79"/>
      <c r="CI98" s="79"/>
      <c r="CJ98" s="79"/>
      <c r="CK98" s="79"/>
      <c r="CL98" s="79"/>
      <c r="CM98" s="79"/>
      <c r="CN98" s="79"/>
      <c r="CO98" s="79"/>
      <c r="CP98" s="66" t="s">
        <v>1654</v>
      </c>
      <c r="CQ98" s="79"/>
      <c r="CR98" s="79"/>
      <c r="CS98" s="79"/>
      <c r="CT98" s="79"/>
      <c r="CU98" s="79"/>
      <c r="CV98" s="79"/>
      <c r="CW98" s="79"/>
      <c r="CX98" s="79"/>
      <c r="CY98" s="79"/>
      <c r="CZ98" s="79"/>
      <c r="DA98" s="79"/>
      <c r="DB98" s="79"/>
      <c r="DC98" s="79"/>
      <c r="DD98" s="79"/>
      <c r="DE98" s="79"/>
      <c r="DF98" s="79"/>
      <c r="DG98" s="79"/>
      <c r="DH98" s="79"/>
      <c r="DI98" s="79"/>
      <c r="DJ98" s="79"/>
      <c r="DK98" s="79"/>
      <c r="DL98" s="79"/>
      <c r="DM98" s="79"/>
      <c r="DN98" s="79"/>
      <c r="DO98" s="79"/>
      <c r="DP98" s="79"/>
      <c r="DQ98" s="79"/>
      <c r="DR98" s="79"/>
      <c r="DS98" s="79"/>
      <c r="DT98" s="79"/>
      <c r="DU98" s="79"/>
      <c r="DV98" s="79"/>
      <c r="DW98" s="79"/>
      <c r="DX98" s="79"/>
      <c r="DY98" s="78"/>
    </row>
    <row r="99" spans="1:129" x14ac:dyDescent="0.35">
      <c r="A99" s="42" t="s">
        <v>4743</v>
      </c>
      <c r="B99" s="42" t="s">
        <v>5394</v>
      </c>
      <c r="C99" s="42" t="s">
        <v>154</v>
      </c>
      <c r="D99" s="43" t="s">
        <v>155</v>
      </c>
      <c r="F99" s="44" t="s">
        <v>5395</v>
      </c>
      <c r="G99" s="42" t="s">
        <v>4955</v>
      </c>
      <c r="H99" s="42" t="s">
        <v>68</v>
      </c>
      <c r="I99" s="43" t="s">
        <v>68</v>
      </c>
      <c r="J99" s="43" t="s">
        <v>68</v>
      </c>
      <c r="K99" s="43"/>
      <c r="L99" s="43" t="s">
        <v>69</v>
      </c>
      <c r="M99" s="43">
        <v>3</v>
      </c>
      <c r="N99" s="43">
        <v>3</v>
      </c>
      <c r="O99" s="43" t="s">
        <v>69</v>
      </c>
      <c r="P99" s="43">
        <v>4</v>
      </c>
      <c r="Q99" s="43">
        <v>4</v>
      </c>
      <c r="R99" s="43" t="s">
        <v>69</v>
      </c>
      <c r="S99" s="43">
        <v>5</v>
      </c>
      <c r="T99" s="43">
        <v>5</v>
      </c>
      <c r="U99" s="42" t="s">
        <v>5350</v>
      </c>
      <c r="V99" s="42">
        <v>106.73</v>
      </c>
      <c r="W99" s="42">
        <v>106.73</v>
      </c>
      <c r="X99" s="42" t="s">
        <v>5187</v>
      </c>
      <c r="Y99" s="42" t="s">
        <v>5396</v>
      </c>
      <c r="Z99" s="43" t="s">
        <v>4743</v>
      </c>
      <c r="AA99" s="43" t="s">
        <v>4742</v>
      </c>
      <c r="AC99" s="42" t="s">
        <v>4684</v>
      </c>
      <c r="AD99" s="42" t="s">
        <v>4685</v>
      </c>
      <c r="AE99" s="42" t="s">
        <v>4686</v>
      </c>
      <c r="AF99" s="42" t="s">
        <v>154</v>
      </c>
      <c r="AG99" s="42" t="s">
        <v>4685</v>
      </c>
      <c r="AH99" t="s">
        <v>5350</v>
      </c>
      <c r="AI99" s="42" t="s">
        <v>4959</v>
      </c>
      <c r="AJ99" s="42" t="s">
        <v>155</v>
      </c>
      <c r="AL99" s="42" t="s">
        <v>5353</v>
      </c>
      <c r="AM99" s="43">
        <v>106.73</v>
      </c>
      <c r="AN99" s="43">
        <v>106.73</v>
      </c>
      <c r="AO99" s="43" t="s">
        <v>70</v>
      </c>
      <c r="AQ99" s="43">
        <v>1</v>
      </c>
      <c r="AR99" s="42" t="s">
        <v>5397</v>
      </c>
      <c r="AU99" s="64"/>
      <c r="AV99" s="64">
        <v>62</v>
      </c>
      <c r="AW99" s="64" t="s">
        <v>4955</v>
      </c>
      <c r="AX99" s="64" t="s">
        <v>4744</v>
      </c>
      <c r="AY99" s="66" t="s">
        <v>478</v>
      </c>
      <c r="AZ99" s="66" t="s">
        <v>154</v>
      </c>
      <c r="BA99" s="64">
        <v>106.73</v>
      </c>
      <c r="BB99" s="64">
        <v>106.73</v>
      </c>
      <c r="BC99" s="64" t="s">
        <v>5187</v>
      </c>
      <c r="BD99" s="64" t="s">
        <v>5396</v>
      </c>
      <c r="BE99" s="64" t="s">
        <v>5187</v>
      </c>
      <c r="BF99" s="64" t="s">
        <v>5396</v>
      </c>
      <c r="BG99" s="64" t="s">
        <v>4963</v>
      </c>
      <c r="BH99" s="64" t="s">
        <v>5350</v>
      </c>
      <c r="BI99" s="64" t="s">
        <v>5395</v>
      </c>
      <c r="BJ99" s="64" t="s">
        <v>4954</v>
      </c>
      <c r="BK99" s="64" t="s">
        <v>474</v>
      </c>
      <c r="BL99" s="64" t="s">
        <v>474</v>
      </c>
      <c r="BM99" s="66" t="s">
        <v>1256</v>
      </c>
      <c r="BN99" s="66" t="s">
        <v>1468</v>
      </c>
      <c r="BO99" s="66" t="s">
        <v>1468</v>
      </c>
      <c r="BP99" s="66" t="s">
        <v>1474</v>
      </c>
      <c r="BQ99" s="66" t="s">
        <v>1479</v>
      </c>
      <c r="BR99" s="64">
        <v>4.8479999999999999</v>
      </c>
      <c r="BS99" s="64">
        <v>0.01</v>
      </c>
      <c r="BT99" s="66">
        <v>120</v>
      </c>
      <c r="BU99" s="79"/>
      <c r="BV99" s="79"/>
      <c r="BW99" s="79"/>
      <c r="BX99" s="79"/>
      <c r="BY99" s="64">
        <v>3.6019999999999999</v>
      </c>
      <c r="BZ99" s="79"/>
      <c r="CA99" s="79"/>
      <c r="CB99" s="79"/>
      <c r="CC99" s="79"/>
      <c r="CD99" s="79"/>
      <c r="CE99" s="79"/>
      <c r="CF99" s="79"/>
      <c r="CG99" s="79"/>
      <c r="CH99" s="79"/>
      <c r="CI99" s="79"/>
      <c r="CJ99" s="79"/>
      <c r="CK99" s="79"/>
      <c r="CL99" s="79"/>
      <c r="CM99" s="79"/>
      <c r="CN99" s="79"/>
      <c r="CO99" s="79"/>
      <c r="CP99" s="66" t="s">
        <v>1654</v>
      </c>
      <c r="CQ99" s="79"/>
      <c r="CR99" s="79"/>
      <c r="CS99" s="79"/>
      <c r="CT99" s="79"/>
      <c r="CU99" s="79"/>
      <c r="CV99" s="79"/>
      <c r="CW99" s="79"/>
      <c r="CX99" s="79"/>
      <c r="CY99" s="79"/>
      <c r="CZ99" s="79"/>
      <c r="DA99" s="79"/>
      <c r="DB99" s="79"/>
      <c r="DC99" s="79"/>
      <c r="DD99" s="79"/>
      <c r="DE99" s="79"/>
      <c r="DF99" s="79"/>
      <c r="DG99" s="79"/>
      <c r="DH99" s="79"/>
      <c r="DI99" s="79"/>
      <c r="DJ99" s="79"/>
      <c r="DK99" s="79"/>
      <c r="DL99" s="79"/>
      <c r="DM99" s="79"/>
      <c r="DN99" s="79"/>
      <c r="DO99" s="79"/>
      <c r="DP99" s="79"/>
      <c r="DQ99" s="79"/>
      <c r="DR99" s="79"/>
      <c r="DS99" s="79"/>
      <c r="DT99" s="79"/>
      <c r="DU99" s="79"/>
      <c r="DV99" s="79"/>
      <c r="DW99" s="79"/>
      <c r="DX99" s="79"/>
      <c r="DY99" s="78"/>
    </row>
    <row r="100" spans="1:129" x14ac:dyDescent="0.35">
      <c r="A100" s="42" t="s">
        <v>4743</v>
      </c>
      <c r="B100" s="42" t="s">
        <v>5398</v>
      </c>
      <c r="C100" s="42" t="s">
        <v>154</v>
      </c>
      <c r="D100" s="43" t="s">
        <v>155</v>
      </c>
      <c r="F100" s="44" t="s">
        <v>5399</v>
      </c>
      <c r="G100" s="42" t="s">
        <v>4955</v>
      </c>
      <c r="H100" s="42" t="s">
        <v>68</v>
      </c>
      <c r="I100" s="43" t="s">
        <v>68</v>
      </c>
      <c r="J100" s="43" t="s">
        <v>68</v>
      </c>
      <c r="K100" s="43"/>
      <c r="L100" s="43" t="s">
        <v>69</v>
      </c>
      <c r="M100" s="43">
        <v>3</v>
      </c>
      <c r="N100" s="43">
        <v>3</v>
      </c>
      <c r="O100" s="43" t="s">
        <v>69</v>
      </c>
      <c r="P100" s="43">
        <v>4</v>
      </c>
      <c r="Q100" s="43">
        <v>4</v>
      </c>
      <c r="R100" s="43" t="s">
        <v>69</v>
      </c>
      <c r="S100" s="43">
        <v>5</v>
      </c>
      <c r="T100" s="43">
        <v>5</v>
      </c>
      <c r="U100" s="42" t="s">
        <v>5350</v>
      </c>
      <c r="V100" s="42">
        <v>106.75</v>
      </c>
      <c r="W100" s="42">
        <v>106.75</v>
      </c>
      <c r="X100" s="42" t="s">
        <v>5400</v>
      </c>
      <c r="Y100" s="42" t="s">
        <v>5401</v>
      </c>
      <c r="Z100" s="43" t="s">
        <v>4743</v>
      </c>
      <c r="AA100" s="43" t="s">
        <v>4742</v>
      </c>
      <c r="AC100" s="42" t="s">
        <v>4684</v>
      </c>
      <c r="AD100" s="42" t="s">
        <v>4685</v>
      </c>
      <c r="AE100" s="42" t="s">
        <v>4686</v>
      </c>
      <c r="AF100" s="42" t="s">
        <v>154</v>
      </c>
      <c r="AG100" s="42" t="s">
        <v>4685</v>
      </c>
      <c r="AH100" t="s">
        <v>5350</v>
      </c>
      <c r="AI100" s="42" t="s">
        <v>4959</v>
      </c>
      <c r="AJ100" s="42" t="s">
        <v>155</v>
      </c>
      <c r="AL100" s="42" t="s">
        <v>5353</v>
      </c>
      <c r="AM100" s="43">
        <v>106.75</v>
      </c>
      <c r="AN100" s="43">
        <v>106.75</v>
      </c>
      <c r="AO100" s="43" t="s">
        <v>70</v>
      </c>
      <c r="AQ100" s="43">
        <v>1</v>
      </c>
      <c r="AR100" s="42" t="s">
        <v>5402</v>
      </c>
      <c r="AU100" s="64"/>
      <c r="AV100" s="64">
        <v>62</v>
      </c>
      <c r="AW100" s="64" t="s">
        <v>4955</v>
      </c>
      <c r="AX100" s="64" t="s">
        <v>4744</v>
      </c>
      <c r="AY100" s="66" t="s">
        <v>478</v>
      </c>
      <c r="AZ100" s="66" t="s">
        <v>154</v>
      </c>
      <c r="BA100" s="64">
        <v>106.75</v>
      </c>
      <c r="BB100" s="64">
        <v>106.75</v>
      </c>
      <c r="BC100" s="64" t="s">
        <v>5400</v>
      </c>
      <c r="BD100" s="64" t="s">
        <v>5401</v>
      </c>
      <c r="BE100" s="64" t="s">
        <v>5400</v>
      </c>
      <c r="BF100" s="64" t="s">
        <v>5401</v>
      </c>
      <c r="BG100" s="64" t="s">
        <v>4963</v>
      </c>
      <c r="BH100" s="64" t="s">
        <v>5350</v>
      </c>
      <c r="BI100" s="64" t="s">
        <v>5399</v>
      </c>
      <c r="BJ100" s="64" t="s">
        <v>4954</v>
      </c>
      <c r="BK100" s="64" t="s">
        <v>474</v>
      </c>
      <c r="BL100" s="64" t="s">
        <v>474</v>
      </c>
      <c r="BM100" s="66" t="s">
        <v>1256</v>
      </c>
      <c r="BN100" s="66" t="s">
        <v>1468</v>
      </c>
      <c r="BO100" s="66" t="s">
        <v>1468</v>
      </c>
      <c r="BP100" s="66" t="s">
        <v>1474</v>
      </c>
      <c r="BQ100" s="66" t="s">
        <v>1479</v>
      </c>
      <c r="BR100" s="64">
        <v>4.8479999999999999</v>
      </c>
      <c r="BS100" s="64">
        <v>0.01</v>
      </c>
      <c r="BT100" s="66">
        <v>120</v>
      </c>
      <c r="BU100" s="79"/>
      <c r="BV100" s="79"/>
      <c r="BW100" s="79"/>
      <c r="BX100" s="79"/>
      <c r="BY100" s="64">
        <v>3.6019999999999999</v>
      </c>
      <c r="BZ100" s="79"/>
      <c r="CA100" s="79"/>
      <c r="CB100" s="79"/>
      <c r="CC100" s="79"/>
      <c r="CD100" s="79"/>
      <c r="CE100" s="79"/>
      <c r="CF100" s="79"/>
      <c r="CG100" s="79"/>
      <c r="CH100" s="79"/>
      <c r="CI100" s="79"/>
      <c r="CJ100" s="79"/>
      <c r="CK100" s="79"/>
      <c r="CL100" s="79"/>
      <c r="CM100" s="79"/>
      <c r="CN100" s="79"/>
      <c r="CO100" s="79"/>
      <c r="CP100" s="66" t="s">
        <v>1654</v>
      </c>
      <c r="CQ100" s="79"/>
      <c r="CR100" s="79"/>
      <c r="CS100" s="79"/>
      <c r="CT100" s="79"/>
      <c r="CU100" s="79"/>
      <c r="CV100" s="79"/>
      <c r="CW100" s="79"/>
      <c r="CX100" s="79"/>
      <c r="CY100" s="79"/>
      <c r="CZ100" s="79"/>
      <c r="DA100" s="79"/>
      <c r="DB100" s="79"/>
      <c r="DC100" s="79"/>
      <c r="DD100" s="79"/>
      <c r="DE100" s="79"/>
      <c r="DF100" s="79"/>
      <c r="DG100" s="79"/>
      <c r="DH100" s="79"/>
      <c r="DI100" s="79"/>
      <c r="DJ100" s="79"/>
      <c r="DK100" s="79"/>
      <c r="DL100" s="79"/>
      <c r="DM100" s="79"/>
      <c r="DN100" s="79"/>
      <c r="DO100" s="79"/>
      <c r="DP100" s="79"/>
      <c r="DQ100" s="79"/>
      <c r="DR100" s="79"/>
      <c r="DS100" s="79"/>
      <c r="DT100" s="79"/>
      <c r="DU100" s="79"/>
      <c r="DV100" s="79"/>
      <c r="DW100" s="79"/>
      <c r="DX100" s="79"/>
      <c r="DY100" s="78"/>
    </row>
    <row r="101" spans="1:129" x14ac:dyDescent="0.35">
      <c r="A101" s="42" t="s">
        <v>4743</v>
      </c>
      <c r="B101" s="42" t="s">
        <v>5403</v>
      </c>
      <c r="C101" s="42" t="s">
        <v>154</v>
      </c>
      <c r="D101" s="43" t="s">
        <v>155</v>
      </c>
      <c r="F101" s="44" t="s">
        <v>5404</v>
      </c>
      <c r="G101" s="42" t="s">
        <v>4955</v>
      </c>
      <c r="H101" s="42" t="s">
        <v>68</v>
      </c>
      <c r="I101" s="43" t="s">
        <v>68</v>
      </c>
      <c r="J101" s="43" t="s">
        <v>68</v>
      </c>
      <c r="K101" s="43"/>
      <c r="L101" s="43" t="s">
        <v>69</v>
      </c>
      <c r="M101" s="43">
        <v>3</v>
      </c>
      <c r="N101" s="43">
        <v>3</v>
      </c>
      <c r="O101" s="43" t="s">
        <v>69</v>
      </c>
      <c r="P101" s="43">
        <v>4</v>
      </c>
      <c r="Q101" s="43">
        <v>4</v>
      </c>
      <c r="R101" s="43" t="s">
        <v>69</v>
      </c>
      <c r="S101" s="43">
        <v>5</v>
      </c>
      <c r="T101" s="43">
        <v>5</v>
      </c>
      <c r="U101" s="42" t="s">
        <v>5350</v>
      </c>
      <c r="V101" s="42">
        <v>106.75</v>
      </c>
      <c r="W101" s="42">
        <v>106.75</v>
      </c>
      <c r="X101" s="42" t="s">
        <v>5405</v>
      </c>
      <c r="Y101" s="42" t="s">
        <v>5406</v>
      </c>
      <c r="Z101" s="43" t="s">
        <v>4743</v>
      </c>
      <c r="AA101" s="43" t="s">
        <v>4742</v>
      </c>
      <c r="AC101" s="42" t="s">
        <v>4684</v>
      </c>
      <c r="AD101" s="42" t="s">
        <v>4685</v>
      </c>
      <c r="AE101" s="42" t="s">
        <v>4686</v>
      </c>
      <c r="AF101" s="42" t="s">
        <v>154</v>
      </c>
      <c r="AG101" s="42" t="s">
        <v>4685</v>
      </c>
      <c r="AH101" t="s">
        <v>5350</v>
      </c>
      <c r="AI101" s="42" t="s">
        <v>4959</v>
      </c>
      <c r="AJ101" s="42" t="s">
        <v>155</v>
      </c>
      <c r="AL101" s="42" t="s">
        <v>5353</v>
      </c>
      <c r="AM101" s="43">
        <v>106.75</v>
      </c>
      <c r="AN101" s="43">
        <v>106.75</v>
      </c>
      <c r="AO101" s="43" t="s">
        <v>70</v>
      </c>
      <c r="AQ101" s="43">
        <v>1</v>
      </c>
      <c r="AR101" s="42" t="s">
        <v>5407</v>
      </c>
      <c r="AU101" s="64"/>
      <c r="AV101" s="64">
        <v>62</v>
      </c>
      <c r="AW101" s="64" t="s">
        <v>4955</v>
      </c>
      <c r="AX101" s="64" t="s">
        <v>4744</v>
      </c>
      <c r="AY101" s="66" t="s">
        <v>478</v>
      </c>
      <c r="AZ101" s="66" t="s">
        <v>154</v>
      </c>
      <c r="BA101" s="64">
        <v>106.75</v>
      </c>
      <c r="BB101" s="64">
        <v>106.75</v>
      </c>
      <c r="BC101" s="64" t="s">
        <v>5405</v>
      </c>
      <c r="BD101" s="64" t="s">
        <v>5406</v>
      </c>
      <c r="BE101" s="64" t="s">
        <v>5405</v>
      </c>
      <c r="BF101" s="64" t="s">
        <v>5406</v>
      </c>
      <c r="BG101" s="64" t="s">
        <v>4963</v>
      </c>
      <c r="BH101" s="64" t="s">
        <v>5350</v>
      </c>
      <c r="BI101" s="64" t="s">
        <v>5404</v>
      </c>
      <c r="BJ101" s="64" t="s">
        <v>4954</v>
      </c>
      <c r="BK101" s="64" t="s">
        <v>474</v>
      </c>
      <c r="BL101" s="64" t="s">
        <v>474</v>
      </c>
      <c r="BM101" s="66" t="s">
        <v>1256</v>
      </c>
      <c r="BN101" s="66" t="s">
        <v>1468</v>
      </c>
      <c r="BO101" s="66" t="s">
        <v>1468</v>
      </c>
      <c r="BP101" s="66" t="s">
        <v>1474</v>
      </c>
      <c r="BQ101" s="66" t="s">
        <v>1479</v>
      </c>
      <c r="BR101" s="64">
        <v>4.8479999999999999</v>
      </c>
      <c r="BS101" s="64">
        <v>0.01</v>
      </c>
      <c r="BT101" s="66">
        <v>120</v>
      </c>
      <c r="BU101" s="79"/>
      <c r="BV101" s="79"/>
      <c r="BW101" s="79"/>
      <c r="BX101" s="79"/>
      <c r="BY101" s="64">
        <v>3.6019999999999999</v>
      </c>
      <c r="BZ101" s="79"/>
      <c r="CA101" s="79"/>
      <c r="CB101" s="79"/>
      <c r="CC101" s="79"/>
      <c r="CD101" s="79"/>
      <c r="CE101" s="79"/>
      <c r="CF101" s="79"/>
      <c r="CG101" s="79"/>
      <c r="CH101" s="79"/>
      <c r="CI101" s="79"/>
      <c r="CJ101" s="79"/>
      <c r="CK101" s="79"/>
      <c r="CL101" s="79"/>
      <c r="CM101" s="79"/>
      <c r="CN101" s="79"/>
      <c r="CO101" s="79"/>
      <c r="CP101" s="66" t="s">
        <v>1654</v>
      </c>
      <c r="CQ101" s="79"/>
      <c r="CR101" s="79"/>
      <c r="CS101" s="79"/>
      <c r="CT101" s="79"/>
      <c r="CU101" s="79"/>
      <c r="CV101" s="79"/>
      <c r="CW101" s="79"/>
      <c r="CX101" s="79"/>
      <c r="CY101" s="79"/>
      <c r="CZ101" s="79"/>
      <c r="DA101" s="79"/>
      <c r="DB101" s="79"/>
      <c r="DC101" s="79"/>
      <c r="DD101" s="79"/>
      <c r="DE101" s="79"/>
      <c r="DF101" s="79"/>
      <c r="DG101" s="79"/>
      <c r="DH101" s="79"/>
      <c r="DI101" s="79"/>
      <c r="DJ101" s="79"/>
      <c r="DK101" s="79"/>
      <c r="DL101" s="79"/>
      <c r="DM101" s="79"/>
      <c r="DN101" s="79"/>
      <c r="DO101" s="79"/>
      <c r="DP101" s="79"/>
      <c r="DQ101" s="79"/>
      <c r="DR101" s="79"/>
      <c r="DS101" s="79"/>
      <c r="DT101" s="79"/>
      <c r="DU101" s="79"/>
      <c r="DV101" s="79"/>
      <c r="DW101" s="79"/>
      <c r="DX101" s="79"/>
      <c r="DY101" s="78"/>
    </row>
    <row r="102" spans="1:129" x14ac:dyDescent="0.35">
      <c r="A102" s="42" t="s">
        <v>4743</v>
      </c>
      <c r="B102" s="42" t="s">
        <v>4821</v>
      </c>
      <c r="C102" s="42" t="s">
        <v>205</v>
      </c>
      <c r="D102" s="43" t="s">
        <v>206</v>
      </c>
      <c r="F102" s="44" t="s">
        <v>4820</v>
      </c>
      <c r="G102" s="42" t="s">
        <v>4955</v>
      </c>
      <c r="H102" s="42" t="s">
        <v>68</v>
      </c>
      <c r="I102" s="43" t="s">
        <v>68</v>
      </c>
      <c r="J102" s="43" t="s">
        <v>68</v>
      </c>
      <c r="K102" s="43"/>
      <c r="L102" s="43" t="s">
        <v>69</v>
      </c>
      <c r="M102" s="43">
        <v>3</v>
      </c>
      <c r="N102" s="43">
        <v>3</v>
      </c>
      <c r="O102" s="43" t="s">
        <v>69</v>
      </c>
      <c r="P102" s="43">
        <v>4</v>
      </c>
      <c r="Q102" s="43">
        <v>4</v>
      </c>
      <c r="R102" s="43" t="s">
        <v>69</v>
      </c>
      <c r="S102" s="43">
        <v>5</v>
      </c>
      <c r="T102" s="43">
        <v>5</v>
      </c>
      <c r="U102" s="42" t="s">
        <v>5408</v>
      </c>
      <c r="V102" s="42">
        <v>106.72</v>
      </c>
      <c r="W102" s="42">
        <v>106.73</v>
      </c>
      <c r="X102" s="42" t="s">
        <v>5129</v>
      </c>
      <c r="Y102" s="42" t="s">
        <v>5409</v>
      </c>
      <c r="Z102" s="43" t="s">
        <v>4743</v>
      </c>
      <c r="AA102" s="43" t="s">
        <v>4742</v>
      </c>
      <c r="AC102" s="42" t="s">
        <v>4684</v>
      </c>
      <c r="AD102" s="42" t="s">
        <v>4685</v>
      </c>
      <c r="AE102" s="42" t="s">
        <v>4686</v>
      </c>
      <c r="AF102" s="42" t="s">
        <v>205</v>
      </c>
      <c r="AG102" s="42" t="s">
        <v>4685</v>
      </c>
      <c r="AH102" t="s">
        <v>5408</v>
      </c>
      <c r="AI102" s="42" t="s">
        <v>4959</v>
      </c>
      <c r="AJ102" s="42" t="s">
        <v>5410</v>
      </c>
      <c r="AL102" s="42" t="s">
        <v>5411</v>
      </c>
      <c r="AM102" s="43">
        <v>106.72</v>
      </c>
      <c r="AN102" s="43">
        <v>106.73</v>
      </c>
      <c r="AO102" s="43" t="s">
        <v>70</v>
      </c>
      <c r="AQ102" s="43">
        <v>1</v>
      </c>
      <c r="AR102" s="42" t="s">
        <v>5412</v>
      </c>
      <c r="AU102" s="64"/>
      <c r="AV102" s="64">
        <v>62</v>
      </c>
      <c r="AW102" s="64" t="s">
        <v>4955</v>
      </c>
      <c r="AX102" s="64" t="s">
        <v>4744</v>
      </c>
      <c r="AY102" s="66" t="s">
        <v>478</v>
      </c>
      <c r="AZ102" s="66" t="s">
        <v>205</v>
      </c>
      <c r="BA102" s="64">
        <v>106.72</v>
      </c>
      <c r="BB102" s="64">
        <v>106.73</v>
      </c>
      <c r="BC102" s="64" t="s">
        <v>5129</v>
      </c>
      <c r="BD102" s="64" t="s">
        <v>5409</v>
      </c>
      <c r="BE102" s="64" t="s">
        <v>5129</v>
      </c>
      <c r="BF102" s="64" t="s">
        <v>5409</v>
      </c>
      <c r="BG102" s="64" t="s">
        <v>4963</v>
      </c>
      <c r="BH102" s="64" t="s">
        <v>5408</v>
      </c>
      <c r="BI102" s="64" t="s">
        <v>4820</v>
      </c>
      <c r="BJ102" s="64" t="s">
        <v>4954</v>
      </c>
      <c r="BK102" s="64" t="s">
        <v>474</v>
      </c>
      <c r="BL102" s="64" t="s">
        <v>474</v>
      </c>
      <c r="BM102" s="66" t="s">
        <v>1274</v>
      </c>
      <c r="BN102" s="66" t="s">
        <v>1468</v>
      </c>
      <c r="BO102" s="66" t="s">
        <v>1468</v>
      </c>
      <c r="BP102" s="66" t="s">
        <v>1474</v>
      </c>
      <c r="BQ102" s="66" t="s">
        <v>1479</v>
      </c>
      <c r="BR102" s="64">
        <v>8.1560000000000006</v>
      </c>
      <c r="BS102" s="64">
        <v>0.05</v>
      </c>
      <c r="BT102" s="66">
        <v>120</v>
      </c>
      <c r="BU102" s="79"/>
      <c r="BV102" s="79"/>
      <c r="BW102" s="79"/>
      <c r="BX102" s="79"/>
      <c r="BY102" s="79"/>
      <c r="BZ102" s="79"/>
      <c r="CA102" s="79"/>
      <c r="CB102" s="79"/>
      <c r="CC102" s="79"/>
      <c r="CD102" s="79"/>
      <c r="CE102" s="79"/>
      <c r="CF102" s="79"/>
      <c r="CG102" s="79"/>
      <c r="CH102" s="79"/>
      <c r="CI102" s="79"/>
      <c r="CJ102" s="79"/>
      <c r="CK102" s="79"/>
      <c r="CL102" s="79"/>
      <c r="CM102" s="66" t="s">
        <v>1612</v>
      </c>
      <c r="CN102" s="79"/>
      <c r="CO102" s="79"/>
      <c r="CP102" s="79"/>
      <c r="CQ102" s="64">
        <v>166</v>
      </c>
      <c r="CR102" s="64" t="s">
        <v>4745</v>
      </c>
      <c r="CS102" s="79"/>
      <c r="CT102" s="66" t="s">
        <v>1688</v>
      </c>
      <c r="CU102" s="79"/>
      <c r="CV102" s="79"/>
      <c r="CW102" s="79"/>
      <c r="CX102" s="79"/>
      <c r="CY102" s="66"/>
      <c r="CZ102" s="79"/>
      <c r="DA102" s="79"/>
      <c r="DB102" s="79"/>
      <c r="DC102" s="79"/>
      <c r="DD102" s="79"/>
      <c r="DE102" s="64">
        <v>15</v>
      </c>
      <c r="DF102" s="66" t="s">
        <v>1594</v>
      </c>
      <c r="DG102" s="79"/>
      <c r="DH102" s="79"/>
      <c r="DI102" s="79"/>
      <c r="DJ102" s="64"/>
      <c r="DK102" s="64">
        <v>0.52900000000000003</v>
      </c>
      <c r="DL102" s="79"/>
      <c r="DM102" s="64">
        <v>6.1</v>
      </c>
      <c r="DN102" s="79"/>
      <c r="DO102" s="79"/>
      <c r="DP102" s="64">
        <v>150</v>
      </c>
      <c r="DQ102" s="79"/>
      <c r="DR102" s="79"/>
      <c r="DS102" s="79"/>
      <c r="DT102" s="79"/>
      <c r="DU102" s="79"/>
      <c r="DV102" s="79"/>
      <c r="DW102" s="79"/>
      <c r="DX102" s="79"/>
      <c r="DY102" s="78"/>
    </row>
    <row r="103" spans="1:129" x14ac:dyDescent="0.35">
      <c r="A103" s="42" t="s">
        <v>4743</v>
      </c>
      <c r="B103" s="42" t="s">
        <v>4823</v>
      </c>
      <c r="C103" s="42" t="s">
        <v>205</v>
      </c>
      <c r="D103" s="43" t="s">
        <v>206</v>
      </c>
      <c r="F103" s="44" t="s">
        <v>4822</v>
      </c>
      <c r="G103" s="42" t="s">
        <v>4955</v>
      </c>
      <c r="H103" s="42" t="s">
        <v>68</v>
      </c>
      <c r="I103" s="43" t="s">
        <v>68</v>
      </c>
      <c r="J103" s="43" t="s">
        <v>68</v>
      </c>
      <c r="K103" s="43"/>
      <c r="L103" s="43" t="s">
        <v>69</v>
      </c>
      <c r="M103" s="43">
        <v>3</v>
      </c>
      <c r="N103" s="43">
        <v>3</v>
      </c>
      <c r="O103" s="43" t="s">
        <v>69</v>
      </c>
      <c r="P103" s="43">
        <v>4</v>
      </c>
      <c r="Q103" s="43">
        <v>4</v>
      </c>
      <c r="R103" s="43" t="s">
        <v>69</v>
      </c>
      <c r="S103" s="43">
        <v>5</v>
      </c>
      <c r="T103" s="43">
        <v>5</v>
      </c>
      <c r="U103" s="42" t="s">
        <v>5408</v>
      </c>
      <c r="V103" s="42">
        <v>106.73</v>
      </c>
      <c r="W103" s="42">
        <v>106.73</v>
      </c>
      <c r="X103" s="42" t="s">
        <v>5129</v>
      </c>
      <c r="Y103" s="42" t="s">
        <v>5413</v>
      </c>
      <c r="Z103" s="43" t="s">
        <v>4743</v>
      </c>
      <c r="AA103" s="43" t="s">
        <v>4742</v>
      </c>
      <c r="AC103" s="42" t="s">
        <v>4684</v>
      </c>
      <c r="AD103" s="42" t="s">
        <v>4685</v>
      </c>
      <c r="AE103" s="42" t="s">
        <v>4686</v>
      </c>
      <c r="AF103" s="42" t="s">
        <v>205</v>
      </c>
      <c r="AG103" s="42" t="s">
        <v>4685</v>
      </c>
      <c r="AH103" t="s">
        <v>5408</v>
      </c>
      <c r="AI103" s="42" t="s">
        <v>4959</v>
      </c>
      <c r="AJ103" s="42" t="s">
        <v>5410</v>
      </c>
      <c r="AL103" s="42" t="s">
        <v>5411</v>
      </c>
      <c r="AM103" s="43">
        <v>106.73</v>
      </c>
      <c r="AN103" s="43">
        <v>106.73</v>
      </c>
      <c r="AO103" s="43" t="s">
        <v>70</v>
      </c>
      <c r="AQ103" s="43">
        <v>1</v>
      </c>
      <c r="AR103" s="42" t="s">
        <v>5414</v>
      </c>
      <c r="AU103" s="64"/>
      <c r="AV103" s="64">
        <v>62</v>
      </c>
      <c r="AW103" s="64" t="s">
        <v>4955</v>
      </c>
      <c r="AX103" s="64" t="s">
        <v>4744</v>
      </c>
      <c r="AY103" s="66" t="s">
        <v>478</v>
      </c>
      <c r="AZ103" s="66" t="s">
        <v>205</v>
      </c>
      <c r="BA103" s="64">
        <v>106.73</v>
      </c>
      <c r="BB103" s="64">
        <v>106.73</v>
      </c>
      <c r="BC103" s="64" t="s">
        <v>5129</v>
      </c>
      <c r="BD103" s="64" t="s">
        <v>5413</v>
      </c>
      <c r="BE103" s="64" t="s">
        <v>5129</v>
      </c>
      <c r="BF103" s="64" t="s">
        <v>5413</v>
      </c>
      <c r="BG103" s="64" t="s">
        <v>4963</v>
      </c>
      <c r="BH103" s="64" t="s">
        <v>5408</v>
      </c>
      <c r="BI103" s="64" t="s">
        <v>4822</v>
      </c>
      <c r="BJ103" s="64" t="s">
        <v>4954</v>
      </c>
      <c r="BK103" s="64" t="s">
        <v>474</v>
      </c>
      <c r="BL103" s="64" t="s">
        <v>474</v>
      </c>
      <c r="BM103" s="66" t="s">
        <v>1274</v>
      </c>
      <c r="BN103" s="66" t="s">
        <v>1468</v>
      </c>
      <c r="BO103" s="66" t="s">
        <v>1468</v>
      </c>
      <c r="BP103" s="66" t="s">
        <v>1474</v>
      </c>
      <c r="BQ103" s="66" t="s">
        <v>1479</v>
      </c>
      <c r="BR103" s="64">
        <v>0.16700000000000001</v>
      </c>
      <c r="BS103" s="64">
        <v>0.03</v>
      </c>
      <c r="BT103" s="66">
        <v>120</v>
      </c>
      <c r="BU103" s="79"/>
      <c r="BV103" s="79"/>
      <c r="BW103" s="79"/>
      <c r="BX103" s="79"/>
      <c r="BY103" s="79"/>
      <c r="BZ103" s="79"/>
      <c r="CA103" s="79"/>
      <c r="CB103" s="79"/>
      <c r="CC103" s="79"/>
      <c r="CD103" s="79"/>
      <c r="CE103" s="79"/>
      <c r="CF103" s="79"/>
      <c r="CG103" s="79"/>
      <c r="CH103" s="79"/>
      <c r="CI103" s="79"/>
      <c r="CJ103" s="79"/>
      <c r="CK103" s="79"/>
      <c r="CL103" s="79"/>
      <c r="CM103" s="66" t="s">
        <v>1612</v>
      </c>
      <c r="CN103" s="79"/>
      <c r="CO103" s="79"/>
      <c r="CP103" s="79"/>
      <c r="CQ103" s="64">
        <v>166</v>
      </c>
      <c r="CR103" s="64" t="s">
        <v>4745</v>
      </c>
      <c r="CS103" s="79"/>
      <c r="CT103" s="66" t="s">
        <v>1688</v>
      </c>
      <c r="CU103" s="79"/>
      <c r="CV103" s="79"/>
      <c r="CW103" s="79"/>
      <c r="CX103" s="79"/>
      <c r="CY103" s="66"/>
      <c r="CZ103" s="79"/>
      <c r="DA103" s="79"/>
      <c r="DB103" s="79"/>
      <c r="DC103" s="79"/>
      <c r="DD103" s="79"/>
      <c r="DE103" s="64">
        <v>15</v>
      </c>
      <c r="DF103" s="66" t="s">
        <v>1594</v>
      </c>
      <c r="DG103" s="79"/>
      <c r="DH103" s="79"/>
      <c r="DI103" s="79"/>
      <c r="DJ103" s="64"/>
      <c r="DK103" s="64">
        <v>2.0640000000000001</v>
      </c>
      <c r="DL103" s="79"/>
      <c r="DM103" s="64"/>
      <c r="DN103" s="79"/>
      <c r="DO103" s="79"/>
      <c r="DP103" s="64">
        <v>150</v>
      </c>
      <c r="DQ103" s="79"/>
      <c r="DR103" s="79"/>
      <c r="DS103" s="79"/>
      <c r="DT103" s="79"/>
      <c r="DU103" s="79"/>
      <c r="DV103" s="79"/>
      <c r="DW103" s="79"/>
      <c r="DX103" s="79"/>
      <c r="DY103" s="78"/>
    </row>
    <row r="104" spans="1:129" x14ac:dyDescent="0.35">
      <c r="A104" s="42" t="s">
        <v>4743</v>
      </c>
      <c r="B104" s="42" t="s">
        <v>4825</v>
      </c>
      <c r="C104" s="42" t="s">
        <v>205</v>
      </c>
      <c r="D104" s="43" t="s">
        <v>206</v>
      </c>
      <c r="F104" s="44" t="s">
        <v>4824</v>
      </c>
      <c r="G104" s="42" t="s">
        <v>4955</v>
      </c>
      <c r="H104" s="42" t="s">
        <v>68</v>
      </c>
      <c r="I104" s="43" t="s">
        <v>68</v>
      </c>
      <c r="J104" s="43" t="s">
        <v>68</v>
      </c>
      <c r="K104" s="43"/>
      <c r="L104" s="43" t="s">
        <v>69</v>
      </c>
      <c r="M104" s="43">
        <v>3</v>
      </c>
      <c r="N104" s="43">
        <v>3</v>
      </c>
      <c r="O104" s="43" t="s">
        <v>69</v>
      </c>
      <c r="P104" s="43">
        <v>4</v>
      </c>
      <c r="Q104" s="43">
        <v>4</v>
      </c>
      <c r="R104" s="43" t="s">
        <v>69</v>
      </c>
      <c r="S104" s="43">
        <v>5</v>
      </c>
      <c r="T104" s="43">
        <v>5</v>
      </c>
      <c r="U104" s="42" t="s">
        <v>5408</v>
      </c>
      <c r="V104" s="42">
        <v>106.75</v>
      </c>
      <c r="W104" s="42">
        <v>106.76</v>
      </c>
      <c r="X104" s="42" t="s">
        <v>5231</v>
      </c>
      <c r="Y104" s="42" t="s">
        <v>5415</v>
      </c>
      <c r="Z104" s="43" t="s">
        <v>4743</v>
      </c>
      <c r="AA104" s="43" t="s">
        <v>4742</v>
      </c>
      <c r="AC104" s="42" t="s">
        <v>4684</v>
      </c>
      <c r="AD104" s="42" t="s">
        <v>4685</v>
      </c>
      <c r="AE104" s="42" t="s">
        <v>4686</v>
      </c>
      <c r="AF104" s="42" t="s">
        <v>205</v>
      </c>
      <c r="AG104" s="42" t="s">
        <v>4685</v>
      </c>
      <c r="AH104" t="s">
        <v>5408</v>
      </c>
      <c r="AI104" s="42" t="s">
        <v>4959</v>
      </c>
      <c r="AJ104" s="42" t="s">
        <v>5410</v>
      </c>
      <c r="AL104" s="42" t="s">
        <v>5411</v>
      </c>
      <c r="AM104" s="43">
        <v>106.75</v>
      </c>
      <c r="AN104" s="43">
        <v>106.76</v>
      </c>
      <c r="AO104" s="43" t="s">
        <v>70</v>
      </c>
      <c r="AQ104" s="43">
        <v>1</v>
      </c>
      <c r="AR104" s="42" t="s">
        <v>5416</v>
      </c>
      <c r="AU104" s="64"/>
      <c r="AV104" s="64">
        <v>62</v>
      </c>
      <c r="AW104" s="64" t="s">
        <v>4955</v>
      </c>
      <c r="AX104" s="64" t="s">
        <v>4744</v>
      </c>
      <c r="AY104" s="66" t="s">
        <v>478</v>
      </c>
      <c r="AZ104" s="66" t="s">
        <v>205</v>
      </c>
      <c r="BA104" s="64">
        <v>106.75</v>
      </c>
      <c r="BB104" s="64">
        <v>106.76</v>
      </c>
      <c r="BC104" s="64" t="s">
        <v>5231</v>
      </c>
      <c r="BD104" s="64" t="s">
        <v>5415</v>
      </c>
      <c r="BE104" s="64" t="s">
        <v>5231</v>
      </c>
      <c r="BF104" s="64" t="s">
        <v>5415</v>
      </c>
      <c r="BG104" s="64" t="s">
        <v>4963</v>
      </c>
      <c r="BH104" s="64" t="s">
        <v>5408</v>
      </c>
      <c r="BI104" s="64" t="s">
        <v>4824</v>
      </c>
      <c r="BJ104" s="64" t="s">
        <v>4954</v>
      </c>
      <c r="BK104" s="64" t="s">
        <v>474</v>
      </c>
      <c r="BL104" s="64" t="s">
        <v>474</v>
      </c>
      <c r="BM104" s="66" t="s">
        <v>1274</v>
      </c>
      <c r="BN104" s="66" t="s">
        <v>1468</v>
      </c>
      <c r="BO104" s="66" t="s">
        <v>1468</v>
      </c>
      <c r="BP104" s="66" t="s">
        <v>1474</v>
      </c>
      <c r="BQ104" s="66" t="s">
        <v>1479</v>
      </c>
      <c r="BR104" s="64">
        <v>8.1560000000000006</v>
      </c>
      <c r="BS104" s="64">
        <v>0.05</v>
      </c>
      <c r="BT104" s="66">
        <v>120</v>
      </c>
      <c r="BU104" s="79"/>
      <c r="BV104" s="79"/>
      <c r="BW104" s="79"/>
      <c r="BX104" s="79"/>
      <c r="BY104" s="79"/>
      <c r="BZ104" s="79"/>
      <c r="CA104" s="79"/>
      <c r="CB104" s="79"/>
      <c r="CC104" s="79"/>
      <c r="CD104" s="79"/>
      <c r="CE104" s="79"/>
      <c r="CF104" s="79"/>
      <c r="CG104" s="79"/>
      <c r="CH104" s="79"/>
      <c r="CI104" s="79"/>
      <c r="CJ104" s="79"/>
      <c r="CK104" s="79"/>
      <c r="CL104" s="79"/>
      <c r="CM104" s="66" t="s">
        <v>1612</v>
      </c>
      <c r="CN104" s="79"/>
      <c r="CO104" s="79"/>
      <c r="CP104" s="79"/>
      <c r="CQ104" s="64">
        <v>166</v>
      </c>
      <c r="CR104" s="64" t="s">
        <v>4745</v>
      </c>
      <c r="CS104" s="79"/>
      <c r="CT104" s="66" t="s">
        <v>1684</v>
      </c>
      <c r="CU104" s="79"/>
      <c r="CV104" s="79"/>
      <c r="CW104" s="79"/>
      <c r="CX104" s="79"/>
      <c r="CY104" s="66"/>
      <c r="CZ104" s="79"/>
      <c r="DA104" s="79"/>
      <c r="DB104" s="79"/>
      <c r="DC104" s="79"/>
      <c r="DD104" s="79"/>
      <c r="DE104" s="64">
        <v>15</v>
      </c>
      <c r="DF104" s="66" t="s">
        <v>1594</v>
      </c>
      <c r="DG104" s="79"/>
      <c r="DH104" s="79"/>
      <c r="DI104" s="79"/>
      <c r="DJ104" s="64"/>
      <c r="DK104" s="64">
        <v>0.52900000000000003</v>
      </c>
      <c r="DL104" s="79"/>
      <c r="DM104" s="64">
        <v>6.1</v>
      </c>
      <c r="DN104" s="79"/>
      <c r="DO104" s="79"/>
      <c r="DP104" s="64">
        <v>150</v>
      </c>
      <c r="DQ104" s="79"/>
      <c r="DR104" s="79"/>
      <c r="DS104" s="79"/>
      <c r="DT104" s="79"/>
      <c r="DU104" s="79"/>
      <c r="DV104" s="79"/>
      <c r="DW104" s="79"/>
      <c r="DX104" s="79"/>
      <c r="DY104" s="78"/>
    </row>
    <row r="105" spans="1:129" x14ac:dyDescent="0.35">
      <c r="A105" s="42" t="s">
        <v>4743</v>
      </c>
      <c r="B105" s="42" t="s">
        <v>4827</v>
      </c>
      <c r="C105" s="42" t="s">
        <v>205</v>
      </c>
      <c r="D105" s="43" t="s">
        <v>206</v>
      </c>
      <c r="F105" s="44" t="s">
        <v>4826</v>
      </c>
      <c r="G105" s="42" t="s">
        <v>4955</v>
      </c>
      <c r="H105" s="42" t="s">
        <v>68</v>
      </c>
      <c r="I105" s="43" t="s">
        <v>68</v>
      </c>
      <c r="J105" s="43" t="s">
        <v>68</v>
      </c>
      <c r="K105" s="43"/>
      <c r="L105" s="43" t="s">
        <v>69</v>
      </c>
      <c r="M105" s="43">
        <v>3</v>
      </c>
      <c r="N105" s="43">
        <v>3</v>
      </c>
      <c r="O105" s="43" t="s">
        <v>69</v>
      </c>
      <c r="P105" s="43">
        <v>4</v>
      </c>
      <c r="Q105" s="43">
        <v>4</v>
      </c>
      <c r="R105" s="43" t="s">
        <v>69</v>
      </c>
      <c r="S105" s="43">
        <v>5</v>
      </c>
      <c r="T105" s="43">
        <v>5</v>
      </c>
      <c r="U105" s="42" t="s">
        <v>5408</v>
      </c>
      <c r="V105" s="42">
        <v>106.75</v>
      </c>
      <c r="W105" s="42">
        <v>106.76</v>
      </c>
      <c r="X105" s="42" t="s">
        <v>5231</v>
      </c>
      <c r="Y105" s="42" t="s">
        <v>5417</v>
      </c>
      <c r="Z105" s="43" t="s">
        <v>4743</v>
      </c>
      <c r="AA105" s="43" t="s">
        <v>4742</v>
      </c>
      <c r="AC105" s="42" t="s">
        <v>4684</v>
      </c>
      <c r="AD105" s="42" t="s">
        <v>4685</v>
      </c>
      <c r="AE105" s="42" t="s">
        <v>4686</v>
      </c>
      <c r="AF105" s="42" t="s">
        <v>205</v>
      </c>
      <c r="AG105" s="42" t="s">
        <v>4685</v>
      </c>
      <c r="AH105" t="s">
        <v>5408</v>
      </c>
      <c r="AI105" s="42" t="s">
        <v>4959</v>
      </c>
      <c r="AJ105" s="42" t="s">
        <v>5410</v>
      </c>
      <c r="AL105" s="42" t="s">
        <v>5411</v>
      </c>
      <c r="AM105" s="43">
        <v>106.75</v>
      </c>
      <c r="AN105" s="43">
        <v>106.76</v>
      </c>
      <c r="AO105" s="43" t="s">
        <v>70</v>
      </c>
      <c r="AQ105" s="43">
        <v>1</v>
      </c>
      <c r="AR105" s="42" t="s">
        <v>5418</v>
      </c>
      <c r="AU105" s="64"/>
      <c r="AV105" s="64">
        <v>62</v>
      </c>
      <c r="AW105" s="64" t="s">
        <v>4955</v>
      </c>
      <c r="AX105" s="64" t="s">
        <v>4744</v>
      </c>
      <c r="AY105" s="66" t="s">
        <v>478</v>
      </c>
      <c r="AZ105" s="66" t="s">
        <v>205</v>
      </c>
      <c r="BA105" s="64">
        <v>106.75</v>
      </c>
      <c r="BB105" s="64">
        <v>106.76</v>
      </c>
      <c r="BC105" s="64" t="s">
        <v>5231</v>
      </c>
      <c r="BD105" s="64" t="s">
        <v>5417</v>
      </c>
      <c r="BE105" s="64" t="s">
        <v>5231</v>
      </c>
      <c r="BF105" s="64" t="s">
        <v>5417</v>
      </c>
      <c r="BG105" s="64" t="s">
        <v>4963</v>
      </c>
      <c r="BH105" s="64" t="s">
        <v>5408</v>
      </c>
      <c r="BI105" s="64" t="s">
        <v>4826</v>
      </c>
      <c r="BJ105" s="64" t="s">
        <v>4954</v>
      </c>
      <c r="BK105" s="64" t="s">
        <v>474</v>
      </c>
      <c r="BL105" s="64" t="s">
        <v>474</v>
      </c>
      <c r="BM105" s="66" t="s">
        <v>1274</v>
      </c>
      <c r="BN105" s="66" t="s">
        <v>1468</v>
      </c>
      <c r="BO105" s="66" t="s">
        <v>1468</v>
      </c>
      <c r="BP105" s="66" t="s">
        <v>1474</v>
      </c>
      <c r="BQ105" s="66" t="s">
        <v>1479</v>
      </c>
      <c r="BR105" s="64">
        <v>0.16600000000000001</v>
      </c>
      <c r="BS105" s="64">
        <v>0.03</v>
      </c>
      <c r="BT105" s="66">
        <v>120</v>
      </c>
      <c r="BU105" s="79"/>
      <c r="BV105" s="79"/>
      <c r="BW105" s="79"/>
      <c r="BX105" s="79"/>
      <c r="BY105" s="79"/>
      <c r="BZ105" s="79"/>
      <c r="CA105" s="79"/>
      <c r="CB105" s="79"/>
      <c r="CC105" s="79"/>
      <c r="CD105" s="79"/>
      <c r="CE105" s="79"/>
      <c r="CF105" s="79"/>
      <c r="CG105" s="79"/>
      <c r="CH105" s="79"/>
      <c r="CI105" s="79"/>
      <c r="CJ105" s="79"/>
      <c r="CK105" s="79"/>
      <c r="CL105" s="79"/>
      <c r="CM105" s="66" t="s">
        <v>1612</v>
      </c>
      <c r="CN105" s="79"/>
      <c r="CO105" s="79"/>
      <c r="CP105" s="79"/>
      <c r="CQ105" s="64">
        <v>166</v>
      </c>
      <c r="CR105" s="64" t="s">
        <v>4745</v>
      </c>
      <c r="CS105" s="79"/>
      <c r="CT105" s="66" t="s">
        <v>1684</v>
      </c>
      <c r="CU105" s="79"/>
      <c r="CV105" s="79"/>
      <c r="CW105" s="79"/>
      <c r="CX105" s="79"/>
      <c r="CY105" s="66"/>
      <c r="CZ105" s="79"/>
      <c r="DA105" s="79"/>
      <c r="DB105" s="79"/>
      <c r="DC105" s="79"/>
      <c r="DD105" s="79"/>
      <c r="DE105" s="64">
        <v>15</v>
      </c>
      <c r="DF105" s="66" t="s">
        <v>1594</v>
      </c>
      <c r="DG105" s="79"/>
      <c r="DH105" s="79"/>
      <c r="DI105" s="79"/>
      <c r="DJ105" s="64"/>
      <c r="DK105" s="64">
        <v>2.0640000000000001</v>
      </c>
      <c r="DL105" s="79"/>
      <c r="DM105" s="64"/>
      <c r="DN105" s="79"/>
      <c r="DO105" s="79"/>
      <c r="DP105" s="64">
        <v>150</v>
      </c>
      <c r="DQ105" s="79"/>
      <c r="DR105" s="79"/>
      <c r="DS105" s="79"/>
      <c r="DT105" s="79"/>
      <c r="DU105" s="79"/>
      <c r="DV105" s="79"/>
      <c r="DW105" s="79"/>
      <c r="DX105" s="79"/>
      <c r="DY105" s="78"/>
    </row>
    <row r="106" spans="1:129" x14ac:dyDescent="0.35">
      <c r="A106" s="42" t="s">
        <v>4743</v>
      </c>
      <c r="B106" s="42" t="s">
        <v>4829</v>
      </c>
      <c r="C106" s="42" t="s">
        <v>209</v>
      </c>
      <c r="D106" s="43" t="s">
        <v>210</v>
      </c>
      <c r="F106" s="44" t="s">
        <v>4828</v>
      </c>
      <c r="G106" s="42" t="s">
        <v>4955</v>
      </c>
      <c r="H106" s="42" t="s">
        <v>68</v>
      </c>
      <c r="I106" s="43" t="s">
        <v>68</v>
      </c>
      <c r="J106" s="43" t="s">
        <v>68</v>
      </c>
      <c r="K106" s="43"/>
      <c r="L106" s="43" t="s">
        <v>69</v>
      </c>
      <c r="M106" s="43">
        <v>3</v>
      </c>
      <c r="N106" s="43">
        <v>3</v>
      </c>
      <c r="O106" s="43" t="s">
        <v>69</v>
      </c>
      <c r="P106" s="43">
        <v>4</v>
      </c>
      <c r="Q106" s="43">
        <v>4</v>
      </c>
      <c r="R106" s="43" t="s">
        <v>69</v>
      </c>
      <c r="S106" s="43">
        <v>5</v>
      </c>
      <c r="T106" s="43">
        <v>5</v>
      </c>
      <c r="U106" s="42" t="s">
        <v>5419</v>
      </c>
      <c r="V106" s="42">
        <v>106.73</v>
      </c>
      <c r="W106" s="42">
        <v>106.73</v>
      </c>
      <c r="X106" s="42" t="s">
        <v>5420</v>
      </c>
      <c r="Y106" s="42" t="s">
        <v>5421</v>
      </c>
      <c r="Z106" s="43" t="s">
        <v>4743</v>
      </c>
      <c r="AA106" s="43" t="s">
        <v>4742</v>
      </c>
      <c r="AC106" s="42" t="s">
        <v>4684</v>
      </c>
      <c r="AD106" s="42" t="s">
        <v>4685</v>
      </c>
      <c r="AE106" s="42" t="s">
        <v>4686</v>
      </c>
      <c r="AF106" s="42" t="s">
        <v>209</v>
      </c>
      <c r="AG106" s="42" t="s">
        <v>4685</v>
      </c>
      <c r="AH106" t="s">
        <v>5419</v>
      </c>
      <c r="AI106" s="42" t="s">
        <v>4959</v>
      </c>
      <c r="AJ106" s="42" t="s">
        <v>5422</v>
      </c>
      <c r="AL106" s="42" t="s">
        <v>5423</v>
      </c>
      <c r="AM106" s="43">
        <v>106.73</v>
      </c>
      <c r="AN106" s="43">
        <v>106.73</v>
      </c>
      <c r="AO106" s="43" t="s">
        <v>70</v>
      </c>
      <c r="AQ106" s="43">
        <v>1</v>
      </c>
      <c r="AR106" s="42" t="s">
        <v>5424</v>
      </c>
      <c r="AU106" s="64"/>
      <c r="AV106" s="64">
        <v>62</v>
      </c>
      <c r="AW106" s="64" t="s">
        <v>4955</v>
      </c>
      <c r="AX106" s="64" t="s">
        <v>4744</v>
      </c>
      <c r="AY106" s="66" t="s">
        <v>478</v>
      </c>
      <c r="AZ106" s="66" t="s">
        <v>209</v>
      </c>
      <c r="BA106" s="64">
        <v>106.73</v>
      </c>
      <c r="BB106" s="64">
        <v>106.73</v>
      </c>
      <c r="BC106" s="64" t="s">
        <v>5420</v>
      </c>
      <c r="BD106" s="64" t="s">
        <v>5421</v>
      </c>
      <c r="BE106" s="64" t="s">
        <v>5420</v>
      </c>
      <c r="BF106" s="64" t="s">
        <v>5421</v>
      </c>
      <c r="BG106" s="64" t="s">
        <v>4963</v>
      </c>
      <c r="BH106" s="64" t="s">
        <v>5419</v>
      </c>
      <c r="BI106" s="64" t="s">
        <v>4828</v>
      </c>
      <c r="BJ106" s="64" t="s">
        <v>4954</v>
      </c>
      <c r="BK106" s="64" t="s">
        <v>474</v>
      </c>
      <c r="BL106" s="64" t="s">
        <v>474</v>
      </c>
      <c r="BM106" s="66" t="s">
        <v>1244</v>
      </c>
      <c r="BN106" s="66" t="s">
        <v>1468</v>
      </c>
      <c r="BO106" s="66" t="s">
        <v>1468</v>
      </c>
      <c r="BP106" s="66" t="s">
        <v>1474</v>
      </c>
      <c r="BQ106" s="66" t="s">
        <v>1479</v>
      </c>
      <c r="BR106" s="64">
        <v>6.875</v>
      </c>
      <c r="BS106" s="64">
        <v>0.22</v>
      </c>
      <c r="BT106" s="66">
        <v>120</v>
      </c>
      <c r="BU106" s="79"/>
      <c r="BV106" s="79"/>
      <c r="BW106" s="79"/>
      <c r="BX106" s="79"/>
      <c r="BY106" s="64">
        <v>2.3490000000000002</v>
      </c>
      <c r="BZ106" s="79"/>
      <c r="CA106" s="79"/>
      <c r="CB106" s="64" t="s">
        <v>1100</v>
      </c>
      <c r="CC106" s="64" t="s">
        <v>1100</v>
      </c>
      <c r="CD106" s="79"/>
      <c r="CE106" s="79"/>
      <c r="CF106" s="79"/>
      <c r="CG106" s="79"/>
      <c r="CH106" s="64">
        <v>0.02</v>
      </c>
      <c r="CI106" s="79"/>
      <c r="CJ106" s="79"/>
      <c r="CK106" s="79"/>
      <c r="CL106" s="79"/>
      <c r="CM106" s="79"/>
      <c r="CN106" s="79"/>
      <c r="CO106" s="79"/>
      <c r="CP106" s="79"/>
      <c r="CQ106" s="79"/>
      <c r="CR106" s="79"/>
      <c r="CS106" s="79"/>
      <c r="CT106" s="79"/>
      <c r="CU106" s="79"/>
      <c r="CV106" s="79"/>
      <c r="CW106" s="79"/>
      <c r="CX106" s="79"/>
      <c r="CY106" s="79"/>
      <c r="CZ106" s="79"/>
      <c r="DA106" s="79"/>
      <c r="DB106" s="79"/>
      <c r="DC106" s="79"/>
      <c r="DD106" s="79"/>
      <c r="DE106" s="79"/>
      <c r="DF106" s="79"/>
      <c r="DG106" s="79"/>
      <c r="DH106" s="79"/>
      <c r="DI106" s="79"/>
      <c r="DJ106" s="79"/>
      <c r="DK106" s="79"/>
      <c r="DL106" s="79"/>
      <c r="DM106" s="79"/>
      <c r="DN106" s="79"/>
      <c r="DO106" s="79"/>
      <c r="DP106" s="79"/>
      <c r="DQ106" s="79"/>
      <c r="DR106" s="66"/>
      <c r="DS106" s="66"/>
      <c r="DT106" s="79"/>
      <c r="DU106" s="79"/>
      <c r="DV106" s="79"/>
      <c r="DW106" s="79"/>
      <c r="DX106" s="79"/>
      <c r="DY106" s="78"/>
    </row>
    <row r="107" spans="1:129" x14ac:dyDescent="0.35">
      <c r="A107" s="42" t="s">
        <v>4743</v>
      </c>
      <c r="B107" s="42" t="s">
        <v>4831</v>
      </c>
      <c r="C107" s="42" t="s">
        <v>209</v>
      </c>
      <c r="D107" s="43" t="s">
        <v>210</v>
      </c>
      <c r="F107" s="44" t="s">
        <v>4830</v>
      </c>
      <c r="G107" s="42" t="s">
        <v>4955</v>
      </c>
      <c r="H107" s="42" t="s">
        <v>68</v>
      </c>
      <c r="I107" s="43" t="s">
        <v>68</v>
      </c>
      <c r="J107" s="43" t="s">
        <v>68</v>
      </c>
      <c r="K107" s="43"/>
      <c r="L107" s="43" t="s">
        <v>69</v>
      </c>
      <c r="M107" s="43">
        <v>3</v>
      </c>
      <c r="N107" s="43">
        <v>3</v>
      </c>
      <c r="O107" s="43" t="s">
        <v>69</v>
      </c>
      <c r="P107" s="43">
        <v>4</v>
      </c>
      <c r="Q107" s="43">
        <v>4</v>
      </c>
      <c r="R107" s="43" t="s">
        <v>69</v>
      </c>
      <c r="S107" s="43">
        <v>5</v>
      </c>
      <c r="T107" s="43">
        <v>5</v>
      </c>
      <c r="U107" s="42" t="s">
        <v>5419</v>
      </c>
      <c r="V107" s="42">
        <v>106.72</v>
      </c>
      <c r="W107" s="42">
        <v>106.73</v>
      </c>
      <c r="X107" s="42" t="s">
        <v>5425</v>
      </c>
      <c r="Y107" s="42" t="s">
        <v>5426</v>
      </c>
      <c r="Z107" s="43" t="s">
        <v>4743</v>
      </c>
      <c r="AA107" s="43" t="s">
        <v>4742</v>
      </c>
      <c r="AC107" s="42" t="s">
        <v>4684</v>
      </c>
      <c r="AD107" s="42" t="s">
        <v>4685</v>
      </c>
      <c r="AE107" s="42" t="s">
        <v>4686</v>
      </c>
      <c r="AF107" s="42" t="s">
        <v>209</v>
      </c>
      <c r="AG107" s="42" t="s">
        <v>4685</v>
      </c>
      <c r="AH107" t="s">
        <v>5419</v>
      </c>
      <c r="AI107" s="42" t="s">
        <v>4959</v>
      </c>
      <c r="AJ107" s="42" t="s">
        <v>5422</v>
      </c>
      <c r="AL107" s="42" t="s">
        <v>5423</v>
      </c>
      <c r="AM107" s="43">
        <v>106.72</v>
      </c>
      <c r="AN107" s="43">
        <v>106.73</v>
      </c>
      <c r="AO107" s="43" t="s">
        <v>70</v>
      </c>
      <c r="AQ107" s="43">
        <v>1</v>
      </c>
      <c r="AR107" s="42" t="s">
        <v>5427</v>
      </c>
      <c r="AU107" s="64"/>
      <c r="AV107" s="64">
        <v>62</v>
      </c>
      <c r="AW107" s="64" t="s">
        <v>4955</v>
      </c>
      <c r="AX107" s="64" t="s">
        <v>4744</v>
      </c>
      <c r="AY107" s="66" t="s">
        <v>478</v>
      </c>
      <c r="AZ107" s="66" t="s">
        <v>209</v>
      </c>
      <c r="BA107" s="64">
        <v>106.72</v>
      </c>
      <c r="BB107" s="64">
        <v>106.73</v>
      </c>
      <c r="BC107" s="64" t="s">
        <v>5425</v>
      </c>
      <c r="BD107" s="64" t="s">
        <v>5426</v>
      </c>
      <c r="BE107" s="64" t="s">
        <v>5425</v>
      </c>
      <c r="BF107" s="64" t="s">
        <v>5426</v>
      </c>
      <c r="BG107" s="64" t="s">
        <v>4963</v>
      </c>
      <c r="BH107" s="64" t="s">
        <v>5419</v>
      </c>
      <c r="BI107" s="64" t="s">
        <v>4830</v>
      </c>
      <c r="BJ107" s="64" t="s">
        <v>4954</v>
      </c>
      <c r="BK107" s="64" t="s">
        <v>474</v>
      </c>
      <c r="BL107" s="64" t="s">
        <v>474</v>
      </c>
      <c r="BM107" s="66" t="s">
        <v>1244</v>
      </c>
      <c r="BN107" s="66" t="s">
        <v>1468</v>
      </c>
      <c r="BO107" s="66" t="s">
        <v>1468</v>
      </c>
      <c r="BP107" s="66" t="s">
        <v>1474</v>
      </c>
      <c r="BQ107" s="66" t="s">
        <v>1479</v>
      </c>
      <c r="BR107" s="64">
        <v>6.875</v>
      </c>
      <c r="BS107" s="64">
        <v>0.217</v>
      </c>
      <c r="BT107" s="66">
        <v>120</v>
      </c>
      <c r="BU107" s="79"/>
      <c r="BV107" s="79"/>
      <c r="BW107" s="79"/>
      <c r="BX107" s="79"/>
      <c r="BY107" s="64">
        <v>2.3490000000000002</v>
      </c>
      <c r="BZ107" s="79"/>
      <c r="CA107" s="79"/>
      <c r="CB107" s="64" t="s">
        <v>1100</v>
      </c>
      <c r="CC107" s="64" t="s">
        <v>1100</v>
      </c>
      <c r="CD107" s="79"/>
      <c r="CE107" s="79"/>
      <c r="CF107" s="79"/>
      <c r="CG107" s="79"/>
      <c r="CH107" s="64">
        <v>0.02</v>
      </c>
      <c r="CI107" s="79"/>
      <c r="CJ107" s="79"/>
      <c r="CK107" s="79"/>
      <c r="CL107" s="79"/>
      <c r="CM107" s="79"/>
      <c r="CN107" s="79"/>
      <c r="CO107" s="79"/>
      <c r="CP107" s="79"/>
      <c r="CQ107" s="79"/>
      <c r="CR107" s="79"/>
      <c r="CS107" s="79"/>
      <c r="CT107" s="79"/>
      <c r="CU107" s="79"/>
      <c r="CV107" s="79"/>
      <c r="CW107" s="79"/>
      <c r="CX107" s="79"/>
      <c r="CY107" s="79"/>
      <c r="CZ107" s="79"/>
      <c r="DA107" s="79"/>
      <c r="DB107" s="79"/>
      <c r="DC107" s="79"/>
      <c r="DD107" s="79"/>
      <c r="DE107" s="79"/>
      <c r="DF107" s="79"/>
      <c r="DG107" s="79"/>
      <c r="DH107" s="79"/>
      <c r="DI107" s="79"/>
      <c r="DJ107" s="79"/>
      <c r="DK107" s="79"/>
      <c r="DL107" s="79"/>
      <c r="DM107" s="79"/>
      <c r="DN107" s="79"/>
      <c r="DO107" s="79"/>
      <c r="DP107" s="79"/>
      <c r="DQ107" s="79"/>
      <c r="DR107" s="66"/>
      <c r="DS107" s="66"/>
      <c r="DT107" s="79"/>
      <c r="DU107" s="79"/>
      <c r="DV107" s="79"/>
      <c r="DW107" s="79"/>
      <c r="DX107" s="79"/>
      <c r="DY107" s="78"/>
    </row>
    <row r="108" spans="1:129" x14ac:dyDescent="0.35">
      <c r="A108" s="42" t="s">
        <v>4743</v>
      </c>
      <c r="B108" s="42" t="s">
        <v>4833</v>
      </c>
      <c r="C108" s="42" t="s">
        <v>209</v>
      </c>
      <c r="D108" s="43" t="s">
        <v>210</v>
      </c>
      <c r="F108" s="44" t="s">
        <v>4832</v>
      </c>
      <c r="G108" s="42" t="s">
        <v>4955</v>
      </c>
      <c r="H108" s="42" t="s">
        <v>68</v>
      </c>
      <c r="I108" s="43" t="s">
        <v>68</v>
      </c>
      <c r="J108" s="43" t="s">
        <v>68</v>
      </c>
      <c r="K108" s="43"/>
      <c r="L108" s="43" t="s">
        <v>69</v>
      </c>
      <c r="M108" s="43">
        <v>3</v>
      </c>
      <c r="N108" s="43">
        <v>3</v>
      </c>
      <c r="O108" s="43" t="s">
        <v>69</v>
      </c>
      <c r="P108" s="43">
        <v>4</v>
      </c>
      <c r="Q108" s="43">
        <v>4</v>
      </c>
      <c r="R108" s="43" t="s">
        <v>69</v>
      </c>
      <c r="S108" s="43">
        <v>5</v>
      </c>
      <c r="T108" s="43">
        <v>5</v>
      </c>
      <c r="U108" s="42" t="s">
        <v>5419</v>
      </c>
      <c r="V108" s="42">
        <v>106.75</v>
      </c>
      <c r="W108" s="42">
        <v>106.75</v>
      </c>
      <c r="X108" s="42" t="s">
        <v>5428</v>
      </c>
      <c r="Y108" s="42" t="s">
        <v>5429</v>
      </c>
      <c r="Z108" s="43" t="s">
        <v>4743</v>
      </c>
      <c r="AA108" s="43" t="s">
        <v>4742</v>
      </c>
      <c r="AC108" s="42" t="s">
        <v>4684</v>
      </c>
      <c r="AD108" s="42" t="s">
        <v>4685</v>
      </c>
      <c r="AE108" s="42" t="s">
        <v>4686</v>
      </c>
      <c r="AF108" s="42" t="s">
        <v>209</v>
      </c>
      <c r="AG108" s="42" t="s">
        <v>4685</v>
      </c>
      <c r="AH108" t="s">
        <v>5419</v>
      </c>
      <c r="AI108" s="42" t="s">
        <v>4959</v>
      </c>
      <c r="AJ108" s="42" t="s">
        <v>5422</v>
      </c>
      <c r="AL108" s="42" t="s">
        <v>5423</v>
      </c>
      <c r="AM108" s="43">
        <v>106.75</v>
      </c>
      <c r="AN108" s="43">
        <v>106.75</v>
      </c>
      <c r="AO108" s="43" t="s">
        <v>70</v>
      </c>
      <c r="AQ108" s="43">
        <v>1</v>
      </c>
      <c r="AR108" s="42" t="s">
        <v>5430</v>
      </c>
      <c r="AU108" s="64"/>
      <c r="AV108" s="64">
        <v>62</v>
      </c>
      <c r="AW108" s="64" t="s">
        <v>4955</v>
      </c>
      <c r="AX108" s="64" t="s">
        <v>4744</v>
      </c>
      <c r="AY108" s="66" t="s">
        <v>478</v>
      </c>
      <c r="AZ108" s="66" t="s">
        <v>209</v>
      </c>
      <c r="BA108" s="64">
        <v>106.75</v>
      </c>
      <c r="BB108" s="64">
        <v>106.75</v>
      </c>
      <c r="BC108" s="64" t="s">
        <v>5428</v>
      </c>
      <c r="BD108" s="64" t="s">
        <v>5429</v>
      </c>
      <c r="BE108" s="64" t="s">
        <v>5428</v>
      </c>
      <c r="BF108" s="64" t="s">
        <v>5429</v>
      </c>
      <c r="BG108" s="64" t="s">
        <v>4963</v>
      </c>
      <c r="BH108" s="64" t="s">
        <v>5419</v>
      </c>
      <c r="BI108" s="64" t="s">
        <v>4832</v>
      </c>
      <c r="BJ108" s="64" t="s">
        <v>4954</v>
      </c>
      <c r="BK108" s="64" t="s">
        <v>474</v>
      </c>
      <c r="BL108" s="64" t="s">
        <v>474</v>
      </c>
      <c r="BM108" s="66" t="s">
        <v>1244</v>
      </c>
      <c r="BN108" s="66" t="s">
        <v>1468</v>
      </c>
      <c r="BO108" s="66" t="s">
        <v>1468</v>
      </c>
      <c r="BP108" s="66" t="s">
        <v>1474</v>
      </c>
      <c r="BQ108" s="66" t="s">
        <v>1479</v>
      </c>
      <c r="BR108" s="64">
        <v>6.875</v>
      </c>
      <c r="BS108" s="64">
        <v>0.217</v>
      </c>
      <c r="BT108" s="66">
        <v>120</v>
      </c>
      <c r="BU108" s="79"/>
      <c r="BV108" s="79"/>
      <c r="BW108" s="79"/>
      <c r="BX108" s="79"/>
      <c r="BY108" s="64">
        <v>2.3490000000000002</v>
      </c>
      <c r="BZ108" s="79"/>
      <c r="CA108" s="79"/>
      <c r="CB108" s="64" t="s">
        <v>1100</v>
      </c>
      <c r="CC108" s="64" t="s">
        <v>1100</v>
      </c>
      <c r="CD108" s="79"/>
      <c r="CE108" s="79"/>
      <c r="CF108" s="79"/>
      <c r="CG108" s="79"/>
      <c r="CH108" s="64">
        <v>0.02</v>
      </c>
      <c r="CI108" s="79"/>
      <c r="CJ108" s="79"/>
      <c r="CK108" s="79"/>
      <c r="CL108" s="79"/>
      <c r="CM108" s="79"/>
      <c r="CN108" s="79"/>
      <c r="CO108" s="79"/>
      <c r="CP108" s="79"/>
      <c r="CQ108" s="79"/>
      <c r="CR108" s="79"/>
      <c r="CS108" s="79"/>
      <c r="CT108" s="79"/>
      <c r="CU108" s="79"/>
      <c r="CV108" s="79"/>
      <c r="CW108" s="79"/>
      <c r="CX108" s="79"/>
      <c r="CY108" s="79"/>
      <c r="CZ108" s="79"/>
      <c r="DA108" s="79"/>
      <c r="DB108" s="79"/>
      <c r="DC108" s="79"/>
      <c r="DD108" s="79"/>
      <c r="DE108" s="79"/>
      <c r="DF108" s="79"/>
      <c r="DG108" s="79"/>
      <c r="DH108" s="79"/>
      <c r="DI108" s="79"/>
      <c r="DJ108" s="79"/>
      <c r="DK108" s="79"/>
      <c r="DL108" s="79"/>
      <c r="DM108" s="79"/>
      <c r="DN108" s="79"/>
      <c r="DO108" s="79"/>
      <c r="DP108" s="79"/>
      <c r="DQ108" s="79"/>
      <c r="DR108" s="66"/>
      <c r="DS108" s="66"/>
      <c r="DT108" s="79"/>
      <c r="DU108" s="79"/>
      <c r="DV108" s="79"/>
      <c r="DW108" s="79"/>
      <c r="DX108" s="79"/>
      <c r="DY108" s="78"/>
    </row>
    <row r="109" spans="1:129" x14ac:dyDescent="0.35">
      <c r="A109" s="42" t="s">
        <v>4743</v>
      </c>
      <c r="B109" s="42" t="s">
        <v>4835</v>
      </c>
      <c r="C109" s="42" t="s">
        <v>209</v>
      </c>
      <c r="D109" s="43" t="s">
        <v>210</v>
      </c>
      <c r="F109" s="44" t="s">
        <v>4834</v>
      </c>
      <c r="G109" s="42" t="s">
        <v>4955</v>
      </c>
      <c r="H109" s="42" t="s">
        <v>68</v>
      </c>
      <c r="I109" s="43" t="s">
        <v>68</v>
      </c>
      <c r="J109" s="43" t="s">
        <v>68</v>
      </c>
      <c r="K109" s="43"/>
      <c r="L109" s="43" t="s">
        <v>69</v>
      </c>
      <c r="M109" s="43">
        <v>3</v>
      </c>
      <c r="N109" s="43">
        <v>3</v>
      </c>
      <c r="O109" s="43" t="s">
        <v>69</v>
      </c>
      <c r="P109" s="43">
        <v>4</v>
      </c>
      <c r="Q109" s="43">
        <v>4</v>
      </c>
      <c r="R109" s="43" t="s">
        <v>69</v>
      </c>
      <c r="S109" s="43">
        <v>5</v>
      </c>
      <c r="T109" s="43">
        <v>5</v>
      </c>
      <c r="U109" s="42" t="s">
        <v>5419</v>
      </c>
      <c r="V109" s="42">
        <v>106.75</v>
      </c>
      <c r="W109" s="42">
        <v>106.76</v>
      </c>
      <c r="X109" s="42" t="s">
        <v>5431</v>
      </c>
      <c r="Y109" s="42" t="s">
        <v>5432</v>
      </c>
      <c r="Z109" s="43" t="s">
        <v>4743</v>
      </c>
      <c r="AA109" s="43" t="s">
        <v>4742</v>
      </c>
      <c r="AC109" s="42" t="s">
        <v>4684</v>
      </c>
      <c r="AD109" s="42" t="s">
        <v>4685</v>
      </c>
      <c r="AE109" s="42" t="s">
        <v>4686</v>
      </c>
      <c r="AF109" s="42" t="s">
        <v>209</v>
      </c>
      <c r="AG109" s="42" t="s">
        <v>4685</v>
      </c>
      <c r="AH109" t="s">
        <v>5419</v>
      </c>
      <c r="AI109" s="42" t="s">
        <v>4959</v>
      </c>
      <c r="AJ109" s="42" t="s">
        <v>5422</v>
      </c>
      <c r="AL109" s="42" t="s">
        <v>5423</v>
      </c>
      <c r="AM109" s="43">
        <v>106.75</v>
      </c>
      <c r="AN109" s="43">
        <v>106.76</v>
      </c>
      <c r="AO109" s="43" t="s">
        <v>70</v>
      </c>
      <c r="AQ109" s="43">
        <v>1</v>
      </c>
      <c r="AR109" s="42" t="s">
        <v>5433</v>
      </c>
      <c r="AU109" s="64"/>
      <c r="AV109" s="64">
        <v>62</v>
      </c>
      <c r="AW109" s="64" t="s">
        <v>4955</v>
      </c>
      <c r="AX109" s="64" t="s">
        <v>4744</v>
      </c>
      <c r="AY109" s="66" t="s">
        <v>478</v>
      </c>
      <c r="AZ109" s="66" t="s">
        <v>209</v>
      </c>
      <c r="BA109" s="64">
        <v>106.75</v>
      </c>
      <c r="BB109" s="64">
        <v>106.76</v>
      </c>
      <c r="BC109" s="64" t="s">
        <v>5431</v>
      </c>
      <c r="BD109" s="64" t="s">
        <v>5432</v>
      </c>
      <c r="BE109" s="64" t="s">
        <v>5431</v>
      </c>
      <c r="BF109" s="64" t="s">
        <v>5432</v>
      </c>
      <c r="BG109" s="64" t="s">
        <v>4963</v>
      </c>
      <c r="BH109" s="64" t="s">
        <v>5419</v>
      </c>
      <c r="BI109" s="64" t="s">
        <v>4834</v>
      </c>
      <c r="BJ109" s="64" t="s">
        <v>4954</v>
      </c>
      <c r="BK109" s="64" t="s">
        <v>474</v>
      </c>
      <c r="BL109" s="64" t="s">
        <v>474</v>
      </c>
      <c r="BM109" s="66" t="s">
        <v>1244</v>
      </c>
      <c r="BN109" s="66" t="s">
        <v>1468</v>
      </c>
      <c r="BO109" s="66" t="s">
        <v>1468</v>
      </c>
      <c r="BP109" s="66" t="s">
        <v>1474</v>
      </c>
      <c r="BQ109" s="66" t="s">
        <v>1479</v>
      </c>
      <c r="BR109" s="64">
        <v>6.875</v>
      </c>
      <c r="BS109" s="64">
        <v>0.217</v>
      </c>
      <c r="BT109" s="66">
        <v>120</v>
      </c>
      <c r="BU109" s="79"/>
      <c r="BV109" s="79"/>
      <c r="BW109" s="79"/>
      <c r="BX109" s="79"/>
      <c r="BY109" s="64">
        <v>2.3490000000000002</v>
      </c>
      <c r="BZ109" s="79"/>
      <c r="CA109" s="79"/>
      <c r="CB109" s="64" t="s">
        <v>1100</v>
      </c>
      <c r="CC109" s="64" t="s">
        <v>1100</v>
      </c>
      <c r="CD109" s="79"/>
      <c r="CE109" s="79"/>
      <c r="CF109" s="79"/>
      <c r="CG109" s="79"/>
      <c r="CH109" s="64">
        <v>0.02</v>
      </c>
      <c r="CI109" s="79"/>
      <c r="CJ109" s="79"/>
      <c r="CK109" s="79"/>
      <c r="CL109" s="79"/>
      <c r="CM109" s="79"/>
      <c r="CN109" s="79"/>
      <c r="CO109" s="79"/>
      <c r="CP109" s="79"/>
      <c r="CQ109" s="79"/>
      <c r="CR109" s="79"/>
      <c r="CS109" s="79"/>
      <c r="CT109" s="79"/>
      <c r="CU109" s="79"/>
      <c r="CV109" s="79"/>
      <c r="CW109" s="79"/>
      <c r="CX109" s="79"/>
      <c r="CY109" s="79"/>
      <c r="CZ109" s="79"/>
      <c r="DA109" s="79"/>
      <c r="DB109" s="79"/>
      <c r="DC109" s="79"/>
      <c r="DD109" s="79"/>
      <c r="DE109" s="79"/>
      <c r="DF109" s="79"/>
      <c r="DG109" s="79"/>
      <c r="DH109" s="79"/>
      <c r="DI109" s="79"/>
      <c r="DJ109" s="79"/>
      <c r="DK109" s="79"/>
      <c r="DL109" s="79"/>
      <c r="DM109" s="79"/>
      <c r="DN109" s="79"/>
      <c r="DO109" s="79"/>
      <c r="DP109" s="79"/>
      <c r="DQ109" s="79"/>
      <c r="DR109" s="66"/>
      <c r="DS109" s="66"/>
      <c r="DT109" s="79"/>
      <c r="DU109" s="79"/>
      <c r="DV109" s="79"/>
      <c r="DW109" s="79"/>
      <c r="DX109" s="79"/>
      <c r="DY109" s="78"/>
    </row>
    <row r="110" spans="1:129" x14ac:dyDescent="0.35">
      <c r="A110" s="42" t="s">
        <v>4743</v>
      </c>
      <c r="B110" s="42" t="s">
        <v>4837</v>
      </c>
      <c r="C110" s="42" t="s">
        <v>209</v>
      </c>
      <c r="D110" s="43" t="s">
        <v>210</v>
      </c>
      <c r="F110" s="44" t="s">
        <v>4836</v>
      </c>
      <c r="G110" s="42" t="s">
        <v>4955</v>
      </c>
      <c r="H110" s="42" t="s">
        <v>68</v>
      </c>
      <c r="I110" s="43" t="s">
        <v>68</v>
      </c>
      <c r="J110" s="43" t="s">
        <v>68</v>
      </c>
      <c r="K110" s="43"/>
      <c r="L110" s="43" t="s">
        <v>69</v>
      </c>
      <c r="M110" s="43">
        <v>3</v>
      </c>
      <c r="N110" s="43">
        <v>3</v>
      </c>
      <c r="O110" s="43" t="s">
        <v>69</v>
      </c>
      <c r="P110" s="43">
        <v>4</v>
      </c>
      <c r="Q110" s="43">
        <v>4</v>
      </c>
      <c r="R110" s="43" t="s">
        <v>69</v>
      </c>
      <c r="S110" s="43">
        <v>5</v>
      </c>
      <c r="T110" s="43">
        <v>5</v>
      </c>
      <c r="U110" s="42" t="s">
        <v>5434</v>
      </c>
      <c r="V110" s="42">
        <v>106.75</v>
      </c>
      <c r="W110" s="42">
        <v>106.75</v>
      </c>
      <c r="X110" s="42" t="s">
        <v>5435</v>
      </c>
      <c r="Y110" s="42" t="s">
        <v>5436</v>
      </c>
      <c r="Z110" s="43" t="s">
        <v>4743</v>
      </c>
      <c r="AA110" s="43" t="s">
        <v>4742</v>
      </c>
      <c r="AC110" s="42" t="s">
        <v>4684</v>
      </c>
      <c r="AD110" s="42" t="s">
        <v>4685</v>
      </c>
      <c r="AE110" s="42" t="s">
        <v>4686</v>
      </c>
      <c r="AF110" s="42" t="s">
        <v>209</v>
      </c>
      <c r="AG110" s="42" t="s">
        <v>4685</v>
      </c>
      <c r="AH110" t="s">
        <v>5434</v>
      </c>
      <c r="AI110" s="42" t="s">
        <v>4959</v>
      </c>
      <c r="AJ110" s="42" t="s">
        <v>5437</v>
      </c>
      <c r="AL110" s="42" t="s">
        <v>5438</v>
      </c>
      <c r="AM110" s="43">
        <v>106.75</v>
      </c>
      <c r="AN110" s="43">
        <v>106.75</v>
      </c>
      <c r="AO110" s="43" t="s">
        <v>70</v>
      </c>
      <c r="AQ110" s="43">
        <v>1</v>
      </c>
      <c r="AR110" s="42" t="s">
        <v>5439</v>
      </c>
      <c r="AU110" s="64"/>
      <c r="AV110" s="64">
        <v>62</v>
      </c>
      <c r="AW110" s="64" t="s">
        <v>4955</v>
      </c>
      <c r="AX110" s="64" t="s">
        <v>4744</v>
      </c>
      <c r="AY110" s="66" t="s">
        <v>478</v>
      </c>
      <c r="AZ110" s="66" t="s">
        <v>209</v>
      </c>
      <c r="BA110" s="64">
        <v>106.75</v>
      </c>
      <c r="BB110" s="64">
        <v>106.75</v>
      </c>
      <c r="BC110" s="64" t="s">
        <v>5435</v>
      </c>
      <c r="BD110" s="64" t="s">
        <v>5436</v>
      </c>
      <c r="BE110" s="64" t="s">
        <v>5435</v>
      </c>
      <c r="BF110" s="64" t="s">
        <v>5436</v>
      </c>
      <c r="BG110" s="64" t="s">
        <v>4963</v>
      </c>
      <c r="BH110" s="64" t="s">
        <v>5434</v>
      </c>
      <c r="BI110" s="64" t="s">
        <v>4836</v>
      </c>
      <c r="BJ110" s="64" t="s">
        <v>4954</v>
      </c>
      <c r="BK110" s="64" t="s">
        <v>474</v>
      </c>
      <c r="BL110" s="64" t="s">
        <v>474</v>
      </c>
      <c r="BM110" s="66" t="s">
        <v>1275</v>
      </c>
      <c r="BN110" s="66" t="s">
        <v>1468</v>
      </c>
      <c r="BO110" s="66" t="s">
        <v>1468</v>
      </c>
      <c r="BP110" s="66" t="s">
        <v>1474</v>
      </c>
      <c r="BQ110" s="66" t="s">
        <v>1479</v>
      </c>
      <c r="BR110" s="64">
        <v>2.6659999999999999</v>
      </c>
      <c r="BS110" s="64">
        <v>0.11</v>
      </c>
      <c r="BT110" s="66">
        <v>30</v>
      </c>
      <c r="BU110" s="79"/>
      <c r="BV110" s="79"/>
      <c r="BW110" s="79"/>
      <c r="BX110" s="79"/>
      <c r="BY110" s="64">
        <v>1.4590000000000001</v>
      </c>
      <c r="BZ110" s="79"/>
      <c r="CA110" s="79"/>
      <c r="CB110" s="64" t="s">
        <v>1100</v>
      </c>
      <c r="CC110" s="64" t="s">
        <v>1100</v>
      </c>
      <c r="CD110" s="79"/>
      <c r="CE110" s="79"/>
      <c r="CF110" s="79"/>
      <c r="CG110" s="79"/>
      <c r="CH110" s="64">
        <v>8.8999999999999996E-2</v>
      </c>
      <c r="CI110" s="79"/>
      <c r="CJ110" s="79"/>
      <c r="CK110" s="79"/>
      <c r="CL110" s="79"/>
      <c r="CM110" s="79"/>
      <c r="CN110" s="79"/>
      <c r="CO110" s="79"/>
      <c r="CP110" s="79"/>
      <c r="CQ110" s="79"/>
      <c r="CR110" s="79"/>
      <c r="CS110" s="79"/>
      <c r="CT110" s="79"/>
      <c r="CU110" s="79"/>
      <c r="CV110" s="79"/>
      <c r="CW110" s="79"/>
      <c r="CX110" s="79"/>
      <c r="CY110" s="79"/>
      <c r="CZ110" s="79"/>
      <c r="DA110" s="79"/>
      <c r="DB110" s="79"/>
      <c r="DC110" s="79"/>
      <c r="DD110" s="79"/>
      <c r="DE110" s="79"/>
      <c r="DF110" s="79"/>
      <c r="DG110" s="79"/>
      <c r="DH110" s="79"/>
      <c r="DI110" s="79"/>
      <c r="DJ110" s="79"/>
      <c r="DK110" s="79"/>
      <c r="DL110" s="79"/>
      <c r="DM110" s="79"/>
      <c r="DN110" s="79"/>
      <c r="DO110" s="79"/>
      <c r="DP110" s="79"/>
      <c r="DQ110" s="79"/>
      <c r="DR110" s="66"/>
      <c r="DS110" s="66"/>
      <c r="DT110" s="79"/>
      <c r="DU110" s="79"/>
      <c r="DV110" s="79"/>
      <c r="DW110" s="79"/>
      <c r="DX110" s="79"/>
      <c r="DY110" s="78"/>
    </row>
    <row r="111" spans="1:129" x14ac:dyDescent="0.35">
      <c r="A111" s="42" t="s">
        <v>4743</v>
      </c>
      <c r="B111" s="42" t="s">
        <v>4839</v>
      </c>
      <c r="C111" s="42" t="s">
        <v>209</v>
      </c>
      <c r="D111" s="43" t="s">
        <v>210</v>
      </c>
      <c r="F111" s="44" t="s">
        <v>4838</v>
      </c>
      <c r="G111" s="42" t="s">
        <v>4955</v>
      </c>
      <c r="H111" s="42" t="s">
        <v>68</v>
      </c>
      <c r="I111" s="43" t="s">
        <v>68</v>
      </c>
      <c r="J111" s="43" t="s">
        <v>68</v>
      </c>
      <c r="K111" s="43"/>
      <c r="L111" s="43" t="s">
        <v>69</v>
      </c>
      <c r="M111" s="43">
        <v>3</v>
      </c>
      <c r="N111" s="43">
        <v>3</v>
      </c>
      <c r="O111" s="43" t="s">
        <v>69</v>
      </c>
      <c r="P111" s="43">
        <v>4</v>
      </c>
      <c r="Q111" s="43">
        <v>4</v>
      </c>
      <c r="R111" s="43" t="s">
        <v>69</v>
      </c>
      <c r="S111" s="43">
        <v>5</v>
      </c>
      <c r="T111" s="43">
        <v>5</v>
      </c>
      <c r="U111" s="42" t="s">
        <v>5434</v>
      </c>
      <c r="V111" s="42">
        <v>106.75</v>
      </c>
      <c r="W111" s="42">
        <v>106.75</v>
      </c>
      <c r="X111" s="42" t="s">
        <v>5440</v>
      </c>
      <c r="Y111" s="42" t="s">
        <v>5441</v>
      </c>
      <c r="Z111" s="43" t="s">
        <v>4743</v>
      </c>
      <c r="AA111" s="43" t="s">
        <v>4742</v>
      </c>
      <c r="AC111" s="42" t="s">
        <v>4684</v>
      </c>
      <c r="AD111" s="42" t="s">
        <v>4685</v>
      </c>
      <c r="AE111" s="42" t="s">
        <v>4686</v>
      </c>
      <c r="AF111" s="42" t="s">
        <v>209</v>
      </c>
      <c r="AG111" s="42" t="s">
        <v>4685</v>
      </c>
      <c r="AH111" t="s">
        <v>5434</v>
      </c>
      <c r="AI111" s="42" t="s">
        <v>4959</v>
      </c>
      <c r="AJ111" s="42" t="s">
        <v>5437</v>
      </c>
      <c r="AL111" s="42" t="s">
        <v>5438</v>
      </c>
      <c r="AM111" s="43">
        <v>106.75</v>
      </c>
      <c r="AN111" s="43">
        <v>106.75</v>
      </c>
      <c r="AO111" s="43" t="s">
        <v>70</v>
      </c>
      <c r="AQ111" s="43">
        <v>1</v>
      </c>
      <c r="AR111" s="42" t="s">
        <v>5442</v>
      </c>
      <c r="AU111" s="64"/>
      <c r="AV111" s="64">
        <v>62</v>
      </c>
      <c r="AW111" s="64" t="s">
        <v>4955</v>
      </c>
      <c r="AX111" s="64" t="s">
        <v>4744</v>
      </c>
      <c r="AY111" s="66" t="s">
        <v>478</v>
      </c>
      <c r="AZ111" s="66" t="s">
        <v>209</v>
      </c>
      <c r="BA111" s="64">
        <v>106.75</v>
      </c>
      <c r="BB111" s="64">
        <v>106.75</v>
      </c>
      <c r="BC111" s="64" t="s">
        <v>5440</v>
      </c>
      <c r="BD111" s="64" t="s">
        <v>5441</v>
      </c>
      <c r="BE111" s="64" t="s">
        <v>5440</v>
      </c>
      <c r="BF111" s="64" t="s">
        <v>5441</v>
      </c>
      <c r="BG111" s="64" t="s">
        <v>4963</v>
      </c>
      <c r="BH111" s="64" t="s">
        <v>5434</v>
      </c>
      <c r="BI111" s="64" t="s">
        <v>4838</v>
      </c>
      <c r="BJ111" s="64" t="s">
        <v>4954</v>
      </c>
      <c r="BK111" s="64" t="s">
        <v>474</v>
      </c>
      <c r="BL111" s="64" t="s">
        <v>474</v>
      </c>
      <c r="BM111" s="66" t="s">
        <v>1275</v>
      </c>
      <c r="BN111" s="66" t="s">
        <v>1468</v>
      </c>
      <c r="BO111" s="66" t="s">
        <v>1468</v>
      </c>
      <c r="BP111" s="66" t="s">
        <v>1474</v>
      </c>
      <c r="BQ111" s="66" t="s">
        <v>1479</v>
      </c>
      <c r="BR111" s="64">
        <v>4.7329999999999997</v>
      </c>
      <c r="BS111" s="64">
        <v>0.11</v>
      </c>
      <c r="BT111" s="66">
        <v>30</v>
      </c>
      <c r="BU111" s="79"/>
      <c r="BV111" s="79"/>
      <c r="BW111" s="79"/>
      <c r="BX111" s="79"/>
      <c r="BY111" s="64">
        <v>0.7</v>
      </c>
      <c r="BZ111" s="79"/>
      <c r="CA111" s="79"/>
      <c r="CB111" s="64" t="s">
        <v>1100</v>
      </c>
      <c r="CC111" s="64" t="s">
        <v>1100</v>
      </c>
      <c r="CD111" s="79"/>
      <c r="CE111" s="79"/>
      <c r="CF111" s="79"/>
      <c r="CG111" s="79"/>
      <c r="CH111" s="64">
        <v>8.8999999999999996E-2</v>
      </c>
      <c r="CI111" s="79"/>
      <c r="CJ111" s="79"/>
      <c r="CK111" s="79"/>
      <c r="CL111" s="79"/>
      <c r="CM111" s="79"/>
      <c r="CN111" s="79"/>
      <c r="CO111" s="79"/>
      <c r="CP111" s="79"/>
      <c r="CQ111" s="79"/>
      <c r="CR111" s="79"/>
      <c r="CS111" s="79"/>
      <c r="CT111" s="79"/>
      <c r="CU111" s="79"/>
      <c r="CV111" s="79"/>
      <c r="CW111" s="79"/>
      <c r="CX111" s="79"/>
      <c r="CY111" s="79"/>
      <c r="CZ111" s="79"/>
      <c r="DA111" s="79"/>
      <c r="DB111" s="79"/>
      <c r="DC111" s="79"/>
      <c r="DD111" s="79"/>
      <c r="DE111" s="79"/>
      <c r="DF111" s="79"/>
      <c r="DG111" s="79"/>
      <c r="DH111" s="79"/>
      <c r="DI111" s="79"/>
      <c r="DJ111" s="79"/>
      <c r="DK111" s="79"/>
      <c r="DL111" s="79"/>
      <c r="DM111" s="79"/>
      <c r="DN111" s="79"/>
      <c r="DO111" s="79"/>
      <c r="DP111" s="79"/>
      <c r="DQ111" s="79"/>
      <c r="DR111" s="66"/>
      <c r="DS111" s="66"/>
      <c r="DT111" s="79"/>
      <c r="DU111" s="79"/>
      <c r="DV111" s="79"/>
      <c r="DW111" s="79"/>
      <c r="DX111" s="79"/>
      <c r="DY111" s="78"/>
    </row>
    <row r="112" spans="1:129" x14ac:dyDescent="0.35">
      <c r="A112" s="42" t="s">
        <v>4743</v>
      </c>
      <c r="B112" s="42" t="s">
        <v>4841</v>
      </c>
      <c r="C112" s="42" t="s">
        <v>209</v>
      </c>
      <c r="D112" s="43" t="s">
        <v>210</v>
      </c>
      <c r="F112" s="44" t="s">
        <v>4840</v>
      </c>
      <c r="G112" s="42" t="s">
        <v>4955</v>
      </c>
      <c r="H112" s="42" t="s">
        <v>68</v>
      </c>
      <c r="I112" s="43" t="s">
        <v>68</v>
      </c>
      <c r="J112" s="43" t="s">
        <v>68</v>
      </c>
      <c r="K112" s="43"/>
      <c r="L112" s="43" t="s">
        <v>69</v>
      </c>
      <c r="M112" s="43">
        <v>3</v>
      </c>
      <c r="N112" s="43">
        <v>3</v>
      </c>
      <c r="O112" s="43" t="s">
        <v>69</v>
      </c>
      <c r="P112" s="43">
        <v>4</v>
      </c>
      <c r="Q112" s="43">
        <v>4</v>
      </c>
      <c r="R112" s="43" t="s">
        <v>69</v>
      </c>
      <c r="S112" s="43">
        <v>5</v>
      </c>
      <c r="T112" s="43">
        <v>5</v>
      </c>
      <c r="U112" s="42" t="s">
        <v>5434</v>
      </c>
      <c r="V112" s="42">
        <v>106.75</v>
      </c>
      <c r="W112" s="42">
        <v>106.75</v>
      </c>
      <c r="X112" s="42" t="s">
        <v>5443</v>
      </c>
      <c r="Y112" s="42" t="s">
        <v>5444</v>
      </c>
      <c r="Z112" s="43" t="s">
        <v>4743</v>
      </c>
      <c r="AA112" s="43" t="s">
        <v>4742</v>
      </c>
      <c r="AC112" s="42" t="s">
        <v>4684</v>
      </c>
      <c r="AD112" s="42" t="s">
        <v>4685</v>
      </c>
      <c r="AE112" s="42" t="s">
        <v>4686</v>
      </c>
      <c r="AF112" s="42" t="s">
        <v>209</v>
      </c>
      <c r="AG112" s="42" t="s">
        <v>4685</v>
      </c>
      <c r="AH112" t="s">
        <v>5434</v>
      </c>
      <c r="AI112" s="42" t="s">
        <v>4959</v>
      </c>
      <c r="AJ112" s="42" t="s">
        <v>5437</v>
      </c>
      <c r="AL112" s="42" t="s">
        <v>5438</v>
      </c>
      <c r="AM112" s="43">
        <v>106.75</v>
      </c>
      <c r="AN112" s="43">
        <v>106.75</v>
      </c>
      <c r="AO112" s="43" t="s">
        <v>70</v>
      </c>
      <c r="AQ112" s="43">
        <v>1</v>
      </c>
      <c r="AR112" s="42" t="s">
        <v>5445</v>
      </c>
      <c r="AU112" s="64"/>
      <c r="AV112" s="64">
        <v>62</v>
      </c>
      <c r="AW112" s="64" t="s">
        <v>4955</v>
      </c>
      <c r="AX112" s="64" t="s">
        <v>4744</v>
      </c>
      <c r="AY112" s="66" t="s">
        <v>478</v>
      </c>
      <c r="AZ112" s="66" t="s">
        <v>209</v>
      </c>
      <c r="BA112" s="64">
        <v>106.75</v>
      </c>
      <c r="BB112" s="64">
        <v>106.75</v>
      </c>
      <c r="BC112" s="64" t="s">
        <v>5443</v>
      </c>
      <c r="BD112" s="64" t="s">
        <v>5444</v>
      </c>
      <c r="BE112" s="64" t="s">
        <v>5443</v>
      </c>
      <c r="BF112" s="64" t="s">
        <v>5444</v>
      </c>
      <c r="BG112" s="64" t="s">
        <v>4963</v>
      </c>
      <c r="BH112" s="64" t="s">
        <v>5434</v>
      </c>
      <c r="BI112" s="64" t="s">
        <v>4840</v>
      </c>
      <c r="BJ112" s="64" t="s">
        <v>4954</v>
      </c>
      <c r="BK112" s="64" t="s">
        <v>474</v>
      </c>
      <c r="BL112" s="64" t="s">
        <v>474</v>
      </c>
      <c r="BM112" s="66" t="s">
        <v>1275</v>
      </c>
      <c r="BN112" s="66" t="s">
        <v>1468</v>
      </c>
      <c r="BO112" s="66" t="s">
        <v>1468</v>
      </c>
      <c r="BP112" s="66" t="s">
        <v>1474</v>
      </c>
      <c r="BQ112" s="66" t="s">
        <v>1479</v>
      </c>
      <c r="BR112" s="64">
        <v>1.478</v>
      </c>
      <c r="BS112" s="64">
        <v>0.02</v>
      </c>
      <c r="BT112" s="66">
        <v>30</v>
      </c>
      <c r="BU112" s="79"/>
      <c r="BV112" s="79"/>
      <c r="BW112" s="79"/>
      <c r="BX112" s="79"/>
      <c r="BY112" s="64">
        <v>0.55400000000000005</v>
      </c>
      <c r="BZ112" s="79"/>
      <c r="CA112" s="79"/>
      <c r="CB112" s="64" t="s">
        <v>1100</v>
      </c>
      <c r="CC112" s="64" t="s">
        <v>1100</v>
      </c>
      <c r="CD112" s="79"/>
      <c r="CE112" s="79"/>
      <c r="CF112" s="79"/>
      <c r="CG112" s="79"/>
      <c r="CH112" s="64">
        <v>8.8999999999999996E-2</v>
      </c>
      <c r="CI112" s="79"/>
      <c r="CJ112" s="79"/>
      <c r="CK112" s="79"/>
      <c r="CL112" s="79"/>
      <c r="CM112" s="79"/>
      <c r="CN112" s="79"/>
      <c r="CO112" s="79"/>
      <c r="CP112" s="79"/>
      <c r="CQ112" s="79"/>
      <c r="CR112" s="79"/>
      <c r="CS112" s="79"/>
      <c r="CT112" s="79"/>
      <c r="CU112" s="79"/>
      <c r="CV112" s="79"/>
      <c r="CW112" s="79"/>
      <c r="CX112" s="79"/>
      <c r="CY112" s="79"/>
      <c r="CZ112" s="79"/>
      <c r="DA112" s="79"/>
      <c r="DB112" s="79"/>
      <c r="DC112" s="79"/>
      <c r="DD112" s="79"/>
      <c r="DE112" s="79"/>
      <c r="DF112" s="79"/>
      <c r="DG112" s="79"/>
      <c r="DH112" s="79"/>
      <c r="DI112" s="79"/>
      <c r="DJ112" s="79"/>
      <c r="DK112" s="79"/>
      <c r="DL112" s="79"/>
      <c r="DM112" s="79"/>
      <c r="DN112" s="79"/>
      <c r="DO112" s="79"/>
      <c r="DP112" s="79"/>
      <c r="DQ112" s="79"/>
      <c r="DR112" s="66"/>
      <c r="DS112" s="66"/>
      <c r="DT112" s="79"/>
      <c r="DU112" s="79"/>
      <c r="DV112" s="79"/>
      <c r="DW112" s="79"/>
      <c r="DX112" s="79"/>
      <c r="DY112" s="78"/>
    </row>
    <row r="113" spans="1:129" x14ac:dyDescent="0.35">
      <c r="A113" s="42" t="s">
        <v>4743</v>
      </c>
      <c r="B113" s="42" t="s">
        <v>4843</v>
      </c>
      <c r="C113" s="42" t="s">
        <v>209</v>
      </c>
      <c r="D113" s="43" t="s">
        <v>210</v>
      </c>
      <c r="F113" s="44" t="s">
        <v>4842</v>
      </c>
      <c r="G113" s="42" t="s">
        <v>4955</v>
      </c>
      <c r="H113" s="42" t="s">
        <v>68</v>
      </c>
      <c r="I113" s="43" t="s">
        <v>68</v>
      </c>
      <c r="J113" s="43" t="s">
        <v>68</v>
      </c>
      <c r="K113" s="43"/>
      <c r="L113" s="43" t="s">
        <v>69</v>
      </c>
      <c r="M113" s="43">
        <v>3</v>
      </c>
      <c r="N113" s="43">
        <v>3</v>
      </c>
      <c r="O113" s="43" t="s">
        <v>69</v>
      </c>
      <c r="P113" s="43">
        <v>4</v>
      </c>
      <c r="Q113" s="43">
        <v>4</v>
      </c>
      <c r="R113" s="43" t="s">
        <v>69</v>
      </c>
      <c r="S113" s="43">
        <v>5</v>
      </c>
      <c r="T113" s="43">
        <v>5</v>
      </c>
      <c r="U113" s="42" t="s">
        <v>5434</v>
      </c>
      <c r="V113" s="42">
        <v>106.75</v>
      </c>
      <c r="W113" s="42">
        <v>106.75</v>
      </c>
      <c r="X113" s="42" t="s">
        <v>5446</v>
      </c>
      <c r="Y113" s="42" t="s">
        <v>5447</v>
      </c>
      <c r="Z113" s="43" t="s">
        <v>4743</v>
      </c>
      <c r="AA113" s="43" t="s">
        <v>4742</v>
      </c>
      <c r="AC113" s="42" t="s">
        <v>4684</v>
      </c>
      <c r="AD113" s="42" t="s">
        <v>4685</v>
      </c>
      <c r="AE113" s="42" t="s">
        <v>4686</v>
      </c>
      <c r="AF113" s="42" t="s">
        <v>209</v>
      </c>
      <c r="AG113" s="42" t="s">
        <v>4685</v>
      </c>
      <c r="AH113" t="s">
        <v>5434</v>
      </c>
      <c r="AI113" s="42" t="s">
        <v>4959</v>
      </c>
      <c r="AJ113" s="42" t="s">
        <v>5437</v>
      </c>
      <c r="AL113" s="42" t="s">
        <v>5438</v>
      </c>
      <c r="AM113" s="43">
        <v>106.75</v>
      </c>
      <c r="AN113" s="43">
        <v>106.75</v>
      </c>
      <c r="AO113" s="43" t="s">
        <v>70</v>
      </c>
      <c r="AQ113" s="43">
        <v>1</v>
      </c>
      <c r="AR113" s="42" t="s">
        <v>5448</v>
      </c>
      <c r="AU113" s="64"/>
      <c r="AV113" s="64">
        <v>62</v>
      </c>
      <c r="AW113" s="64" t="s">
        <v>4955</v>
      </c>
      <c r="AX113" s="64" t="s">
        <v>4744</v>
      </c>
      <c r="AY113" s="66" t="s">
        <v>478</v>
      </c>
      <c r="AZ113" s="66" t="s">
        <v>209</v>
      </c>
      <c r="BA113" s="64">
        <v>106.75</v>
      </c>
      <c r="BB113" s="64">
        <v>106.75</v>
      </c>
      <c r="BC113" s="64" t="s">
        <v>5446</v>
      </c>
      <c r="BD113" s="64" t="s">
        <v>5447</v>
      </c>
      <c r="BE113" s="64" t="s">
        <v>5446</v>
      </c>
      <c r="BF113" s="64" t="s">
        <v>5447</v>
      </c>
      <c r="BG113" s="64" t="s">
        <v>4963</v>
      </c>
      <c r="BH113" s="64" t="s">
        <v>5434</v>
      </c>
      <c r="BI113" s="64" t="s">
        <v>4842</v>
      </c>
      <c r="BJ113" s="64" t="s">
        <v>4954</v>
      </c>
      <c r="BK113" s="64" t="s">
        <v>474</v>
      </c>
      <c r="BL113" s="64" t="s">
        <v>474</v>
      </c>
      <c r="BM113" s="66" t="s">
        <v>1275</v>
      </c>
      <c r="BN113" s="66" t="s">
        <v>1468</v>
      </c>
      <c r="BO113" s="66" t="s">
        <v>1468</v>
      </c>
      <c r="BP113" s="66" t="s">
        <v>1474</v>
      </c>
      <c r="BQ113" s="66" t="s">
        <v>1479</v>
      </c>
      <c r="BR113" s="64">
        <v>4.7350000000000003</v>
      </c>
      <c r="BS113" s="64">
        <v>0.11</v>
      </c>
      <c r="BT113" s="66">
        <v>30</v>
      </c>
      <c r="BU113" s="79"/>
      <c r="BV113" s="79"/>
      <c r="BW113" s="79"/>
      <c r="BX113" s="79"/>
      <c r="BY113" s="64">
        <v>0.65</v>
      </c>
      <c r="BZ113" s="79"/>
      <c r="CA113" s="79"/>
      <c r="CB113" s="64" t="s">
        <v>1100</v>
      </c>
      <c r="CC113" s="64" t="s">
        <v>1100</v>
      </c>
      <c r="CD113" s="79"/>
      <c r="CE113" s="79"/>
      <c r="CF113" s="79"/>
      <c r="CG113" s="79"/>
      <c r="CH113" s="64">
        <v>8.8999999999999996E-2</v>
      </c>
      <c r="CI113" s="79"/>
      <c r="CJ113" s="79"/>
      <c r="CK113" s="79"/>
      <c r="CL113" s="79"/>
      <c r="CM113" s="79"/>
      <c r="CN113" s="79"/>
      <c r="CO113" s="79"/>
      <c r="CP113" s="79"/>
      <c r="CQ113" s="79"/>
      <c r="CR113" s="79"/>
      <c r="CS113" s="79"/>
      <c r="CT113" s="79"/>
      <c r="CU113" s="79"/>
      <c r="CV113" s="79"/>
      <c r="CW113" s="79"/>
      <c r="CX113" s="79"/>
      <c r="CY113" s="79"/>
      <c r="CZ113" s="79"/>
      <c r="DA113" s="79"/>
      <c r="DB113" s="79"/>
      <c r="DC113" s="79"/>
      <c r="DD113" s="79"/>
      <c r="DE113" s="79"/>
      <c r="DF113" s="79"/>
      <c r="DG113" s="79"/>
      <c r="DH113" s="79"/>
      <c r="DI113" s="79"/>
      <c r="DJ113" s="79"/>
      <c r="DK113" s="79"/>
      <c r="DL113" s="79"/>
      <c r="DM113" s="79"/>
      <c r="DN113" s="79"/>
      <c r="DO113" s="79"/>
      <c r="DP113" s="79"/>
      <c r="DQ113" s="79"/>
      <c r="DR113" s="66"/>
      <c r="DS113" s="66"/>
      <c r="DT113" s="79"/>
      <c r="DU113" s="79"/>
      <c r="DV113" s="79"/>
      <c r="DW113" s="79"/>
      <c r="DX113" s="79"/>
      <c r="DY113" s="78"/>
    </row>
    <row r="114" spans="1:129" x14ac:dyDescent="0.35">
      <c r="A114" s="42" t="s">
        <v>4743</v>
      </c>
      <c r="B114" s="42" t="s">
        <v>4845</v>
      </c>
      <c r="C114" s="42" t="s">
        <v>209</v>
      </c>
      <c r="D114" s="43" t="s">
        <v>210</v>
      </c>
      <c r="F114" s="44" t="s">
        <v>4844</v>
      </c>
      <c r="G114" s="42" t="s">
        <v>4955</v>
      </c>
      <c r="H114" s="42" t="s">
        <v>68</v>
      </c>
      <c r="I114" s="43" t="s">
        <v>68</v>
      </c>
      <c r="J114" s="43" t="s">
        <v>68</v>
      </c>
      <c r="K114" s="43"/>
      <c r="L114" s="43" t="s">
        <v>69</v>
      </c>
      <c r="M114" s="43">
        <v>3</v>
      </c>
      <c r="N114" s="43">
        <v>3</v>
      </c>
      <c r="O114" s="43" t="s">
        <v>69</v>
      </c>
      <c r="P114" s="43">
        <v>4</v>
      </c>
      <c r="Q114" s="43">
        <v>4</v>
      </c>
      <c r="R114" s="43" t="s">
        <v>69</v>
      </c>
      <c r="S114" s="43">
        <v>5</v>
      </c>
      <c r="T114" s="43">
        <v>5</v>
      </c>
      <c r="U114" s="42" t="s">
        <v>5434</v>
      </c>
      <c r="V114" s="42">
        <v>106.75</v>
      </c>
      <c r="W114" s="42">
        <v>106.75</v>
      </c>
      <c r="X114" s="42" t="s">
        <v>5449</v>
      </c>
      <c r="Y114" s="42" t="s">
        <v>5450</v>
      </c>
      <c r="Z114" s="43" t="s">
        <v>4743</v>
      </c>
      <c r="AA114" s="43" t="s">
        <v>4742</v>
      </c>
      <c r="AC114" s="42" t="s">
        <v>4684</v>
      </c>
      <c r="AD114" s="42" t="s">
        <v>4685</v>
      </c>
      <c r="AE114" s="42" t="s">
        <v>4686</v>
      </c>
      <c r="AF114" s="42" t="s">
        <v>209</v>
      </c>
      <c r="AG114" s="42" t="s">
        <v>4685</v>
      </c>
      <c r="AH114" t="s">
        <v>5434</v>
      </c>
      <c r="AI114" s="42" t="s">
        <v>4959</v>
      </c>
      <c r="AJ114" s="42" t="s">
        <v>5437</v>
      </c>
      <c r="AL114" s="42" t="s">
        <v>5438</v>
      </c>
      <c r="AM114" s="43">
        <v>106.75</v>
      </c>
      <c r="AN114" s="43">
        <v>106.75</v>
      </c>
      <c r="AO114" s="43" t="s">
        <v>70</v>
      </c>
      <c r="AQ114" s="43">
        <v>1</v>
      </c>
      <c r="AR114" s="42" t="s">
        <v>5451</v>
      </c>
      <c r="AU114" s="64"/>
      <c r="AV114" s="64">
        <v>62</v>
      </c>
      <c r="AW114" s="64" t="s">
        <v>4955</v>
      </c>
      <c r="AX114" s="64" t="s">
        <v>4744</v>
      </c>
      <c r="AY114" s="66" t="s">
        <v>478</v>
      </c>
      <c r="AZ114" s="66" t="s">
        <v>209</v>
      </c>
      <c r="BA114" s="64">
        <v>106.75</v>
      </c>
      <c r="BB114" s="64">
        <v>106.75</v>
      </c>
      <c r="BC114" s="64" t="s">
        <v>5449</v>
      </c>
      <c r="BD114" s="64" t="s">
        <v>5450</v>
      </c>
      <c r="BE114" s="64" t="s">
        <v>5449</v>
      </c>
      <c r="BF114" s="64" t="s">
        <v>5450</v>
      </c>
      <c r="BG114" s="64" t="s">
        <v>4963</v>
      </c>
      <c r="BH114" s="64" t="s">
        <v>5434</v>
      </c>
      <c r="BI114" s="64" t="s">
        <v>4844</v>
      </c>
      <c r="BJ114" s="64" t="s">
        <v>4954</v>
      </c>
      <c r="BK114" s="64" t="s">
        <v>474</v>
      </c>
      <c r="BL114" s="64" t="s">
        <v>474</v>
      </c>
      <c r="BM114" s="66" t="s">
        <v>1275</v>
      </c>
      <c r="BN114" s="66" t="s">
        <v>1468</v>
      </c>
      <c r="BO114" s="66" t="s">
        <v>1468</v>
      </c>
      <c r="BP114" s="66" t="s">
        <v>1474</v>
      </c>
      <c r="BQ114" s="66" t="s">
        <v>1479</v>
      </c>
      <c r="BR114" s="64">
        <v>1.478</v>
      </c>
      <c r="BS114" s="64">
        <v>0.02</v>
      </c>
      <c r="BT114" s="66">
        <v>30</v>
      </c>
      <c r="BU114" s="79"/>
      <c r="BV114" s="79"/>
      <c r="BW114" s="79"/>
      <c r="BX114" s="79"/>
      <c r="BY114" s="64">
        <v>0.54400000000000004</v>
      </c>
      <c r="BZ114" s="79"/>
      <c r="CA114" s="79"/>
      <c r="CB114" s="64" t="s">
        <v>1100</v>
      </c>
      <c r="CC114" s="64" t="s">
        <v>1100</v>
      </c>
      <c r="CD114" s="79"/>
      <c r="CE114" s="79"/>
      <c r="CF114" s="79"/>
      <c r="CG114" s="79"/>
      <c r="CH114" s="64">
        <v>8.8999999999999996E-2</v>
      </c>
      <c r="CI114" s="79"/>
      <c r="CJ114" s="79"/>
      <c r="CK114" s="79"/>
      <c r="CL114" s="79"/>
      <c r="CM114" s="79"/>
      <c r="CN114" s="79"/>
      <c r="CO114" s="79"/>
      <c r="CP114" s="79"/>
      <c r="CQ114" s="79"/>
      <c r="CR114" s="79"/>
      <c r="CS114" s="79"/>
      <c r="CT114" s="79"/>
      <c r="CU114" s="79"/>
      <c r="CV114" s="79"/>
      <c r="CW114" s="79"/>
      <c r="CX114" s="79"/>
      <c r="CY114" s="79"/>
      <c r="CZ114" s="79"/>
      <c r="DA114" s="79"/>
      <c r="DB114" s="79"/>
      <c r="DC114" s="79"/>
      <c r="DD114" s="79"/>
      <c r="DE114" s="79"/>
      <c r="DF114" s="79"/>
      <c r="DG114" s="79"/>
      <c r="DH114" s="79"/>
      <c r="DI114" s="79"/>
      <c r="DJ114" s="79"/>
      <c r="DK114" s="79"/>
      <c r="DL114" s="79"/>
      <c r="DM114" s="79"/>
      <c r="DN114" s="79"/>
      <c r="DO114" s="79"/>
      <c r="DP114" s="79"/>
      <c r="DQ114" s="79"/>
      <c r="DR114" s="66"/>
      <c r="DS114" s="66"/>
      <c r="DT114" s="79"/>
      <c r="DU114" s="79"/>
      <c r="DV114" s="79"/>
      <c r="DW114" s="79"/>
      <c r="DX114" s="79"/>
      <c r="DY114" s="78"/>
    </row>
    <row r="115" spans="1:129" x14ac:dyDescent="0.35">
      <c r="A115" s="42" t="s">
        <v>4743</v>
      </c>
      <c r="B115" s="42" t="s">
        <v>4847</v>
      </c>
      <c r="C115" s="42" t="s">
        <v>209</v>
      </c>
      <c r="D115" s="43" t="s">
        <v>210</v>
      </c>
      <c r="F115" s="44" t="s">
        <v>4846</v>
      </c>
      <c r="G115" s="42" t="s">
        <v>4955</v>
      </c>
      <c r="H115" s="42" t="s">
        <v>68</v>
      </c>
      <c r="I115" s="43" t="s">
        <v>68</v>
      </c>
      <c r="J115" s="43" t="s">
        <v>68</v>
      </c>
      <c r="K115" s="43"/>
      <c r="L115" s="43" t="s">
        <v>69</v>
      </c>
      <c r="M115" s="43">
        <v>3</v>
      </c>
      <c r="N115" s="43">
        <v>3</v>
      </c>
      <c r="O115" s="43" t="s">
        <v>69</v>
      </c>
      <c r="P115" s="43">
        <v>4</v>
      </c>
      <c r="Q115" s="43">
        <v>4</v>
      </c>
      <c r="R115" s="43" t="s">
        <v>69</v>
      </c>
      <c r="S115" s="43">
        <v>5</v>
      </c>
      <c r="T115" s="43">
        <v>5</v>
      </c>
      <c r="U115" s="42" t="s">
        <v>5434</v>
      </c>
      <c r="V115" s="42">
        <v>106.75</v>
      </c>
      <c r="W115" s="42">
        <v>106.75</v>
      </c>
      <c r="X115" s="42" t="s">
        <v>5452</v>
      </c>
      <c r="Y115" s="42" t="s">
        <v>5453</v>
      </c>
      <c r="Z115" s="43" t="s">
        <v>4743</v>
      </c>
      <c r="AA115" s="43" t="s">
        <v>4742</v>
      </c>
      <c r="AC115" s="42" t="s">
        <v>4684</v>
      </c>
      <c r="AD115" s="42" t="s">
        <v>4685</v>
      </c>
      <c r="AE115" s="42" t="s">
        <v>4686</v>
      </c>
      <c r="AF115" s="42" t="s">
        <v>209</v>
      </c>
      <c r="AG115" s="42" t="s">
        <v>4685</v>
      </c>
      <c r="AH115" t="s">
        <v>5434</v>
      </c>
      <c r="AI115" s="42" t="s">
        <v>4959</v>
      </c>
      <c r="AJ115" s="42" t="s">
        <v>5437</v>
      </c>
      <c r="AL115" s="42" t="s">
        <v>5438</v>
      </c>
      <c r="AM115" s="43">
        <v>106.75</v>
      </c>
      <c r="AN115" s="43">
        <v>106.75</v>
      </c>
      <c r="AO115" s="43" t="s">
        <v>70</v>
      </c>
      <c r="AQ115" s="43">
        <v>1</v>
      </c>
      <c r="AR115" s="42" t="s">
        <v>5454</v>
      </c>
      <c r="AU115" s="64"/>
      <c r="AV115" s="64">
        <v>62</v>
      </c>
      <c r="AW115" s="64" t="s">
        <v>4955</v>
      </c>
      <c r="AX115" s="64" t="s">
        <v>4744</v>
      </c>
      <c r="AY115" s="66" t="s">
        <v>478</v>
      </c>
      <c r="AZ115" s="66" t="s">
        <v>209</v>
      </c>
      <c r="BA115" s="64">
        <v>106.75</v>
      </c>
      <c r="BB115" s="64">
        <v>106.75</v>
      </c>
      <c r="BC115" s="64" t="s">
        <v>5452</v>
      </c>
      <c r="BD115" s="64" t="s">
        <v>5453</v>
      </c>
      <c r="BE115" s="64" t="s">
        <v>5452</v>
      </c>
      <c r="BF115" s="64" t="s">
        <v>5453</v>
      </c>
      <c r="BG115" s="64" t="s">
        <v>4963</v>
      </c>
      <c r="BH115" s="64" t="s">
        <v>5434</v>
      </c>
      <c r="BI115" s="64" t="s">
        <v>4846</v>
      </c>
      <c r="BJ115" s="64" t="s">
        <v>4954</v>
      </c>
      <c r="BK115" s="64" t="s">
        <v>474</v>
      </c>
      <c r="BL115" s="64" t="s">
        <v>474</v>
      </c>
      <c r="BM115" s="66" t="s">
        <v>1275</v>
      </c>
      <c r="BN115" s="66" t="s">
        <v>1468</v>
      </c>
      <c r="BO115" s="66" t="s">
        <v>1468</v>
      </c>
      <c r="BP115" s="66" t="s">
        <v>1474</v>
      </c>
      <c r="BQ115" s="66" t="s">
        <v>1479</v>
      </c>
      <c r="BR115" s="64">
        <v>4.7359999999999998</v>
      </c>
      <c r="BS115" s="64">
        <v>0.22</v>
      </c>
      <c r="BT115" s="66">
        <v>30</v>
      </c>
      <c r="BU115" s="79"/>
      <c r="BV115" s="79"/>
      <c r="BW115" s="79"/>
      <c r="BX115" s="79"/>
      <c r="BY115" s="64">
        <v>1.3939999999999999</v>
      </c>
      <c r="BZ115" s="79"/>
      <c r="CA115" s="79"/>
      <c r="CB115" s="64" t="s">
        <v>1100</v>
      </c>
      <c r="CC115" s="64" t="s">
        <v>1100</v>
      </c>
      <c r="CD115" s="79"/>
      <c r="CE115" s="79"/>
      <c r="CF115" s="79"/>
      <c r="CG115" s="79"/>
      <c r="CH115" s="64">
        <v>8.8999999999999996E-2</v>
      </c>
      <c r="CI115" s="79"/>
      <c r="CJ115" s="79"/>
      <c r="CK115" s="79"/>
      <c r="CL115" s="79"/>
      <c r="CM115" s="79"/>
      <c r="CN115" s="79"/>
      <c r="CO115" s="79"/>
      <c r="CP115" s="79"/>
      <c r="CQ115" s="79"/>
      <c r="CR115" s="79"/>
      <c r="CS115" s="79"/>
      <c r="CT115" s="79"/>
      <c r="CU115" s="79"/>
      <c r="CV115" s="79"/>
      <c r="CW115" s="79"/>
      <c r="CX115" s="79"/>
      <c r="CY115" s="79"/>
      <c r="CZ115" s="79"/>
      <c r="DA115" s="79"/>
      <c r="DB115" s="79"/>
      <c r="DC115" s="79"/>
      <c r="DD115" s="79"/>
      <c r="DE115" s="79"/>
      <c r="DF115" s="79"/>
      <c r="DG115" s="79"/>
      <c r="DH115" s="79"/>
      <c r="DI115" s="79"/>
      <c r="DJ115" s="79"/>
      <c r="DK115" s="79"/>
      <c r="DL115" s="79"/>
      <c r="DM115" s="79"/>
      <c r="DN115" s="79"/>
      <c r="DO115" s="79"/>
      <c r="DP115" s="79"/>
      <c r="DQ115" s="79"/>
      <c r="DR115" s="66"/>
      <c r="DS115" s="66"/>
      <c r="DT115" s="79"/>
      <c r="DU115" s="79"/>
      <c r="DV115" s="79"/>
      <c r="DW115" s="79"/>
      <c r="DX115" s="79"/>
      <c r="DY115" s="78"/>
    </row>
    <row r="116" spans="1:129" x14ac:dyDescent="0.35">
      <c r="A116" s="42" t="s">
        <v>4743</v>
      </c>
      <c r="B116" s="42" t="s">
        <v>4849</v>
      </c>
      <c r="C116" s="42" t="s">
        <v>209</v>
      </c>
      <c r="D116" s="43" t="s">
        <v>210</v>
      </c>
      <c r="F116" s="44" t="s">
        <v>4848</v>
      </c>
      <c r="G116" s="42" t="s">
        <v>4955</v>
      </c>
      <c r="H116" s="42" t="s">
        <v>68</v>
      </c>
      <c r="I116" s="43" t="s">
        <v>68</v>
      </c>
      <c r="J116" s="43" t="s">
        <v>68</v>
      </c>
      <c r="K116" s="43"/>
      <c r="L116" s="43" t="s">
        <v>69</v>
      </c>
      <c r="M116" s="43">
        <v>3</v>
      </c>
      <c r="N116" s="43">
        <v>3</v>
      </c>
      <c r="O116" s="43" t="s">
        <v>69</v>
      </c>
      <c r="P116" s="43">
        <v>4</v>
      </c>
      <c r="Q116" s="43">
        <v>4</v>
      </c>
      <c r="R116" s="43" t="s">
        <v>69</v>
      </c>
      <c r="S116" s="43">
        <v>5</v>
      </c>
      <c r="T116" s="43">
        <v>5</v>
      </c>
      <c r="U116" s="42" t="s">
        <v>5434</v>
      </c>
      <c r="V116" s="42">
        <v>106.74</v>
      </c>
      <c r="W116" s="42">
        <v>106.75</v>
      </c>
      <c r="X116" s="42" t="s">
        <v>5455</v>
      </c>
      <c r="Y116" s="42" t="s">
        <v>5456</v>
      </c>
      <c r="Z116" s="43" t="s">
        <v>4743</v>
      </c>
      <c r="AA116" s="43" t="s">
        <v>4742</v>
      </c>
      <c r="AC116" s="42" t="s">
        <v>4684</v>
      </c>
      <c r="AD116" s="42" t="s">
        <v>4685</v>
      </c>
      <c r="AE116" s="42" t="s">
        <v>4686</v>
      </c>
      <c r="AF116" s="42" t="s">
        <v>209</v>
      </c>
      <c r="AG116" s="42" t="s">
        <v>4685</v>
      </c>
      <c r="AH116" t="s">
        <v>5434</v>
      </c>
      <c r="AI116" s="42" t="s">
        <v>4959</v>
      </c>
      <c r="AJ116" s="42" t="s">
        <v>5437</v>
      </c>
      <c r="AL116" s="42" t="s">
        <v>5438</v>
      </c>
      <c r="AM116" s="43">
        <v>106.74</v>
      </c>
      <c r="AN116" s="43">
        <v>106.75</v>
      </c>
      <c r="AO116" s="43" t="s">
        <v>70</v>
      </c>
      <c r="AQ116" s="43">
        <v>1</v>
      </c>
      <c r="AR116" s="42" t="s">
        <v>5457</v>
      </c>
      <c r="AU116" s="64"/>
      <c r="AV116" s="64">
        <v>62</v>
      </c>
      <c r="AW116" s="64" t="s">
        <v>4955</v>
      </c>
      <c r="AX116" s="64" t="s">
        <v>4744</v>
      </c>
      <c r="AY116" s="66" t="s">
        <v>478</v>
      </c>
      <c r="AZ116" s="66" t="s">
        <v>209</v>
      </c>
      <c r="BA116" s="64">
        <v>106.74</v>
      </c>
      <c r="BB116" s="64">
        <v>106.75</v>
      </c>
      <c r="BC116" s="64" t="s">
        <v>5455</v>
      </c>
      <c r="BD116" s="64" t="s">
        <v>5456</v>
      </c>
      <c r="BE116" s="64" t="s">
        <v>5455</v>
      </c>
      <c r="BF116" s="64" t="s">
        <v>5456</v>
      </c>
      <c r="BG116" s="64" t="s">
        <v>4963</v>
      </c>
      <c r="BH116" s="64" t="s">
        <v>5434</v>
      </c>
      <c r="BI116" s="64" t="s">
        <v>4848</v>
      </c>
      <c r="BJ116" s="64" t="s">
        <v>4954</v>
      </c>
      <c r="BK116" s="64" t="s">
        <v>474</v>
      </c>
      <c r="BL116" s="64" t="s">
        <v>474</v>
      </c>
      <c r="BM116" s="66" t="s">
        <v>1275</v>
      </c>
      <c r="BN116" s="66" t="s">
        <v>1468</v>
      </c>
      <c r="BO116" s="66" t="s">
        <v>1468</v>
      </c>
      <c r="BP116" s="66" t="s">
        <v>1474</v>
      </c>
      <c r="BQ116" s="66" t="s">
        <v>1479</v>
      </c>
      <c r="BR116" s="64">
        <v>3.415</v>
      </c>
      <c r="BS116" s="64">
        <v>0.14000000000000001</v>
      </c>
      <c r="BT116" s="66">
        <v>30</v>
      </c>
      <c r="BU116" s="79"/>
      <c r="BV116" s="79"/>
      <c r="BW116" s="79"/>
      <c r="BX116" s="79"/>
      <c r="BY116" s="64">
        <v>1.351</v>
      </c>
      <c r="BZ116" s="79"/>
      <c r="CA116" s="79"/>
      <c r="CB116" s="64" t="s">
        <v>1100</v>
      </c>
      <c r="CC116" s="64" t="s">
        <v>1100</v>
      </c>
      <c r="CD116" s="79"/>
      <c r="CE116" s="79"/>
      <c r="CF116" s="79"/>
      <c r="CG116" s="79"/>
      <c r="CH116" s="64">
        <v>8.8999999999999996E-2</v>
      </c>
      <c r="CI116" s="79"/>
      <c r="CJ116" s="79"/>
      <c r="CK116" s="79"/>
      <c r="CL116" s="79"/>
      <c r="CM116" s="79"/>
      <c r="CN116" s="79"/>
      <c r="CO116" s="79"/>
      <c r="CP116" s="79"/>
      <c r="CQ116" s="79"/>
      <c r="CR116" s="79"/>
      <c r="CS116" s="79"/>
      <c r="CT116" s="79"/>
      <c r="CU116" s="79"/>
      <c r="CV116" s="79"/>
      <c r="CW116" s="79"/>
      <c r="CX116" s="79"/>
      <c r="CY116" s="79"/>
      <c r="CZ116" s="79"/>
      <c r="DA116" s="79"/>
      <c r="DB116" s="79"/>
      <c r="DC116" s="79"/>
      <c r="DD116" s="79"/>
      <c r="DE116" s="79"/>
      <c r="DF116" s="79"/>
      <c r="DG116" s="79"/>
      <c r="DH116" s="79"/>
      <c r="DI116" s="79"/>
      <c r="DJ116" s="79"/>
      <c r="DK116" s="79"/>
      <c r="DL116" s="79"/>
      <c r="DM116" s="79"/>
      <c r="DN116" s="79"/>
      <c r="DO116" s="79"/>
      <c r="DP116" s="79"/>
      <c r="DQ116" s="79"/>
      <c r="DR116" s="66"/>
      <c r="DS116" s="66"/>
      <c r="DT116" s="79"/>
      <c r="DU116" s="79"/>
      <c r="DV116" s="79"/>
      <c r="DW116" s="79"/>
      <c r="DX116" s="79"/>
      <c r="DY116" s="78"/>
    </row>
    <row r="117" spans="1:129" x14ac:dyDescent="0.35">
      <c r="A117" s="42" t="s">
        <v>4743</v>
      </c>
      <c r="B117" s="42" t="s">
        <v>4851</v>
      </c>
      <c r="C117" s="42" t="s">
        <v>209</v>
      </c>
      <c r="D117" s="43" t="s">
        <v>210</v>
      </c>
      <c r="F117" s="44" t="s">
        <v>4850</v>
      </c>
      <c r="G117" s="42" t="s">
        <v>4955</v>
      </c>
      <c r="H117" s="42" t="s">
        <v>68</v>
      </c>
      <c r="I117" s="43" t="s">
        <v>68</v>
      </c>
      <c r="J117" s="43" t="s">
        <v>68</v>
      </c>
      <c r="K117" s="43"/>
      <c r="L117" s="43" t="s">
        <v>69</v>
      </c>
      <c r="M117" s="43">
        <v>3</v>
      </c>
      <c r="N117" s="43">
        <v>3</v>
      </c>
      <c r="O117" s="43" t="s">
        <v>69</v>
      </c>
      <c r="P117" s="43">
        <v>4</v>
      </c>
      <c r="Q117" s="43">
        <v>4</v>
      </c>
      <c r="R117" s="43" t="s">
        <v>69</v>
      </c>
      <c r="S117" s="43">
        <v>5</v>
      </c>
      <c r="T117" s="43">
        <v>5</v>
      </c>
      <c r="U117" s="42" t="s">
        <v>5434</v>
      </c>
      <c r="V117" s="42">
        <v>106.74</v>
      </c>
      <c r="W117" s="42">
        <v>106.74</v>
      </c>
      <c r="X117" s="42" t="s">
        <v>5458</v>
      </c>
      <c r="Y117" s="42" t="s">
        <v>5459</v>
      </c>
      <c r="Z117" s="43" t="s">
        <v>4743</v>
      </c>
      <c r="AA117" s="43" t="s">
        <v>4742</v>
      </c>
      <c r="AC117" s="42" t="s">
        <v>4684</v>
      </c>
      <c r="AD117" s="42" t="s">
        <v>4685</v>
      </c>
      <c r="AE117" s="42" t="s">
        <v>4686</v>
      </c>
      <c r="AF117" s="42" t="s">
        <v>209</v>
      </c>
      <c r="AG117" s="42" t="s">
        <v>4685</v>
      </c>
      <c r="AH117" t="s">
        <v>5434</v>
      </c>
      <c r="AI117" s="42" t="s">
        <v>4959</v>
      </c>
      <c r="AJ117" s="42" t="s">
        <v>5437</v>
      </c>
      <c r="AL117" s="42" t="s">
        <v>5438</v>
      </c>
      <c r="AM117" s="43">
        <v>106.74</v>
      </c>
      <c r="AN117" s="43">
        <v>106.74</v>
      </c>
      <c r="AO117" s="43" t="s">
        <v>70</v>
      </c>
      <c r="AQ117" s="43">
        <v>1</v>
      </c>
      <c r="AR117" s="42" t="s">
        <v>5460</v>
      </c>
      <c r="AU117" s="64"/>
      <c r="AV117" s="64">
        <v>62</v>
      </c>
      <c r="AW117" s="64" t="s">
        <v>4955</v>
      </c>
      <c r="AX117" s="64" t="s">
        <v>4744</v>
      </c>
      <c r="AY117" s="66" t="s">
        <v>478</v>
      </c>
      <c r="AZ117" s="66" t="s">
        <v>209</v>
      </c>
      <c r="BA117" s="64">
        <v>106.74</v>
      </c>
      <c r="BB117" s="64">
        <v>106.74</v>
      </c>
      <c r="BC117" s="64" t="s">
        <v>5458</v>
      </c>
      <c r="BD117" s="64" t="s">
        <v>5459</v>
      </c>
      <c r="BE117" s="64" t="s">
        <v>5458</v>
      </c>
      <c r="BF117" s="64" t="s">
        <v>5459</v>
      </c>
      <c r="BG117" s="64" t="s">
        <v>4963</v>
      </c>
      <c r="BH117" s="64" t="s">
        <v>5434</v>
      </c>
      <c r="BI117" s="64" t="s">
        <v>4850</v>
      </c>
      <c r="BJ117" s="64" t="s">
        <v>4954</v>
      </c>
      <c r="BK117" s="64" t="s">
        <v>474</v>
      </c>
      <c r="BL117" s="64" t="s">
        <v>474</v>
      </c>
      <c r="BM117" s="66" t="s">
        <v>1275</v>
      </c>
      <c r="BN117" s="66" t="s">
        <v>1468</v>
      </c>
      <c r="BO117" s="66" t="s">
        <v>1468</v>
      </c>
      <c r="BP117" s="66" t="s">
        <v>1474</v>
      </c>
      <c r="BQ117" s="66" t="s">
        <v>1479</v>
      </c>
      <c r="BR117" s="64">
        <v>4.7370000000000001</v>
      </c>
      <c r="BS117" s="64">
        <v>0.22</v>
      </c>
      <c r="BT117" s="66">
        <v>30</v>
      </c>
      <c r="BU117" s="79"/>
      <c r="BV117" s="79"/>
      <c r="BW117" s="79"/>
      <c r="BX117" s="79"/>
      <c r="BY117" s="64">
        <v>1.3560000000000001</v>
      </c>
      <c r="BZ117" s="79"/>
      <c r="CA117" s="79"/>
      <c r="CB117" s="64" t="s">
        <v>1100</v>
      </c>
      <c r="CC117" s="64" t="s">
        <v>1100</v>
      </c>
      <c r="CD117" s="79"/>
      <c r="CE117" s="79"/>
      <c r="CF117" s="79"/>
      <c r="CG117" s="79"/>
      <c r="CH117" s="64">
        <v>8.8999999999999996E-2</v>
      </c>
      <c r="CI117" s="79"/>
      <c r="CJ117" s="79"/>
      <c r="CK117" s="79"/>
      <c r="CL117" s="79"/>
      <c r="CM117" s="79"/>
      <c r="CN117" s="79"/>
      <c r="CO117" s="79"/>
      <c r="CP117" s="79"/>
      <c r="CQ117" s="79"/>
      <c r="CR117" s="79"/>
      <c r="CS117" s="79"/>
      <c r="CT117" s="79"/>
      <c r="CU117" s="79"/>
      <c r="CV117" s="79"/>
      <c r="CW117" s="79"/>
      <c r="CX117" s="79"/>
      <c r="CY117" s="79"/>
      <c r="CZ117" s="79"/>
      <c r="DA117" s="79"/>
      <c r="DB117" s="79"/>
      <c r="DC117" s="79"/>
      <c r="DD117" s="79"/>
      <c r="DE117" s="79"/>
      <c r="DF117" s="79"/>
      <c r="DG117" s="79"/>
      <c r="DH117" s="79"/>
      <c r="DI117" s="79"/>
      <c r="DJ117" s="79"/>
      <c r="DK117" s="79"/>
      <c r="DL117" s="79"/>
      <c r="DM117" s="79"/>
      <c r="DN117" s="79"/>
      <c r="DO117" s="79"/>
      <c r="DP117" s="79"/>
      <c r="DQ117" s="79"/>
      <c r="DR117" s="66"/>
      <c r="DS117" s="66"/>
      <c r="DT117" s="79"/>
      <c r="DU117" s="79"/>
      <c r="DV117" s="79"/>
      <c r="DW117" s="79"/>
      <c r="DX117" s="79"/>
      <c r="DY117" s="78"/>
    </row>
    <row r="118" spans="1:129" x14ac:dyDescent="0.35">
      <c r="A118" s="42" t="s">
        <v>4743</v>
      </c>
      <c r="B118" s="42" t="s">
        <v>4853</v>
      </c>
      <c r="C118" s="42" t="s">
        <v>209</v>
      </c>
      <c r="D118" s="43" t="s">
        <v>210</v>
      </c>
      <c r="F118" s="44" t="s">
        <v>4852</v>
      </c>
      <c r="G118" s="42" t="s">
        <v>4955</v>
      </c>
      <c r="H118" s="42" t="s">
        <v>68</v>
      </c>
      <c r="I118" s="43" t="s">
        <v>68</v>
      </c>
      <c r="J118" s="43" t="s">
        <v>68</v>
      </c>
      <c r="K118" s="43"/>
      <c r="L118" s="43" t="s">
        <v>69</v>
      </c>
      <c r="M118" s="43">
        <v>3</v>
      </c>
      <c r="N118" s="43">
        <v>3</v>
      </c>
      <c r="O118" s="43" t="s">
        <v>69</v>
      </c>
      <c r="P118" s="43">
        <v>4</v>
      </c>
      <c r="Q118" s="43">
        <v>4</v>
      </c>
      <c r="R118" s="43" t="s">
        <v>69</v>
      </c>
      <c r="S118" s="43">
        <v>5</v>
      </c>
      <c r="T118" s="43">
        <v>5</v>
      </c>
      <c r="U118" s="42" t="s">
        <v>5434</v>
      </c>
      <c r="V118" s="42">
        <v>106.74</v>
      </c>
      <c r="W118" s="42">
        <v>106.74</v>
      </c>
      <c r="X118" s="42" t="s">
        <v>5461</v>
      </c>
      <c r="Y118" s="42" t="s">
        <v>5462</v>
      </c>
      <c r="Z118" s="43" t="s">
        <v>4743</v>
      </c>
      <c r="AA118" s="43" t="s">
        <v>4742</v>
      </c>
      <c r="AC118" s="42" t="s">
        <v>4684</v>
      </c>
      <c r="AD118" s="42" t="s">
        <v>4685</v>
      </c>
      <c r="AE118" s="42" t="s">
        <v>4686</v>
      </c>
      <c r="AF118" s="42" t="s">
        <v>209</v>
      </c>
      <c r="AG118" s="42" t="s">
        <v>4685</v>
      </c>
      <c r="AH118" t="s">
        <v>5434</v>
      </c>
      <c r="AI118" s="42" t="s">
        <v>4959</v>
      </c>
      <c r="AJ118" s="42" t="s">
        <v>5437</v>
      </c>
      <c r="AL118" s="42" t="s">
        <v>5438</v>
      </c>
      <c r="AM118" s="43">
        <v>106.74</v>
      </c>
      <c r="AN118" s="43">
        <v>106.74</v>
      </c>
      <c r="AO118" s="43" t="s">
        <v>70</v>
      </c>
      <c r="AQ118" s="43">
        <v>1</v>
      </c>
      <c r="AR118" s="42" t="s">
        <v>5463</v>
      </c>
      <c r="AU118" s="64"/>
      <c r="AV118" s="64">
        <v>62</v>
      </c>
      <c r="AW118" s="64" t="s">
        <v>4955</v>
      </c>
      <c r="AX118" s="64" t="s">
        <v>4744</v>
      </c>
      <c r="AY118" s="66" t="s">
        <v>478</v>
      </c>
      <c r="AZ118" s="66" t="s">
        <v>209</v>
      </c>
      <c r="BA118" s="64">
        <v>106.74</v>
      </c>
      <c r="BB118" s="64">
        <v>106.74</v>
      </c>
      <c r="BC118" s="64" t="s">
        <v>5461</v>
      </c>
      <c r="BD118" s="64" t="s">
        <v>5462</v>
      </c>
      <c r="BE118" s="64" t="s">
        <v>5461</v>
      </c>
      <c r="BF118" s="64" t="s">
        <v>5462</v>
      </c>
      <c r="BG118" s="64" t="s">
        <v>4963</v>
      </c>
      <c r="BH118" s="64" t="s">
        <v>5434</v>
      </c>
      <c r="BI118" s="64" t="s">
        <v>4852</v>
      </c>
      <c r="BJ118" s="64" t="s">
        <v>4954</v>
      </c>
      <c r="BK118" s="64" t="s">
        <v>474</v>
      </c>
      <c r="BL118" s="64" t="s">
        <v>474</v>
      </c>
      <c r="BM118" s="66" t="s">
        <v>1275</v>
      </c>
      <c r="BN118" s="66" t="s">
        <v>1468</v>
      </c>
      <c r="BO118" s="66" t="s">
        <v>1468</v>
      </c>
      <c r="BP118" s="66" t="s">
        <v>1474</v>
      </c>
      <c r="BQ118" s="66" t="s">
        <v>1479</v>
      </c>
      <c r="BR118" s="64">
        <v>3.415</v>
      </c>
      <c r="BS118" s="64">
        <v>0.14000000000000001</v>
      </c>
      <c r="BT118" s="66">
        <v>30</v>
      </c>
      <c r="BU118" s="79"/>
      <c r="BV118" s="79"/>
      <c r="BW118" s="79"/>
      <c r="BX118" s="79"/>
      <c r="BY118" s="64">
        <v>1.3320000000000001</v>
      </c>
      <c r="BZ118" s="79"/>
      <c r="CA118" s="79"/>
      <c r="CB118" s="64" t="s">
        <v>1100</v>
      </c>
      <c r="CC118" s="64" t="s">
        <v>1100</v>
      </c>
      <c r="CD118" s="79"/>
      <c r="CE118" s="79"/>
      <c r="CF118" s="79"/>
      <c r="CG118" s="79"/>
      <c r="CH118" s="64">
        <v>8.8999999999999996E-2</v>
      </c>
      <c r="CI118" s="79"/>
      <c r="CJ118" s="79"/>
      <c r="CK118" s="79"/>
      <c r="CL118" s="79"/>
      <c r="CM118" s="79"/>
      <c r="CN118" s="79"/>
      <c r="CO118" s="79"/>
      <c r="CP118" s="79"/>
      <c r="CQ118" s="79"/>
      <c r="CR118" s="79"/>
      <c r="CS118" s="79"/>
      <c r="CT118" s="79"/>
      <c r="CU118" s="79"/>
      <c r="CV118" s="79"/>
      <c r="CW118" s="79"/>
      <c r="CX118" s="79"/>
      <c r="CY118" s="79"/>
      <c r="CZ118" s="79"/>
      <c r="DA118" s="79"/>
      <c r="DB118" s="79"/>
      <c r="DC118" s="79"/>
      <c r="DD118" s="79"/>
      <c r="DE118" s="79"/>
      <c r="DF118" s="79"/>
      <c r="DG118" s="79"/>
      <c r="DH118" s="79"/>
      <c r="DI118" s="79"/>
      <c r="DJ118" s="79"/>
      <c r="DK118" s="79"/>
      <c r="DL118" s="79"/>
      <c r="DM118" s="79"/>
      <c r="DN118" s="79"/>
      <c r="DO118" s="79"/>
      <c r="DP118" s="79"/>
      <c r="DQ118" s="79"/>
      <c r="DR118" s="66"/>
      <c r="DS118" s="66"/>
      <c r="DT118" s="79"/>
      <c r="DU118" s="79"/>
      <c r="DV118" s="79"/>
      <c r="DW118" s="79"/>
      <c r="DX118" s="79"/>
      <c r="DY118" s="78"/>
    </row>
    <row r="119" spans="1:129" x14ac:dyDescent="0.35">
      <c r="A119" s="42" t="s">
        <v>4743</v>
      </c>
      <c r="B119" s="42" t="s">
        <v>4855</v>
      </c>
      <c r="C119" s="42" t="s">
        <v>209</v>
      </c>
      <c r="D119" s="43" t="s">
        <v>210</v>
      </c>
      <c r="F119" s="44" t="s">
        <v>4854</v>
      </c>
      <c r="G119" s="42" t="s">
        <v>4955</v>
      </c>
      <c r="H119" s="42" t="s">
        <v>68</v>
      </c>
      <c r="I119" s="43" t="s">
        <v>68</v>
      </c>
      <c r="J119" s="43" t="s">
        <v>68</v>
      </c>
      <c r="K119" s="43"/>
      <c r="L119" s="43" t="s">
        <v>69</v>
      </c>
      <c r="M119" s="43">
        <v>3</v>
      </c>
      <c r="N119" s="43">
        <v>3</v>
      </c>
      <c r="O119" s="43" t="s">
        <v>69</v>
      </c>
      <c r="P119" s="43">
        <v>4</v>
      </c>
      <c r="Q119" s="43">
        <v>4</v>
      </c>
      <c r="R119" s="43" t="s">
        <v>69</v>
      </c>
      <c r="S119" s="43">
        <v>5</v>
      </c>
      <c r="T119" s="43">
        <v>5</v>
      </c>
      <c r="U119" s="42" t="s">
        <v>5434</v>
      </c>
      <c r="V119" s="42">
        <v>106.74</v>
      </c>
      <c r="W119" s="42">
        <v>106.74</v>
      </c>
      <c r="X119" s="42" t="s">
        <v>5464</v>
      </c>
      <c r="Y119" s="42" t="s">
        <v>5465</v>
      </c>
      <c r="Z119" s="43" t="s">
        <v>4743</v>
      </c>
      <c r="AA119" s="43" t="s">
        <v>4742</v>
      </c>
      <c r="AC119" s="42" t="s">
        <v>4684</v>
      </c>
      <c r="AD119" s="42" t="s">
        <v>4685</v>
      </c>
      <c r="AE119" s="42" t="s">
        <v>4686</v>
      </c>
      <c r="AF119" s="42" t="s">
        <v>209</v>
      </c>
      <c r="AG119" s="42" t="s">
        <v>4685</v>
      </c>
      <c r="AH119" t="s">
        <v>5434</v>
      </c>
      <c r="AI119" s="42" t="s">
        <v>4959</v>
      </c>
      <c r="AJ119" s="42" t="s">
        <v>5437</v>
      </c>
      <c r="AL119" s="42" t="s">
        <v>5438</v>
      </c>
      <c r="AM119" s="43">
        <v>106.74</v>
      </c>
      <c r="AN119" s="43">
        <v>106.74</v>
      </c>
      <c r="AO119" s="43" t="s">
        <v>70</v>
      </c>
      <c r="AQ119" s="43">
        <v>1</v>
      </c>
      <c r="AR119" s="42" t="s">
        <v>5466</v>
      </c>
      <c r="AU119" s="64"/>
      <c r="AV119" s="64">
        <v>62</v>
      </c>
      <c r="AW119" s="64" t="s">
        <v>4955</v>
      </c>
      <c r="AX119" s="64" t="s">
        <v>4744</v>
      </c>
      <c r="AY119" s="66" t="s">
        <v>478</v>
      </c>
      <c r="AZ119" s="66" t="s">
        <v>209</v>
      </c>
      <c r="BA119" s="64">
        <v>106.74</v>
      </c>
      <c r="BB119" s="64">
        <v>106.74</v>
      </c>
      <c r="BC119" s="64" t="s">
        <v>5464</v>
      </c>
      <c r="BD119" s="64" t="s">
        <v>5465</v>
      </c>
      <c r="BE119" s="64" t="s">
        <v>5464</v>
      </c>
      <c r="BF119" s="64" t="s">
        <v>5465</v>
      </c>
      <c r="BG119" s="64" t="s">
        <v>4963</v>
      </c>
      <c r="BH119" s="64" t="s">
        <v>5434</v>
      </c>
      <c r="BI119" s="64" t="s">
        <v>4854</v>
      </c>
      <c r="BJ119" s="64" t="s">
        <v>4954</v>
      </c>
      <c r="BK119" s="64" t="s">
        <v>474</v>
      </c>
      <c r="BL119" s="64" t="s">
        <v>474</v>
      </c>
      <c r="BM119" s="66" t="s">
        <v>1275</v>
      </c>
      <c r="BN119" s="66" t="s">
        <v>1468</v>
      </c>
      <c r="BO119" s="66" t="s">
        <v>1468</v>
      </c>
      <c r="BP119" s="66" t="s">
        <v>1474</v>
      </c>
      <c r="BQ119" s="66" t="s">
        <v>1479</v>
      </c>
      <c r="BR119" s="64">
        <v>4.7359999999999998</v>
      </c>
      <c r="BS119" s="64">
        <v>0.22</v>
      </c>
      <c r="BT119" s="66">
        <v>30</v>
      </c>
      <c r="BU119" s="79"/>
      <c r="BV119" s="79"/>
      <c r="BW119" s="79"/>
      <c r="BX119" s="79"/>
      <c r="BY119" s="64">
        <v>1.357</v>
      </c>
      <c r="BZ119" s="79"/>
      <c r="CA119" s="79"/>
      <c r="CB119" s="64" t="s">
        <v>1100</v>
      </c>
      <c r="CC119" s="64" t="s">
        <v>1100</v>
      </c>
      <c r="CD119" s="79"/>
      <c r="CE119" s="79"/>
      <c r="CF119" s="79"/>
      <c r="CG119" s="79"/>
      <c r="CH119" s="64">
        <v>8.8999999999999996E-2</v>
      </c>
      <c r="CI119" s="79"/>
      <c r="CJ119" s="79"/>
      <c r="CK119" s="79"/>
      <c r="CL119" s="79"/>
      <c r="CM119" s="79"/>
      <c r="CN119" s="79"/>
      <c r="CO119" s="79"/>
      <c r="CP119" s="79"/>
      <c r="CQ119" s="79"/>
      <c r="CR119" s="79"/>
      <c r="CS119" s="79"/>
      <c r="CT119" s="79"/>
      <c r="CU119" s="79"/>
      <c r="CV119" s="79"/>
      <c r="CW119" s="79"/>
      <c r="CX119" s="79"/>
      <c r="CY119" s="79"/>
      <c r="CZ119" s="79"/>
      <c r="DA119" s="79"/>
      <c r="DB119" s="79"/>
      <c r="DC119" s="79"/>
      <c r="DD119" s="79"/>
      <c r="DE119" s="79"/>
      <c r="DF119" s="79"/>
      <c r="DG119" s="79"/>
      <c r="DH119" s="79"/>
      <c r="DI119" s="79"/>
      <c r="DJ119" s="79"/>
      <c r="DK119" s="79"/>
      <c r="DL119" s="79"/>
      <c r="DM119" s="79"/>
      <c r="DN119" s="79"/>
      <c r="DO119" s="79"/>
      <c r="DP119" s="79"/>
      <c r="DQ119" s="79"/>
      <c r="DR119" s="66"/>
      <c r="DS119" s="66"/>
      <c r="DT119" s="79"/>
      <c r="DU119" s="79"/>
      <c r="DV119" s="79"/>
      <c r="DW119" s="79"/>
      <c r="DX119" s="79"/>
      <c r="DY119" s="78"/>
    </row>
    <row r="120" spans="1:129" x14ac:dyDescent="0.35">
      <c r="A120" s="42" t="s">
        <v>4743</v>
      </c>
      <c r="B120" s="42" t="s">
        <v>4857</v>
      </c>
      <c r="C120" s="42" t="s">
        <v>209</v>
      </c>
      <c r="D120" s="43" t="s">
        <v>210</v>
      </c>
      <c r="F120" s="44" t="s">
        <v>4856</v>
      </c>
      <c r="G120" s="42" t="s">
        <v>4955</v>
      </c>
      <c r="H120" s="42" t="s">
        <v>68</v>
      </c>
      <c r="I120" s="43" t="s">
        <v>68</v>
      </c>
      <c r="J120" s="43" t="s">
        <v>68</v>
      </c>
      <c r="K120" s="43"/>
      <c r="L120" s="43" t="s">
        <v>69</v>
      </c>
      <c r="M120" s="43">
        <v>3</v>
      </c>
      <c r="N120" s="43">
        <v>3</v>
      </c>
      <c r="O120" s="43" t="s">
        <v>69</v>
      </c>
      <c r="P120" s="43">
        <v>4</v>
      </c>
      <c r="Q120" s="43">
        <v>4</v>
      </c>
      <c r="R120" s="43" t="s">
        <v>69</v>
      </c>
      <c r="S120" s="43">
        <v>5</v>
      </c>
      <c r="T120" s="43">
        <v>5</v>
      </c>
      <c r="U120" s="42" t="s">
        <v>5434</v>
      </c>
      <c r="V120" s="42">
        <v>106.74</v>
      </c>
      <c r="W120" s="42">
        <v>106.74</v>
      </c>
      <c r="X120" s="42" t="s">
        <v>5467</v>
      </c>
      <c r="Y120" s="42" t="s">
        <v>5468</v>
      </c>
      <c r="Z120" s="43" t="s">
        <v>4743</v>
      </c>
      <c r="AA120" s="43" t="s">
        <v>4742</v>
      </c>
      <c r="AC120" s="42" t="s">
        <v>4684</v>
      </c>
      <c r="AD120" s="42" t="s">
        <v>4685</v>
      </c>
      <c r="AE120" s="42" t="s">
        <v>4686</v>
      </c>
      <c r="AF120" s="42" t="s">
        <v>209</v>
      </c>
      <c r="AG120" s="42" t="s">
        <v>4685</v>
      </c>
      <c r="AH120" t="s">
        <v>5434</v>
      </c>
      <c r="AI120" s="42" t="s">
        <v>4959</v>
      </c>
      <c r="AJ120" s="42" t="s">
        <v>5437</v>
      </c>
      <c r="AL120" s="42" t="s">
        <v>5438</v>
      </c>
      <c r="AM120" s="43">
        <v>106.74</v>
      </c>
      <c r="AN120" s="43">
        <v>106.74</v>
      </c>
      <c r="AO120" s="43" t="s">
        <v>70</v>
      </c>
      <c r="AQ120" s="43">
        <v>1</v>
      </c>
      <c r="AR120" s="42" t="s">
        <v>5469</v>
      </c>
      <c r="AU120" s="64"/>
      <c r="AV120" s="64">
        <v>62</v>
      </c>
      <c r="AW120" s="64" t="s">
        <v>4955</v>
      </c>
      <c r="AX120" s="64" t="s">
        <v>4744</v>
      </c>
      <c r="AY120" s="66" t="s">
        <v>478</v>
      </c>
      <c r="AZ120" s="66" t="s">
        <v>209</v>
      </c>
      <c r="BA120" s="64">
        <v>106.74</v>
      </c>
      <c r="BB120" s="64">
        <v>106.74</v>
      </c>
      <c r="BC120" s="64" t="s">
        <v>5467</v>
      </c>
      <c r="BD120" s="64" t="s">
        <v>5468</v>
      </c>
      <c r="BE120" s="64" t="s">
        <v>5467</v>
      </c>
      <c r="BF120" s="64" t="s">
        <v>5468</v>
      </c>
      <c r="BG120" s="64" t="s">
        <v>4963</v>
      </c>
      <c r="BH120" s="64" t="s">
        <v>5434</v>
      </c>
      <c r="BI120" s="64" t="s">
        <v>4856</v>
      </c>
      <c r="BJ120" s="64" t="s">
        <v>4954</v>
      </c>
      <c r="BK120" s="64" t="s">
        <v>474</v>
      </c>
      <c r="BL120" s="64" t="s">
        <v>474</v>
      </c>
      <c r="BM120" s="66" t="s">
        <v>1275</v>
      </c>
      <c r="BN120" s="66" t="s">
        <v>1468</v>
      </c>
      <c r="BO120" s="66" t="s">
        <v>1468</v>
      </c>
      <c r="BP120" s="66" t="s">
        <v>1474</v>
      </c>
      <c r="BQ120" s="66" t="s">
        <v>1479</v>
      </c>
      <c r="BR120" s="64">
        <v>3.415</v>
      </c>
      <c r="BS120" s="64">
        <v>0.14000000000000001</v>
      </c>
      <c r="BT120" s="66">
        <v>30</v>
      </c>
      <c r="BU120" s="79"/>
      <c r="BV120" s="79"/>
      <c r="BW120" s="79"/>
      <c r="BX120" s="79"/>
      <c r="BY120" s="64">
        <v>1.351</v>
      </c>
      <c r="BZ120" s="79"/>
      <c r="CA120" s="79"/>
      <c r="CB120" s="64" t="s">
        <v>1100</v>
      </c>
      <c r="CC120" s="64" t="s">
        <v>1100</v>
      </c>
      <c r="CD120" s="79"/>
      <c r="CE120" s="79"/>
      <c r="CF120" s="79"/>
      <c r="CG120" s="79"/>
      <c r="CH120" s="64">
        <v>8.8999999999999996E-2</v>
      </c>
      <c r="CI120" s="79"/>
      <c r="CJ120" s="79"/>
      <c r="CK120" s="79"/>
      <c r="CL120" s="79"/>
      <c r="CM120" s="79"/>
      <c r="CN120" s="79"/>
      <c r="CO120" s="79"/>
      <c r="CP120" s="79"/>
      <c r="CQ120" s="79"/>
      <c r="CR120" s="79"/>
      <c r="CS120" s="79"/>
      <c r="CT120" s="79"/>
      <c r="CU120" s="79"/>
      <c r="CV120" s="79"/>
      <c r="CW120" s="79"/>
      <c r="CX120" s="79"/>
      <c r="CY120" s="79"/>
      <c r="CZ120" s="79"/>
      <c r="DA120" s="79"/>
      <c r="DB120" s="79"/>
      <c r="DC120" s="79"/>
      <c r="DD120" s="79"/>
      <c r="DE120" s="79"/>
      <c r="DF120" s="79"/>
      <c r="DG120" s="79"/>
      <c r="DH120" s="79"/>
      <c r="DI120" s="79"/>
      <c r="DJ120" s="79"/>
      <c r="DK120" s="79"/>
      <c r="DL120" s="79"/>
      <c r="DM120" s="79"/>
      <c r="DN120" s="79"/>
      <c r="DO120" s="79"/>
      <c r="DP120" s="79"/>
      <c r="DQ120" s="79"/>
      <c r="DR120" s="66"/>
      <c r="DS120" s="66"/>
      <c r="DT120" s="79"/>
      <c r="DU120" s="79"/>
      <c r="DV120" s="79"/>
      <c r="DW120" s="79"/>
      <c r="DX120" s="79"/>
      <c r="DY120" s="78"/>
    </row>
    <row r="121" spans="1:129" x14ac:dyDescent="0.35">
      <c r="A121" s="42" t="s">
        <v>4743</v>
      </c>
      <c r="B121" s="42" t="s">
        <v>4859</v>
      </c>
      <c r="C121" s="42" t="s">
        <v>209</v>
      </c>
      <c r="D121" s="43" t="s">
        <v>210</v>
      </c>
      <c r="F121" s="44" t="s">
        <v>4858</v>
      </c>
      <c r="G121" s="42" t="s">
        <v>4955</v>
      </c>
      <c r="H121" s="42" t="s">
        <v>68</v>
      </c>
      <c r="I121" s="43" t="s">
        <v>68</v>
      </c>
      <c r="J121" s="43" t="s">
        <v>68</v>
      </c>
      <c r="K121" s="43"/>
      <c r="L121" s="43" t="s">
        <v>69</v>
      </c>
      <c r="M121" s="43">
        <v>3</v>
      </c>
      <c r="N121" s="43">
        <v>3</v>
      </c>
      <c r="O121" s="43" t="s">
        <v>69</v>
      </c>
      <c r="P121" s="43">
        <v>4</v>
      </c>
      <c r="Q121" s="43">
        <v>4</v>
      </c>
      <c r="R121" s="43" t="s">
        <v>69</v>
      </c>
      <c r="S121" s="43">
        <v>5</v>
      </c>
      <c r="T121" s="43">
        <v>5</v>
      </c>
      <c r="U121" s="42" t="s">
        <v>5434</v>
      </c>
      <c r="V121" s="42">
        <v>106.74</v>
      </c>
      <c r="W121" s="42">
        <v>106.74</v>
      </c>
      <c r="X121" s="42" t="s">
        <v>5470</v>
      </c>
      <c r="Y121" s="42" t="s">
        <v>5471</v>
      </c>
      <c r="Z121" s="43" t="s">
        <v>4743</v>
      </c>
      <c r="AA121" s="43" t="s">
        <v>4742</v>
      </c>
      <c r="AC121" s="42" t="s">
        <v>4684</v>
      </c>
      <c r="AD121" s="42" t="s">
        <v>4685</v>
      </c>
      <c r="AE121" s="42" t="s">
        <v>4686</v>
      </c>
      <c r="AF121" s="42" t="s">
        <v>209</v>
      </c>
      <c r="AG121" s="42" t="s">
        <v>4685</v>
      </c>
      <c r="AH121" t="s">
        <v>5434</v>
      </c>
      <c r="AI121" s="42" t="s">
        <v>4959</v>
      </c>
      <c r="AJ121" s="42" t="s">
        <v>5437</v>
      </c>
      <c r="AL121" s="42" t="s">
        <v>5438</v>
      </c>
      <c r="AM121" s="43">
        <v>106.74</v>
      </c>
      <c r="AN121" s="43">
        <v>106.74</v>
      </c>
      <c r="AO121" s="43" t="s">
        <v>70</v>
      </c>
      <c r="AQ121" s="43">
        <v>1</v>
      </c>
      <c r="AR121" s="42" t="s">
        <v>5472</v>
      </c>
      <c r="AU121" s="64"/>
      <c r="AV121" s="64">
        <v>62</v>
      </c>
      <c r="AW121" s="64" t="s">
        <v>4955</v>
      </c>
      <c r="AX121" s="64" t="s">
        <v>4744</v>
      </c>
      <c r="AY121" s="66" t="s">
        <v>478</v>
      </c>
      <c r="AZ121" s="66" t="s">
        <v>209</v>
      </c>
      <c r="BA121" s="64">
        <v>106.74</v>
      </c>
      <c r="BB121" s="64">
        <v>106.74</v>
      </c>
      <c r="BC121" s="64" t="s">
        <v>5470</v>
      </c>
      <c r="BD121" s="64" t="s">
        <v>5471</v>
      </c>
      <c r="BE121" s="64" t="s">
        <v>5470</v>
      </c>
      <c r="BF121" s="64" t="s">
        <v>5471</v>
      </c>
      <c r="BG121" s="64" t="s">
        <v>4963</v>
      </c>
      <c r="BH121" s="64" t="s">
        <v>5434</v>
      </c>
      <c r="BI121" s="64" t="s">
        <v>4858</v>
      </c>
      <c r="BJ121" s="64" t="s">
        <v>4954</v>
      </c>
      <c r="BK121" s="64" t="s">
        <v>474</v>
      </c>
      <c r="BL121" s="64" t="s">
        <v>474</v>
      </c>
      <c r="BM121" s="66" t="s">
        <v>1275</v>
      </c>
      <c r="BN121" s="66" t="s">
        <v>1468</v>
      </c>
      <c r="BO121" s="66" t="s">
        <v>1468</v>
      </c>
      <c r="BP121" s="66" t="s">
        <v>1474</v>
      </c>
      <c r="BQ121" s="66" t="s">
        <v>1479</v>
      </c>
      <c r="BR121" s="64">
        <v>4.7359999999999998</v>
      </c>
      <c r="BS121" s="64">
        <v>0.22</v>
      </c>
      <c r="BT121" s="66">
        <v>30</v>
      </c>
      <c r="BU121" s="79"/>
      <c r="BV121" s="79"/>
      <c r="BW121" s="79"/>
      <c r="BX121" s="79"/>
      <c r="BY121" s="64">
        <v>1.395</v>
      </c>
      <c r="BZ121" s="79"/>
      <c r="CA121" s="79"/>
      <c r="CB121" s="64" t="s">
        <v>1100</v>
      </c>
      <c r="CC121" s="64" t="s">
        <v>1100</v>
      </c>
      <c r="CD121" s="79"/>
      <c r="CE121" s="79"/>
      <c r="CF121" s="79"/>
      <c r="CG121" s="79"/>
      <c r="CH121" s="64">
        <v>8.8999999999999996E-2</v>
      </c>
      <c r="CI121" s="79"/>
      <c r="CJ121" s="79"/>
      <c r="CK121" s="79"/>
      <c r="CL121" s="79"/>
      <c r="CM121" s="79"/>
      <c r="CN121" s="79"/>
      <c r="CO121" s="79"/>
      <c r="CP121" s="79"/>
      <c r="CQ121" s="79"/>
      <c r="CR121" s="79"/>
      <c r="CS121" s="79"/>
      <c r="CT121" s="79"/>
      <c r="CU121" s="79"/>
      <c r="CV121" s="79"/>
      <c r="CW121" s="79"/>
      <c r="CX121" s="79"/>
      <c r="CY121" s="79"/>
      <c r="CZ121" s="79"/>
      <c r="DA121" s="79"/>
      <c r="DB121" s="79"/>
      <c r="DC121" s="79"/>
      <c r="DD121" s="79"/>
      <c r="DE121" s="79"/>
      <c r="DF121" s="79"/>
      <c r="DG121" s="79"/>
      <c r="DH121" s="79"/>
      <c r="DI121" s="79"/>
      <c r="DJ121" s="79"/>
      <c r="DK121" s="79"/>
      <c r="DL121" s="79"/>
      <c r="DM121" s="79"/>
      <c r="DN121" s="79"/>
      <c r="DO121" s="79"/>
      <c r="DP121" s="79"/>
      <c r="DQ121" s="79"/>
      <c r="DR121" s="66"/>
      <c r="DS121" s="66"/>
      <c r="DT121" s="79"/>
      <c r="DU121" s="79"/>
      <c r="DV121" s="79"/>
      <c r="DW121" s="79"/>
      <c r="DX121" s="79"/>
      <c r="DY121" s="78"/>
    </row>
    <row r="122" spans="1:129" x14ac:dyDescent="0.35">
      <c r="A122" s="42" t="s">
        <v>4743</v>
      </c>
      <c r="B122" s="42" t="s">
        <v>4861</v>
      </c>
      <c r="C122" s="42" t="s">
        <v>209</v>
      </c>
      <c r="D122" s="43" t="s">
        <v>210</v>
      </c>
      <c r="F122" s="44" t="s">
        <v>4860</v>
      </c>
      <c r="G122" s="42" t="s">
        <v>4955</v>
      </c>
      <c r="H122" s="42" t="s">
        <v>68</v>
      </c>
      <c r="I122" s="43" t="s">
        <v>68</v>
      </c>
      <c r="J122" s="43" t="s">
        <v>68</v>
      </c>
      <c r="K122" s="43"/>
      <c r="L122" s="43" t="s">
        <v>69</v>
      </c>
      <c r="M122" s="43">
        <v>3</v>
      </c>
      <c r="N122" s="43">
        <v>3</v>
      </c>
      <c r="O122" s="43" t="s">
        <v>69</v>
      </c>
      <c r="P122" s="43">
        <v>4</v>
      </c>
      <c r="Q122" s="43">
        <v>4</v>
      </c>
      <c r="R122" s="43" t="s">
        <v>69</v>
      </c>
      <c r="S122" s="43">
        <v>5</v>
      </c>
      <c r="T122" s="43">
        <v>5</v>
      </c>
      <c r="U122" s="42" t="s">
        <v>5434</v>
      </c>
      <c r="V122" s="42">
        <v>106.74</v>
      </c>
      <c r="W122" s="42">
        <v>106.74</v>
      </c>
      <c r="X122" s="42" t="s">
        <v>5473</v>
      </c>
      <c r="Y122" s="42" t="s">
        <v>5474</v>
      </c>
      <c r="Z122" s="43" t="s">
        <v>4743</v>
      </c>
      <c r="AA122" s="43" t="s">
        <v>4742</v>
      </c>
      <c r="AC122" s="42" t="s">
        <v>4684</v>
      </c>
      <c r="AD122" s="42" t="s">
        <v>4685</v>
      </c>
      <c r="AE122" s="42" t="s">
        <v>4686</v>
      </c>
      <c r="AF122" s="42" t="s">
        <v>209</v>
      </c>
      <c r="AG122" s="42" t="s">
        <v>4685</v>
      </c>
      <c r="AH122" t="s">
        <v>5434</v>
      </c>
      <c r="AI122" s="42" t="s">
        <v>4959</v>
      </c>
      <c r="AJ122" s="42" t="s">
        <v>5437</v>
      </c>
      <c r="AL122" s="42" t="s">
        <v>5438</v>
      </c>
      <c r="AM122" s="43">
        <v>106.74</v>
      </c>
      <c r="AN122" s="43">
        <v>106.74</v>
      </c>
      <c r="AO122" s="43" t="s">
        <v>70</v>
      </c>
      <c r="AQ122" s="43">
        <v>1</v>
      </c>
      <c r="AR122" s="42" t="s">
        <v>5475</v>
      </c>
      <c r="AU122" s="64"/>
      <c r="AV122" s="64">
        <v>62</v>
      </c>
      <c r="AW122" s="64" t="s">
        <v>4955</v>
      </c>
      <c r="AX122" s="64" t="s">
        <v>4744</v>
      </c>
      <c r="AY122" s="66" t="s">
        <v>478</v>
      </c>
      <c r="AZ122" s="66" t="s">
        <v>209</v>
      </c>
      <c r="BA122" s="64">
        <v>106.74</v>
      </c>
      <c r="BB122" s="64">
        <v>106.74</v>
      </c>
      <c r="BC122" s="64" t="s">
        <v>5473</v>
      </c>
      <c r="BD122" s="64" t="s">
        <v>5474</v>
      </c>
      <c r="BE122" s="64" t="s">
        <v>5473</v>
      </c>
      <c r="BF122" s="64" t="s">
        <v>5474</v>
      </c>
      <c r="BG122" s="64" t="s">
        <v>4963</v>
      </c>
      <c r="BH122" s="64" t="s">
        <v>5434</v>
      </c>
      <c r="BI122" s="64" t="s">
        <v>4860</v>
      </c>
      <c r="BJ122" s="64" t="s">
        <v>4954</v>
      </c>
      <c r="BK122" s="64" t="s">
        <v>474</v>
      </c>
      <c r="BL122" s="64" t="s">
        <v>474</v>
      </c>
      <c r="BM122" s="66" t="s">
        <v>1275</v>
      </c>
      <c r="BN122" s="66" t="s">
        <v>1468</v>
      </c>
      <c r="BO122" s="66" t="s">
        <v>1468</v>
      </c>
      <c r="BP122" s="66" t="s">
        <v>1474</v>
      </c>
      <c r="BQ122" s="66" t="s">
        <v>1479</v>
      </c>
      <c r="BR122" s="64">
        <v>1.478</v>
      </c>
      <c r="BS122" s="64">
        <v>0.02</v>
      </c>
      <c r="BT122" s="66">
        <v>30</v>
      </c>
      <c r="BU122" s="79"/>
      <c r="BV122" s="79"/>
      <c r="BW122" s="79"/>
      <c r="BX122" s="79"/>
      <c r="BY122" s="64">
        <v>0.54400000000000004</v>
      </c>
      <c r="BZ122" s="79"/>
      <c r="CA122" s="79"/>
      <c r="CB122" s="64" t="s">
        <v>1100</v>
      </c>
      <c r="CC122" s="64" t="s">
        <v>1100</v>
      </c>
      <c r="CD122" s="79"/>
      <c r="CE122" s="79"/>
      <c r="CF122" s="79"/>
      <c r="CG122" s="79"/>
      <c r="CH122" s="64">
        <v>8.8999999999999996E-2</v>
      </c>
      <c r="CI122" s="79"/>
      <c r="CJ122" s="79"/>
      <c r="CK122" s="79"/>
      <c r="CL122" s="79"/>
      <c r="CM122" s="79"/>
      <c r="CN122" s="79"/>
      <c r="CO122" s="79"/>
      <c r="CP122" s="79"/>
      <c r="CQ122" s="79"/>
      <c r="CR122" s="79"/>
      <c r="CS122" s="79"/>
      <c r="CT122" s="79"/>
      <c r="CU122" s="79"/>
      <c r="CV122" s="79"/>
      <c r="CW122" s="79"/>
      <c r="CX122" s="79"/>
      <c r="CY122" s="79"/>
      <c r="CZ122" s="79"/>
      <c r="DA122" s="79"/>
      <c r="DB122" s="79"/>
      <c r="DC122" s="79"/>
      <c r="DD122" s="79"/>
      <c r="DE122" s="79"/>
      <c r="DF122" s="79"/>
      <c r="DG122" s="79"/>
      <c r="DH122" s="79"/>
      <c r="DI122" s="79"/>
      <c r="DJ122" s="79"/>
      <c r="DK122" s="79"/>
      <c r="DL122" s="79"/>
      <c r="DM122" s="79"/>
      <c r="DN122" s="79"/>
      <c r="DO122" s="79"/>
      <c r="DP122" s="79"/>
      <c r="DQ122" s="79"/>
      <c r="DR122" s="66"/>
      <c r="DS122" s="66"/>
      <c r="DT122" s="79"/>
      <c r="DU122" s="79"/>
      <c r="DV122" s="79"/>
      <c r="DW122" s="79"/>
      <c r="DX122" s="79"/>
      <c r="DY122" s="78"/>
    </row>
    <row r="123" spans="1:129" x14ac:dyDescent="0.35">
      <c r="A123" s="42" t="s">
        <v>4743</v>
      </c>
      <c r="B123" s="42" t="s">
        <v>4863</v>
      </c>
      <c r="C123" s="42" t="s">
        <v>209</v>
      </c>
      <c r="D123" s="43" t="s">
        <v>210</v>
      </c>
      <c r="F123" s="44" t="s">
        <v>4862</v>
      </c>
      <c r="G123" s="42" t="s">
        <v>4955</v>
      </c>
      <c r="H123" s="42" t="s">
        <v>68</v>
      </c>
      <c r="I123" s="43" t="s">
        <v>68</v>
      </c>
      <c r="J123" s="43" t="s">
        <v>68</v>
      </c>
      <c r="K123" s="43"/>
      <c r="L123" s="43" t="s">
        <v>69</v>
      </c>
      <c r="M123" s="43">
        <v>3</v>
      </c>
      <c r="N123" s="43">
        <v>3</v>
      </c>
      <c r="O123" s="43" t="s">
        <v>69</v>
      </c>
      <c r="P123" s="43">
        <v>4</v>
      </c>
      <c r="Q123" s="43">
        <v>4</v>
      </c>
      <c r="R123" s="43" t="s">
        <v>69</v>
      </c>
      <c r="S123" s="43">
        <v>5</v>
      </c>
      <c r="T123" s="43">
        <v>5</v>
      </c>
      <c r="U123" s="42" t="s">
        <v>5434</v>
      </c>
      <c r="V123" s="42">
        <v>106.73</v>
      </c>
      <c r="W123" s="42">
        <v>106.74</v>
      </c>
      <c r="X123" s="42" t="s">
        <v>5476</v>
      </c>
      <c r="Y123" s="42" t="s">
        <v>5477</v>
      </c>
      <c r="Z123" s="43" t="s">
        <v>4743</v>
      </c>
      <c r="AA123" s="43" t="s">
        <v>4742</v>
      </c>
      <c r="AC123" s="42" t="s">
        <v>4684</v>
      </c>
      <c r="AD123" s="42" t="s">
        <v>4685</v>
      </c>
      <c r="AE123" s="42" t="s">
        <v>4686</v>
      </c>
      <c r="AF123" s="42" t="s">
        <v>209</v>
      </c>
      <c r="AG123" s="42" t="s">
        <v>4685</v>
      </c>
      <c r="AH123" t="s">
        <v>5434</v>
      </c>
      <c r="AI123" s="42" t="s">
        <v>4959</v>
      </c>
      <c r="AJ123" s="42" t="s">
        <v>5437</v>
      </c>
      <c r="AL123" s="42" t="s">
        <v>5438</v>
      </c>
      <c r="AM123" s="43">
        <v>106.73</v>
      </c>
      <c r="AN123" s="43">
        <v>106.74</v>
      </c>
      <c r="AO123" s="43" t="s">
        <v>70</v>
      </c>
      <c r="AQ123" s="43">
        <v>1</v>
      </c>
      <c r="AR123" s="42" t="s">
        <v>5478</v>
      </c>
      <c r="AU123" s="64"/>
      <c r="AV123" s="64">
        <v>62</v>
      </c>
      <c r="AW123" s="64" t="s">
        <v>4955</v>
      </c>
      <c r="AX123" s="64" t="s">
        <v>4744</v>
      </c>
      <c r="AY123" s="66" t="s">
        <v>478</v>
      </c>
      <c r="AZ123" s="66" t="s">
        <v>209</v>
      </c>
      <c r="BA123" s="64">
        <v>106.73</v>
      </c>
      <c r="BB123" s="64">
        <v>106.74</v>
      </c>
      <c r="BC123" s="64" t="s">
        <v>5476</v>
      </c>
      <c r="BD123" s="64" t="s">
        <v>5477</v>
      </c>
      <c r="BE123" s="64" t="s">
        <v>5476</v>
      </c>
      <c r="BF123" s="64" t="s">
        <v>5477</v>
      </c>
      <c r="BG123" s="64" t="s">
        <v>4963</v>
      </c>
      <c r="BH123" s="64" t="s">
        <v>5434</v>
      </c>
      <c r="BI123" s="64" t="s">
        <v>4862</v>
      </c>
      <c r="BJ123" s="64" t="s">
        <v>4954</v>
      </c>
      <c r="BK123" s="64" t="s">
        <v>474</v>
      </c>
      <c r="BL123" s="64" t="s">
        <v>474</v>
      </c>
      <c r="BM123" s="66" t="s">
        <v>1275</v>
      </c>
      <c r="BN123" s="66" t="s">
        <v>1468</v>
      </c>
      <c r="BO123" s="66" t="s">
        <v>1468</v>
      </c>
      <c r="BP123" s="66" t="s">
        <v>1474</v>
      </c>
      <c r="BQ123" s="66" t="s">
        <v>1479</v>
      </c>
      <c r="BR123" s="64">
        <v>4.7350000000000003</v>
      </c>
      <c r="BS123" s="64">
        <v>0.11</v>
      </c>
      <c r="BT123" s="66">
        <v>30</v>
      </c>
      <c r="BU123" s="79"/>
      <c r="BV123" s="79"/>
      <c r="BW123" s="79"/>
      <c r="BX123" s="79"/>
      <c r="BY123" s="64">
        <v>0.65200000000000002</v>
      </c>
      <c r="BZ123" s="79"/>
      <c r="CA123" s="79"/>
      <c r="CB123" s="64" t="s">
        <v>1100</v>
      </c>
      <c r="CC123" s="64" t="s">
        <v>1100</v>
      </c>
      <c r="CD123" s="79"/>
      <c r="CE123" s="79"/>
      <c r="CF123" s="79"/>
      <c r="CG123" s="79"/>
      <c r="CH123" s="64">
        <v>8.8999999999999996E-2</v>
      </c>
      <c r="CI123" s="79"/>
      <c r="CJ123" s="79"/>
      <c r="CK123" s="79"/>
      <c r="CL123" s="79"/>
      <c r="CM123" s="79"/>
      <c r="CN123" s="79"/>
      <c r="CO123" s="79"/>
      <c r="CP123" s="79"/>
      <c r="CQ123" s="79"/>
      <c r="CR123" s="79"/>
      <c r="CS123" s="79"/>
      <c r="CT123" s="79"/>
      <c r="CU123" s="79"/>
      <c r="CV123" s="79"/>
      <c r="CW123" s="79"/>
      <c r="CX123" s="79"/>
      <c r="CY123" s="79"/>
      <c r="CZ123" s="79"/>
      <c r="DA123" s="79"/>
      <c r="DB123" s="79"/>
      <c r="DC123" s="79"/>
      <c r="DD123" s="79"/>
      <c r="DE123" s="79"/>
      <c r="DF123" s="79"/>
      <c r="DG123" s="79"/>
      <c r="DH123" s="79"/>
      <c r="DI123" s="79"/>
      <c r="DJ123" s="79"/>
      <c r="DK123" s="79"/>
      <c r="DL123" s="79"/>
      <c r="DM123" s="79"/>
      <c r="DN123" s="79"/>
      <c r="DO123" s="79"/>
      <c r="DP123" s="79"/>
      <c r="DQ123" s="79"/>
      <c r="DR123" s="66"/>
      <c r="DS123" s="66"/>
      <c r="DT123" s="79"/>
      <c r="DU123" s="79"/>
      <c r="DV123" s="79"/>
      <c r="DW123" s="79"/>
      <c r="DX123" s="79"/>
      <c r="DY123" s="78"/>
    </row>
    <row r="124" spans="1:129" x14ac:dyDescent="0.35">
      <c r="A124" s="42" t="s">
        <v>4743</v>
      </c>
      <c r="B124" s="42" t="s">
        <v>4865</v>
      </c>
      <c r="C124" s="42" t="s">
        <v>209</v>
      </c>
      <c r="D124" s="43" t="s">
        <v>210</v>
      </c>
      <c r="F124" s="44" t="s">
        <v>4864</v>
      </c>
      <c r="G124" s="42" t="s">
        <v>4955</v>
      </c>
      <c r="H124" s="42" t="s">
        <v>68</v>
      </c>
      <c r="I124" s="43" t="s">
        <v>68</v>
      </c>
      <c r="J124" s="43" t="s">
        <v>68</v>
      </c>
      <c r="K124" s="43"/>
      <c r="L124" s="43" t="s">
        <v>69</v>
      </c>
      <c r="M124" s="43">
        <v>3</v>
      </c>
      <c r="N124" s="43">
        <v>3</v>
      </c>
      <c r="O124" s="43" t="s">
        <v>69</v>
      </c>
      <c r="P124" s="43">
        <v>4</v>
      </c>
      <c r="Q124" s="43">
        <v>4</v>
      </c>
      <c r="R124" s="43" t="s">
        <v>69</v>
      </c>
      <c r="S124" s="43">
        <v>5</v>
      </c>
      <c r="T124" s="43">
        <v>5</v>
      </c>
      <c r="U124" s="42" t="s">
        <v>5434</v>
      </c>
      <c r="V124" s="42">
        <v>106.73</v>
      </c>
      <c r="W124" s="42">
        <v>106.73</v>
      </c>
      <c r="X124" s="42" t="s">
        <v>5479</v>
      </c>
      <c r="Y124" s="42" t="s">
        <v>5480</v>
      </c>
      <c r="Z124" s="43" t="s">
        <v>4743</v>
      </c>
      <c r="AA124" s="43" t="s">
        <v>4742</v>
      </c>
      <c r="AC124" s="42" t="s">
        <v>4684</v>
      </c>
      <c r="AD124" s="42" t="s">
        <v>4685</v>
      </c>
      <c r="AE124" s="42" t="s">
        <v>4686</v>
      </c>
      <c r="AF124" s="42" t="s">
        <v>209</v>
      </c>
      <c r="AG124" s="42" t="s">
        <v>4685</v>
      </c>
      <c r="AH124" t="s">
        <v>5434</v>
      </c>
      <c r="AI124" s="42" t="s">
        <v>4959</v>
      </c>
      <c r="AJ124" s="42" t="s">
        <v>5437</v>
      </c>
      <c r="AL124" s="42" t="s">
        <v>5438</v>
      </c>
      <c r="AM124" s="43">
        <v>106.73</v>
      </c>
      <c r="AN124" s="43">
        <v>106.73</v>
      </c>
      <c r="AO124" s="43" t="s">
        <v>70</v>
      </c>
      <c r="AQ124" s="43">
        <v>1</v>
      </c>
      <c r="AR124" s="42" t="s">
        <v>5481</v>
      </c>
      <c r="AU124" s="64"/>
      <c r="AV124" s="64">
        <v>62</v>
      </c>
      <c r="AW124" s="64" t="s">
        <v>4955</v>
      </c>
      <c r="AX124" s="64" t="s">
        <v>4744</v>
      </c>
      <c r="AY124" s="66" t="s">
        <v>478</v>
      </c>
      <c r="AZ124" s="66" t="s">
        <v>209</v>
      </c>
      <c r="BA124" s="64">
        <v>106.73</v>
      </c>
      <c r="BB124" s="64">
        <v>106.73</v>
      </c>
      <c r="BC124" s="64" t="s">
        <v>5479</v>
      </c>
      <c r="BD124" s="64" t="s">
        <v>5480</v>
      </c>
      <c r="BE124" s="64" t="s">
        <v>5479</v>
      </c>
      <c r="BF124" s="64" t="s">
        <v>5480</v>
      </c>
      <c r="BG124" s="64" t="s">
        <v>4963</v>
      </c>
      <c r="BH124" s="64" t="s">
        <v>5434</v>
      </c>
      <c r="BI124" s="64" t="s">
        <v>4864</v>
      </c>
      <c r="BJ124" s="64" t="s">
        <v>4954</v>
      </c>
      <c r="BK124" s="64" t="s">
        <v>474</v>
      </c>
      <c r="BL124" s="64" t="s">
        <v>474</v>
      </c>
      <c r="BM124" s="66" t="s">
        <v>1275</v>
      </c>
      <c r="BN124" s="66" t="s">
        <v>1468</v>
      </c>
      <c r="BO124" s="66" t="s">
        <v>1468</v>
      </c>
      <c r="BP124" s="66" t="s">
        <v>1474</v>
      </c>
      <c r="BQ124" s="66" t="s">
        <v>1479</v>
      </c>
      <c r="BR124" s="64">
        <v>1.478</v>
      </c>
      <c r="BS124" s="64">
        <v>0.02</v>
      </c>
      <c r="BT124" s="66">
        <v>30</v>
      </c>
      <c r="BU124" s="79"/>
      <c r="BV124" s="79"/>
      <c r="BW124" s="79"/>
      <c r="BX124" s="79"/>
      <c r="BY124" s="64">
        <v>0.55400000000000005</v>
      </c>
      <c r="BZ124" s="79"/>
      <c r="CA124" s="79"/>
      <c r="CB124" s="64" t="s">
        <v>1100</v>
      </c>
      <c r="CC124" s="64" t="s">
        <v>1100</v>
      </c>
      <c r="CD124" s="79"/>
      <c r="CE124" s="79"/>
      <c r="CF124" s="79"/>
      <c r="CG124" s="79"/>
      <c r="CH124" s="64">
        <v>8.8999999999999996E-2</v>
      </c>
      <c r="CI124" s="79"/>
      <c r="CJ124" s="79"/>
      <c r="CK124" s="79"/>
      <c r="CL124" s="79"/>
      <c r="CM124" s="79"/>
      <c r="CN124" s="79"/>
      <c r="CO124" s="79"/>
      <c r="CP124" s="79"/>
      <c r="CQ124" s="79"/>
      <c r="CR124" s="79"/>
      <c r="CS124" s="79"/>
      <c r="CT124" s="79"/>
      <c r="CU124" s="79"/>
      <c r="CV124" s="79"/>
      <c r="CW124" s="79"/>
      <c r="CX124" s="79"/>
      <c r="CY124" s="79"/>
      <c r="CZ124" s="79"/>
      <c r="DA124" s="79"/>
      <c r="DB124" s="79"/>
      <c r="DC124" s="79"/>
      <c r="DD124" s="79"/>
      <c r="DE124" s="79"/>
      <c r="DF124" s="79"/>
      <c r="DG124" s="79"/>
      <c r="DH124" s="79"/>
      <c r="DI124" s="79"/>
      <c r="DJ124" s="79"/>
      <c r="DK124" s="79"/>
      <c r="DL124" s="79"/>
      <c r="DM124" s="79"/>
      <c r="DN124" s="79"/>
      <c r="DO124" s="79"/>
      <c r="DP124" s="79"/>
      <c r="DQ124" s="79"/>
      <c r="DR124" s="66"/>
      <c r="DS124" s="66"/>
      <c r="DT124" s="79"/>
      <c r="DU124" s="79"/>
      <c r="DV124" s="79"/>
      <c r="DW124" s="79"/>
      <c r="DX124" s="79"/>
      <c r="DY124" s="78"/>
    </row>
    <row r="125" spans="1:129" x14ac:dyDescent="0.35">
      <c r="A125" s="42" t="s">
        <v>4743</v>
      </c>
      <c r="B125" s="42" t="s">
        <v>4867</v>
      </c>
      <c r="C125" s="42" t="s">
        <v>209</v>
      </c>
      <c r="D125" s="43" t="s">
        <v>210</v>
      </c>
      <c r="F125" s="44" t="s">
        <v>4866</v>
      </c>
      <c r="G125" s="42" t="s">
        <v>4955</v>
      </c>
      <c r="H125" s="42" t="s">
        <v>68</v>
      </c>
      <c r="I125" s="43" t="s">
        <v>68</v>
      </c>
      <c r="J125" s="43" t="s">
        <v>68</v>
      </c>
      <c r="K125" s="43"/>
      <c r="L125" s="43" t="s">
        <v>69</v>
      </c>
      <c r="M125" s="43">
        <v>3</v>
      </c>
      <c r="N125" s="43">
        <v>3</v>
      </c>
      <c r="O125" s="43" t="s">
        <v>69</v>
      </c>
      <c r="P125" s="43">
        <v>4</v>
      </c>
      <c r="Q125" s="43">
        <v>4</v>
      </c>
      <c r="R125" s="43" t="s">
        <v>69</v>
      </c>
      <c r="S125" s="43">
        <v>5</v>
      </c>
      <c r="T125" s="43">
        <v>5</v>
      </c>
      <c r="U125" s="42" t="s">
        <v>5434</v>
      </c>
      <c r="V125" s="42">
        <v>106.73</v>
      </c>
      <c r="W125" s="42">
        <v>106.73</v>
      </c>
      <c r="X125" s="42" t="s">
        <v>5482</v>
      </c>
      <c r="Y125" s="42" t="s">
        <v>5483</v>
      </c>
      <c r="Z125" s="43" t="s">
        <v>4743</v>
      </c>
      <c r="AA125" s="43" t="s">
        <v>4742</v>
      </c>
      <c r="AC125" s="42" t="s">
        <v>4684</v>
      </c>
      <c r="AD125" s="42" t="s">
        <v>4685</v>
      </c>
      <c r="AE125" s="42" t="s">
        <v>4686</v>
      </c>
      <c r="AF125" s="42" t="s">
        <v>209</v>
      </c>
      <c r="AG125" s="42" t="s">
        <v>4685</v>
      </c>
      <c r="AH125" t="s">
        <v>5434</v>
      </c>
      <c r="AI125" s="42" t="s">
        <v>4959</v>
      </c>
      <c r="AJ125" s="42" t="s">
        <v>5437</v>
      </c>
      <c r="AL125" s="42" t="s">
        <v>5438</v>
      </c>
      <c r="AM125" s="43">
        <v>106.73</v>
      </c>
      <c r="AN125" s="43">
        <v>106.73</v>
      </c>
      <c r="AO125" s="43" t="s">
        <v>70</v>
      </c>
      <c r="AQ125" s="43">
        <v>1</v>
      </c>
      <c r="AR125" s="42" t="s">
        <v>5484</v>
      </c>
      <c r="AU125" s="64"/>
      <c r="AV125" s="64">
        <v>62</v>
      </c>
      <c r="AW125" s="64" t="s">
        <v>4955</v>
      </c>
      <c r="AX125" s="64" t="s">
        <v>4744</v>
      </c>
      <c r="AY125" s="66" t="s">
        <v>478</v>
      </c>
      <c r="AZ125" s="66" t="s">
        <v>209</v>
      </c>
      <c r="BA125" s="64">
        <v>106.73</v>
      </c>
      <c r="BB125" s="64">
        <v>106.73</v>
      </c>
      <c r="BC125" s="64" t="s">
        <v>5482</v>
      </c>
      <c r="BD125" s="64" t="s">
        <v>5483</v>
      </c>
      <c r="BE125" s="64" t="s">
        <v>5482</v>
      </c>
      <c r="BF125" s="64" t="s">
        <v>5483</v>
      </c>
      <c r="BG125" s="64" t="s">
        <v>4963</v>
      </c>
      <c r="BH125" s="64" t="s">
        <v>5434</v>
      </c>
      <c r="BI125" s="64" t="s">
        <v>4866</v>
      </c>
      <c r="BJ125" s="64" t="s">
        <v>4954</v>
      </c>
      <c r="BK125" s="64" t="s">
        <v>474</v>
      </c>
      <c r="BL125" s="64" t="s">
        <v>474</v>
      </c>
      <c r="BM125" s="66" t="s">
        <v>1275</v>
      </c>
      <c r="BN125" s="66" t="s">
        <v>1468</v>
      </c>
      <c r="BO125" s="66" t="s">
        <v>1468</v>
      </c>
      <c r="BP125" s="66" t="s">
        <v>1474</v>
      </c>
      <c r="BQ125" s="66" t="s">
        <v>1479</v>
      </c>
      <c r="BR125" s="64">
        <v>4.7329999999999997</v>
      </c>
      <c r="BS125" s="64">
        <v>0.11</v>
      </c>
      <c r="BT125" s="66">
        <v>30</v>
      </c>
      <c r="BU125" s="79"/>
      <c r="BV125" s="79"/>
      <c r="BW125" s="79"/>
      <c r="BX125" s="79"/>
      <c r="BY125" s="64">
        <v>0.70099999999999996</v>
      </c>
      <c r="BZ125" s="79"/>
      <c r="CA125" s="79"/>
      <c r="CB125" s="64" t="s">
        <v>1100</v>
      </c>
      <c r="CC125" s="64" t="s">
        <v>1100</v>
      </c>
      <c r="CD125" s="79"/>
      <c r="CE125" s="79"/>
      <c r="CF125" s="79"/>
      <c r="CG125" s="79"/>
      <c r="CH125" s="64">
        <v>8.8999999999999996E-2</v>
      </c>
      <c r="CI125" s="79"/>
      <c r="CJ125" s="79"/>
      <c r="CK125" s="79"/>
      <c r="CL125" s="79"/>
      <c r="CM125" s="79"/>
      <c r="CN125" s="79"/>
      <c r="CO125" s="79"/>
      <c r="CP125" s="79"/>
      <c r="CQ125" s="79"/>
      <c r="CR125" s="79"/>
      <c r="CS125" s="79"/>
      <c r="CT125" s="79"/>
      <c r="CU125" s="79"/>
      <c r="CV125" s="79"/>
      <c r="CW125" s="79"/>
      <c r="CX125" s="79"/>
      <c r="CY125" s="79"/>
      <c r="CZ125" s="79"/>
      <c r="DA125" s="79"/>
      <c r="DB125" s="79"/>
      <c r="DC125" s="79"/>
      <c r="DD125" s="79"/>
      <c r="DE125" s="79"/>
      <c r="DF125" s="79"/>
      <c r="DG125" s="79"/>
      <c r="DH125" s="79"/>
      <c r="DI125" s="79"/>
      <c r="DJ125" s="79"/>
      <c r="DK125" s="79"/>
      <c r="DL125" s="79"/>
      <c r="DM125" s="79"/>
      <c r="DN125" s="79"/>
      <c r="DO125" s="79"/>
      <c r="DP125" s="79"/>
      <c r="DQ125" s="79"/>
      <c r="DR125" s="66"/>
      <c r="DS125" s="66"/>
      <c r="DT125" s="79"/>
      <c r="DU125" s="79"/>
      <c r="DV125" s="79"/>
      <c r="DW125" s="79"/>
      <c r="DX125" s="79"/>
      <c r="DY125" s="78"/>
    </row>
    <row r="126" spans="1:129" x14ac:dyDescent="0.35">
      <c r="A126" s="42" t="s">
        <v>4743</v>
      </c>
      <c r="B126" s="42" t="s">
        <v>4869</v>
      </c>
      <c r="C126" s="42" t="s">
        <v>209</v>
      </c>
      <c r="D126" s="43" t="s">
        <v>210</v>
      </c>
      <c r="F126" s="44" t="s">
        <v>4868</v>
      </c>
      <c r="G126" s="42" t="s">
        <v>4955</v>
      </c>
      <c r="H126" s="42" t="s">
        <v>68</v>
      </c>
      <c r="I126" s="43" t="s">
        <v>68</v>
      </c>
      <c r="J126" s="43" t="s">
        <v>68</v>
      </c>
      <c r="K126" s="43"/>
      <c r="L126" s="43" t="s">
        <v>69</v>
      </c>
      <c r="M126" s="43">
        <v>3</v>
      </c>
      <c r="N126" s="43">
        <v>3</v>
      </c>
      <c r="O126" s="43" t="s">
        <v>69</v>
      </c>
      <c r="P126" s="43">
        <v>4</v>
      </c>
      <c r="Q126" s="43">
        <v>4</v>
      </c>
      <c r="R126" s="43" t="s">
        <v>69</v>
      </c>
      <c r="S126" s="43">
        <v>5</v>
      </c>
      <c r="T126" s="43">
        <v>5</v>
      </c>
      <c r="U126" s="42" t="s">
        <v>5434</v>
      </c>
      <c r="V126" s="42">
        <v>106.73</v>
      </c>
      <c r="W126" s="42">
        <v>106.73</v>
      </c>
      <c r="X126" s="42" t="s">
        <v>5485</v>
      </c>
      <c r="Y126" s="42" t="s">
        <v>5486</v>
      </c>
      <c r="Z126" s="43" t="s">
        <v>4743</v>
      </c>
      <c r="AA126" s="43" t="s">
        <v>4742</v>
      </c>
      <c r="AC126" s="42" t="s">
        <v>4684</v>
      </c>
      <c r="AD126" s="42" t="s">
        <v>4685</v>
      </c>
      <c r="AE126" s="42" t="s">
        <v>4686</v>
      </c>
      <c r="AF126" s="42" t="s">
        <v>209</v>
      </c>
      <c r="AG126" s="42" t="s">
        <v>4685</v>
      </c>
      <c r="AH126" t="s">
        <v>5434</v>
      </c>
      <c r="AI126" s="42" t="s">
        <v>4959</v>
      </c>
      <c r="AJ126" s="42" t="s">
        <v>5437</v>
      </c>
      <c r="AL126" s="42" t="s">
        <v>5438</v>
      </c>
      <c r="AM126" s="43">
        <v>106.73</v>
      </c>
      <c r="AN126" s="43">
        <v>106.73</v>
      </c>
      <c r="AO126" s="43" t="s">
        <v>70</v>
      </c>
      <c r="AQ126" s="43">
        <v>1</v>
      </c>
      <c r="AR126" s="42" t="s">
        <v>5487</v>
      </c>
      <c r="AU126" s="64"/>
      <c r="AV126" s="64">
        <v>62</v>
      </c>
      <c r="AW126" s="64" t="s">
        <v>4955</v>
      </c>
      <c r="AX126" s="64" t="s">
        <v>4744</v>
      </c>
      <c r="AY126" s="66" t="s">
        <v>478</v>
      </c>
      <c r="AZ126" s="66" t="s">
        <v>209</v>
      </c>
      <c r="BA126" s="64">
        <v>106.73</v>
      </c>
      <c r="BB126" s="64">
        <v>106.73</v>
      </c>
      <c r="BC126" s="64" t="s">
        <v>5485</v>
      </c>
      <c r="BD126" s="64" t="s">
        <v>5486</v>
      </c>
      <c r="BE126" s="64" t="s">
        <v>5485</v>
      </c>
      <c r="BF126" s="64" t="s">
        <v>5486</v>
      </c>
      <c r="BG126" s="64" t="s">
        <v>4963</v>
      </c>
      <c r="BH126" s="64" t="s">
        <v>5434</v>
      </c>
      <c r="BI126" s="64" t="s">
        <v>4868</v>
      </c>
      <c r="BJ126" s="64" t="s">
        <v>4954</v>
      </c>
      <c r="BK126" s="64" t="s">
        <v>474</v>
      </c>
      <c r="BL126" s="64" t="s">
        <v>474</v>
      </c>
      <c r="BM126" s="66" t="s">
        <v>1275</v>
      </c>
      <c r="BN126" s="66" t="s">
        <v>1468</v>
      </c>
      <c r="BO126" s="66" t="s">
        <v>1468</v>
      </c>
      <c r="BP126" s="66" t="s">
        <v>1474</v>
      </c>
      <c r="BQ126" s="66" t="s">
        <v>1479</v>
      </c>
      <c r="BR126" s="64">
        <v>2.6659999999999999</v>
      </c>
      <c r="BS126" s="64">
        <v>0.11</v>
      </c>
      <c r="BT126" s="66">
        <v>30</v>
      </c>
      <c r="BU126" s="79"/>
      <c r="BV126" s="79"/>
      <c r="BW126" s="79"/>
      <c r="BX126" s="79"/>
      <c r="BY126" s="64">
        <v>1.4590000000000001</v>
      </c>
      <c r="BZ126" s="79"/>
      <c r="CA126" s="79"/>
      <c r="CB126" s="64" t="s">
        <v>1100</v>
      </c>
      <c r="CC126" s="64" t="s">
        <v>1100</v>
      </c>
      <c r="CD126" s="79"/>
      <c r="CE126" s="79"/>
      <c r="CF126" s="79"/>
      <c r="CG126" s="79"/>
      <c r="CH126" s="64">
        <v>8.8999999999999996E-2</v>
      </c>
      <c r="CI126" s="79"/>
      <c r="CJ126" s="79"/>
      <c r="CK126" s="79"/>
      <c r="CL126" s="79"/>
      <c r="CM126" s="79"/>
      <c r="CN126" s="79"/>
      <c r="CO126" s="79"/>
      <c r="CP126" s="79"/>
      <c r="CQ126" s="79"/>
      <c r="CR126" s="79"/>
      <c r="CS126" s="79"/>
      <c r="CT126" s="79"/>
      <c r="CU126" s="79"/>
      <c r="CV126" s="79"/>
      <c r="CW126" s="79"/>
      <c r="CX126" s="79"/>
      <c r="CY126" s="79"/>
      <c r="CZ126" s="79"/>
      <c r="DA126" s="79"/>
      <c r="DB126" s="79"/>
      <c r="DC126" s="79"/>
      <c r="DD126" s="79"/>
      <c r="DE126" s="79"/>
      <c r="DF126" s="79"/>
      <c r="DG126" s="79"/>
      <c r="DH126" s="79"/>
      <c r="DI126" s="79"/>
      <c r="DJ126" s="79"/>
      <c r="DK126" s="79"/>
      <c r="DL126" s="79"/>
      <c r="DM126" s="79"/>
      <c r="DN126" s="79"/>
      <c r="DO126" s="79"/>
      <c r="DP126" s="79"/>
      <c r="DQ126" s="79"/>
      <c r="DR126" s="66"/>
      <c r="DS126" s="66"/>
      <c r="DT126" s="79"/>
      <c r="DU126" s="79"/>
      <c r="DV126" s="79"/>
      <c r="DW126" s="79"/>
      <c r="DX126" s="79"/>
      <c r="DY126" s="78"/>
    </row>
    <row r="127" spans="1:129" x14ac:dyDescent="0.35">
      <c r="A127" s="42" t="s">
        <v>4743</v>
      </c>
      <c r="B127" s="42" t="s">
        <v>4871</v>
      </c>
      <c r="C127" s="42" t="s">
        <v>209</v>
      </c>
      <c r="D127" s="43" t="s">
        <v>210</v>
      </c>
      <c r="F127" s="44" t="s">
        <v>4870</v>
      </c>
      <c r="G127" s="42" t="s">
        <v>4955</v>
      </c>
      <c r="H127" s="42" t="s">
        <v>68</v>
      </c>
      <c r="I127" s="43" t="s">
        <v>68</v>
      </c>
      <c r="J127" s="43" t="s">
        <v>68</v>
      </c>
      <c r="K127" s="43"/>
      <c r="L127" s="43" t="s">
        <v>69</v>
      </c>
      <c r="M127" s="43">
        <v>3</v>
      </c>
      <c r="N127" s="43">
        <v>3</v>
      </c>
      <c r="O127" s="43" t="s">
        <v>69</v>
      </c>
      <c r="P127" s="43">
        <v>4</v>
      </c>
      <c r="Q127" s="43">
        <v>4</v>
      </c>
      <c r="R127" s="43" t="s">
        <v>69</v>
      </c>
      <c r="S127" s="43">
        <v>5</v>
      </c>
      <c r="T127" s="43">
        <v>5</v>
      </c>
      <c r="U127" s="42" t="s">
        <v>5434</v>
      </c>
      <c r="V127" s="42">
        <v>106.75</v>
      </c>
      <c r="W127" s="42">
        <v>106.75</v>
      </c>
      <c r="X127" s="42" t="s">
        <v>5488</v>
      </c>
      <c r="Y127" s="42" t="s">
        <v>5489</v>
      </c>
      <c r="Z127" s="43" t="s">
        <v>4743</v>
      </c>
      <c r="AA127" s="43" t="s">
        <v>4742</v>
      </c>
      <c r="AC127" s="42" t="s">
        <v>4684</v>
      </c>
      <c r="AD127" s="42" t="s">
        <v>4685</v>
      </c>
      <c r="AE127" s="42" t="s">
        <v>4686</v>
      </c>
      <c r="AF127" s="42" t="s">
        <v>209</v>
      </c>
      <c r="AG127" s="42" t="s">
        <v>4685</v>
      </c>
      <c r="AH127" t="s">
        <v>5434</v>
      </c>
      <c r="AI127" s="42" t="s">
        <v>4959</v>
      </c>
      <c r="AJ127" s="42" t="s">
        <v>5437</v>
      </c>
      <c r="AL127" s="42" t="s">
        <v>5438</v>
      </c>
      <c r="AM127" s="43">
        <v>106.75</v>
      </c>
      <c r="AN127" s="43">
        <v>106.75</v>
      </c>
      <c r="AO127" s="43" t="s">
        <v>70</v>
      </c>
      <c r="AQ127" s="43">
        <v>1</v>
      </c>
      <c r="AR127" s="42" t="s">
        <v>5490</v>
      </c>
      <c r="AU127" s="64"/>
      <c r="AV127" s="64">
        <v>62</v>
      </c>
      <c r="AW127" s="64" t="s">
        <v>4955</v>
      </c>
      <c r="AX127" s="64" t="s">
        <v>4744</v>
      </c>
      <c r="AY127" s="66" t="s">
        <v>478</v>
      </c>
      <c r="AZ127" s="66" t="s">
        <v>209</v>
      </c>
      <c r="BA127" s="64">
        <v>106.75</v>
      </c>
      <c r="BB127" s="64">
        <v>106.75</v>
      </c>
      <c r="BC127" s="64" t="s">
        <v>5488</v>
      </c>
      <c r="BD127" s="64" t="s">
        <v>5489</v>
      </c>
      <c r="BE127" s="64" t="s">
        <v>5488</v>
      </c>
      <c r="BF127" s="64" t="s">
        <v>5489</v>
      </c>
      <c r="BG127" s="64" t="s">
        <v>4963</v>
      </c>
      <c r="BH127" s="64" t="s">
        <v>5434</v>
      </c>
      <c r="BI127" s="64" t="s">
        <v>4870</v>
      </c>
      <c r="BJ127" s="64" t="s">
        <v>4954</v>
      </c>
      <c r="BK127" s="64" t="s">
        <v>474</v>
      </c>
      <c r="BL127" s="64" t="s">
        <v>474</v>
      </c>
      <c r="BM127" s="66" t="s">
        <v>1275</v>
      </c>
      <c r="BN127" s="66" t="s">
        <v>1468</v>
      </c>
      <c r="BO127" s="66" t="s">
        <v>1468</v>
      </c>
      <c r="BP127" s="66" t="s">
        <v>1474</v>
      </c>
      <c r="BQ127" s="66" t="s">
        <v>1479</v>
      </c>
      <c r="BR127" s="64">
        <v>2.6659999999999999</v>
      </c>
      <c r="BS127" s="64">
        <v>0.11</v>
      </c>
      <c r="BT127" s="66">
        <v>30</v>
      </c>
      <c r="BU127" s="79"/>
      <c r="BV127" s="79"/>
      <c r="BW127" s="79"/>
      <c r="BX127" s="79"/>
      <c r="BY127" s="64">
        <v>1.4590000000000001</v>
      </c>
      <c r="BZ127" s="79"/>
      <c r="CA127" s="79"/>
      <c r="CB127" s="64" t="s">
        <v>1100</v>
      </c>
      <c r="CC127" s="64" t="s">
        <v>1100</v>
      </c>
      <c r="CD127" s="79"/>
      <c r="CE127" s="79"/>
      <c r="CF127" s="79"/>
      <c r="CG127" s="79"/>
      <c r="CH127" s="64">
        <v>8.8999999999999996E-2</v>
      </c>
      <c r="CI127" s="79"/>
      <c r="CJ127" s="79"/>
      <c r="CK127" s="79"/>
      <c r="CL127" s="79"/>
      <c r="CM127" s="79"/>
      <c r="CN127" s="79"/>
      <c r="CO127" s="79"/>
      <c r="CP127" s="79"/>
      <c r="CQ127" s="79"/>
      <c r="CR127" s="79"/>
      <c r="CS127" s="79"/>
      <c r="CT127" s="79"/>
      <c r="CU127" s="79"/>
      <c r="CV127" s="79"/>
      <c r="CW127" s="79"/>
      <c r="CX127" s="79"/>
      <c r="CY127" s="79"/>
      <c r="CZ127" s="79"/>
      <c r="DA127" s="79"/>
      <c r="DB127" s="79"/>
      <c r="DC127" s="79"/>
      <c r="DD127" s="79"/>
      <c r="DE127" s="79"/>
      <c r="DF127" s="79"/>
      <c r="DG127" s="79"/>
      <c r="DH127" s="79"/>
      <c r="DI127" s="79"/>
      <c r="DJ127" s="79"/>
      <c r="DK127" s="79"/>
      <c r="DL127" s="79"/>
      <c r="DM127" s="79"/>
      <c r="DN127" s="79"/>
      <c r="DO127" s="79"/>
      <c r="DP127" s="79"/>
      <c r="DQ127" s="79"/>
      <c r="DR127" s="66"/>
      <c r="DS127" s="66"/>
      <c r="DT127" s="79"/>
      <c r="DU127" s="79"/>
      <c r="DV127" s="79"/>
      <c r="DW127" s="79"/>
      <c r="DX127" s="79"/>
      <c r="DY127" s="78"/>
    </row>
    <row r="128" spans="1:129" x14ac:dyDescent="0.35">
      <c r="A128" s="42" t="s">
        <v>4743</v>
      </c>
      <c r="B128" s="42" t="s">
        <v>4873</v>
      </c>
      <c r="C128" s="42" t="s">
        <v>209</v>
      </c>
      <c r="D128" s="43" t="s">
        <v>210</v>
      </c>
      <c r="F128" s="44" t="s">
        <v>4872</v>
      </c>
      <c r="G128" s="42" t="s">
        <v>4955</v>
      </c>
      <c r="H128" s="42" t="s">
        <v>68</v>
      </c>
      <c r="I128" s="43" t="s">
        <v>68</v>
      </c>
      <c r="J128" s="43" t="s">
        <v>68</v>
      </c>
      <c r="K128" s="43"/>
      <c r="L128" s="43" t="s">
        <v>69</v>
      </c>
      <c r="M128" s="43">
        <v>3</v>
      </c>
      <c r="N128" s="43">
        <v>3</v>
      </c>
      <c r="O128" s="43" t="s">
        <v>69</v>
      </c>
      <c r="P128" s="43">
        <v>4</v>
      </c>
      <c r="Q128" s="43">
        <v>4</v>
      </c>
      <c r="R128" s="43" t="s">
        <v>69</v>
      </c>
      <c r="S128" s="43">
        <v>5</v>
      </c>
      <c r="T128" s="43">
        <v>5</v>
      </c>
      <c r="U128" s="42" t="s">
        <v>5434</v>
      </c>
      <c r="V128" s="42">
        <v>106.75</v>
      </c>
      <c r="W128" s="42">
        <v>106.75</v>
      </c>
      <c r="X128" s="42" t="s">
        <v>5491</v>
      </c>
      <c r="Y128" s="42" t="s">
        <v>5492</v>
      </c>
      <c r="Z128" s="43" t="s">
        <v>4743</v>
      </c>
      <c r="AA128" s="43" t="s">
        <v>4742</v>
      </c>
      <c r="AC128" s="42" t="s">
        <v>4684</v>
      </c>
      <c r="AD128" s="42" t="s">
        <v>4685</v>
      </c>
      <c r="AE128" s="42" t="s">
        <v>4686</v>
      </c>
      <c r="AF128" s="42" t="s">
        <v>209</v>
      </c>
      <c r="AG128" s="42" t="s">
        <v>4685</v>
      </c>
      <c r="AH128" t="s">
        <v>5434</v>
      </c>
      <c r="AI128" s="42" t="s">
        <v>4959</v>
      </c>
      <c r="AJ128" s="42" t="s">
        <v>5437</v>
      </c>
      <c r="AL128" s="42" t="s">
        <v>5438</v>
      </c>
      <c r="AM128" s="43">
        <v>106.75</v>
      </c>
      <c r="AN128" s="43">
        <v>106.75</v>
      </c>
      <c r="AO128" s="43" t="s">
        <v>70</v>
      </c>
      <c r="AQ128" s="43">
        <v>1</v>
      </c>
      <c r="AR128" s="42" t="s">
        <v>5493</v>
      </c>
      <c r="AU128" s="64"/>
      <c r="AV128" s="64">
        <v>62</v>
      </c>
      <c r="AW128" s="64" t="s">
        <v>4955</v>
      </c>
      <c r="AX128" s="64" t="s">
        <v>4744</v>
      </c>
      <c r="AY128" s="66" t="s">
        <v>478</v>
      </c>
      <c r="AZ128" s="66" t="s">
        <v>209</v>
      </c>
      <c r="BA128" s="64">
        <v>106.75</v>
      </c>
      <c r="BB128" s="64">
        <v>106.75</v>
      </c>
      <c r="BC128" s="64" t="s">
        <v>5491</v>
      </c>
      <c r="BD128" s="64" t="s">
        <v>5492</v>
      </c>
      <c r="BE128" s="64" t="s">
        <v>5491</v>
      </c>
      <c r="BF128" s="64" t="s">
        <v>5492</v>
      </c>
      <c r="BG128" s="64" t="s">
        <v>4963</v>
      </c>
      <c r="BH128" s="64" t="s">
        <v>5434</v>
      </c>
      <c r="BI128" s="64" t="s">
        <v>4872</v>
      </c>
      <c r="BJ128" s="64" t="s">
        <v>4954</v>
      </c>
      <c r="BK128" s="64" t="s">
        <v>474</v>
      </c>
      <c r="BL128" s="64" t="s">
        <v>474</v>
      </c>
      <c r="BM128" s="66" t="s">
        <v>1275</v>
      </c>
      <c r="BN128" s="66" t="s">
        <v>1468</v>
      </c>
      <c r="BO128" s="66" t="s">
        <v>1468</v>
      </c>
      <c r="BP128" s="66" t="s">
        <v>1474</v>
      </c>
      <c r="BQ128" s="66" t="s">
        <v>1479</v>
      </c>
      <c r="BR128" s="64">
        <v>4.7329999999999997</v>
      </c>
      <c r="BS128" s="64">
        <v>0.11</v>
      </c>
      <c r="BT128" s="66">
        <v>30</v>
      </c>
      <c r="BU128" s="79"/>
      <c r="BV128" s="79"/>
      <c r="BW128" s="79"/>
      <c r="BX128" s="79"/>
      <c r="BY128" s="64">
        <v>0.7</v>
      </c>
      <c r="BZ128" s="79"/>
      <c r="CA128" s="79"/>
      <c r="CB128" s="64" t="s">
        <v>1100</v>
      </c>
      <c r="CC128" s="64" t="s">
        <v>1100</v>
      </c>
      <c r="CD128" s="79"/>
      <c r="CE128" s="79"/>
      <c r="CF128" s="79"/>
      <c r="CG128" s="79"/>
      <c r="CH128" s="64">
        <v>8.8999999999999996E-2</v>
      </c>
      <c r="CI128" s="79"/>
      <c r="CJ128" s="79"/>
      <c r="CK128" s="79"/>
      <c r="CL128" s="79"/>
      <c r="CM128" s="79"/>
      <c r="CN128" s="79"/>
      <c r="CO128" s="79"/>
      <c r="CP128" s="79"/>
      <c r="CQ128" s="79"/>
      <c r="CR128" s="79"/>
      <c r="CS128" s="79"/>
      <c r="CT128" s="79"/>
      <c r="CU128" s="79"/>
      <c r="CV128" s="79"/>
      <c r="CW128" s="79"/>
      <c r="CX128" s="79"/>
      <c r="CY128" s="79"/>
      <c r="CZ128" s="79"/>
      <c r="DA128" s="79"/>
      <c r="DB128" s="79"/>
      <c r="DC128" s="79"/>
      <c r="DD128" s="79"/>
      <c r="DE128" s="79"/>
      <c r="DF128" s="79"/>
      <c r="DG128" s="79"/>
      <c r="DH128" s="79"/>
      <c r="DI128" s="79"/>
      <c r="DJ128" s="79"/>
      <c r="DK128" s="79"/>
      <c r="DL128" s="79"/>
      <c r="DM128" s="79"/>
      <c r="DN128" s="79"/>
      <c r="DO128" s="79"/>
      <c r="DP128" s="79"/>
      <c r="DQ128" s="79"/>
      <c r="DR128" s="66"/>
      <c r="DS128" s="66"/>
      <c r="DT128" s="79"/>
      <c r="DU128" s="79"/>
      <c r="DV128" s="79"/>
      <c r="DW128" s="79"/>
      <c r="DX128" s="79"/>
      <c r="DY128" s="78"/>
    </row>
    <row r="129" spans="1:129" x14ac:dyDescent="0.35">
      <c r="A129" s="42" t="s">
        <v>4743</v>
      </c>
      <c r="B129" s="42" t="s">
        <v>4875</v>
      </c>
      <c r="C129" s="42" t="s">
        <v>209</v>
      </c>
      <c r="D129" s="43" t="s">
        <v>210</v>
      </c>
      <c r="F129" s="44" t="s">
        <v>4874</v>
      </c>
      <c r="G129" s="42" t="s">
        <v>4955</v>
      </c>
      <c r="H129" s="42" t="s">
        <v>68</v>
      </c>
      <c r="I129" s="43" t="s">
        <v>68</v>
      </c>
      <c r="J129" s="43" t="s">
        <v>68</v>
      </c>
      <c r="K129" s="43"/>
      <c r="L129" s="43" t="s">
        <v>69</v>
      </c>
      <c r="M129" s="43">
        <v>3</v>
      </c>
      <c r="N129" s="43">
        <v>3</v>
      </c>
      <c r="O129" s="43" t="s">
        <v>69</v>
      </c>
      <c r="P129" s="43">
        <v>4</v>
      </c>
      <c r="Q129" s="43">
        <v>4</v>
      </c>
      <c r="R129" s="43" t="s">
        <v>69</v>
      </c>
      <c r="S129" s="43">
        <v>5</v>
      </c>
      <c r="T129" s="43">
        <v>5</v>
      </c>
      <c r="U129" s="42" t="s">
        <v>5434</v>
      </c>
      <c r="V129" s="42">
        <v>106.75</v>
      </c>
      <c r="W129" s="42">
        <v>106.75</v>
      </c>
      <c r="X129" s="42" t="s">
        <v>5494</v>
      </c>
      <c r="Y129" s="42" t="s">
        <v>5495</v>
      </c>
      <c r="Z129" s="43" t="s">
        <v>4743</v>
      </c>
      <c r="AA129" s="43" t="s">
        <v>4742</v>
      </c>
      <c r="AC129" s="42" t="s">
        <v>4684</v>
      </c>
      <c r="AD129" s="42" t="s">
        <v>4685</v>
      </c>
      <c r="AE129" s="42" t="s">
        <v>4686</v>
      </c>
      <c r="AF129" s="42" t="s">
        <v>209</v>
      </c>
      <c r="AG129" s="42" t="s">
        <v>4685</v>
      </c>
      <c r="AH129" t="s">
        <v>5434</v>
      </c>
      <c r="AI129" s="42" t="s">
        <v>4959</v>
      </c>
      <c r="AJ129" s="42" t="s">
        <v>5437</v>
      </c>
      <c r="AL129" s="42" t="s">
        <v>5438</v>
      </c>
      <c r="AM129" s="43">
        <v>106.75</v>
      </c>
      <c r="AN129" s="43">
        <v>106.75</v>
      </c>
      <c r="AO129" s="43" t="s">
        <v>70</v>
      </c>
      <c r="AQ129" s="43">
        <v>1</v>
      </c>
      <c r="AR129" s="42" t="s">
        <v>5496</v>
      </c>
      <c r="AU129" s="64"/>
      <c r="AV129" s="64">
        <v>62</v>
      </c>
      <c r="AW129" s="64" t="s">
        <v>4955</v>
      </c>
      <c r="AX129" s="64" t="s">
        <v>4744</v>
      </c>
      <c r="AY129" s="66" t="s">
        <v>478</v>
      </c>
      <c r="AZ129" s="66" t="s">
        <v>209</v>
      </c>
      <c r="BA129" s="64">
        <v>106.75</v>
      </c>
      <c r="BB129" s="64">
        <v>106.75</v>
      </c>
      <c r="BC129" s="64" t="s">
        <v>5494</v>
      </c>
      <c r="BD129" s="64" t="s">
        <v>5495</v>
      </c>
      <c r="BE129" s="64" t="s">
        <v>5494</v>
      </c>
      <c r="BF129" s="64" t="s">
        <v>5495</v>
      </c>
      <c r="BG129" s="64" t="s">
        <v>4963</v>
      </c>
      <c r="BH129" s="64" t="s">
        <v>5434</v>
      </c>
      <c r="BI129" s="64" t="s">
        <v>4874</v>
      </c>
      <c r="BJ129" s="64" t="s">
        <v>4954</v>
      </c>
      <c r="BK129" s="64" t="s">
        <v>474</v>
      </c>
      <c r="BL129" s="64" t="s">
        <v>474</v>
      </c>
      <c r="BM129" s="66" t="s">
        <v>1275</v>
      </c>
      <c r="BN129" s="66" t="s">
        <v>1468</v>
      </c>
      <c r="BO129" s="66" t="s">
        <v>1468</v>
      </c>
      <c r="BP129" s="66" t="s">
        <v>1474</v>
      </c>
      <c r="BQ129" s="66" t="s">
        <v>1479</v>
      </c>
      <c r="BR129" s="64">
        <v>1.478</v>
      </c>
      <c r="BS129" s="64">
        <v>0.02</v>
      </c>
      <c r="BT129" s="66">
        <v>30</v>
      </c>
      <c r="BU129" s="79"/>
      <c r="BV129" s="79"/>
      <c r="BW129" s="79"/>
      <c r="BX129" s="79"/>
      <c r="BY129" s="64">
        <v>0.55400000000000005</v>
      </c>
      <c r="BZ129" s="79"/>
      <c r="CA129" s="79"/>
      <c r="CB129" s="64" t="s">
        <v>1100</v>
      </c>
      <c r="CC129" s="64" t="s">
        <v>1100</v>
      </c>
      <c r="CD129" s="79"/>
      <c r="CE129" s="79"/>
      <c r="CF129" s="79"/>
      <c r="CG129" s="79"/>
      <c r="CH129" s="64">
        <v>8.8999999999999996E-2</v>
      </c>
      <c r="CI129" s="79"/>
      <c r="CJ129" s="79"/>
      <c r="CK129" s="79"/>
      <c r="CL129" s="79"/>
      <c r="CM129" s="79"/>
      <c r="CN129" s="79"/>
      <c r="CO129" s="79"/>
      <c r="CP129" s="79"/>
      <c r="CQ129" s="79"/>
      <c r="CR129" s="79"/>
      <c r="CS129" s="79"/>
      <c r="CT129" s="79"/>
      <c r="CU129" s="79"/>
      <c r="CV129" s="79"/>
      <c r="CW129" s="79"/>
      <c r="CX129" s="79"/>
      <c r="CY129" s="79"/>
      <c r="CZ129" s="79"/>
      <c r="DA129" s="79"/>
      <c r="DB129" s="79"/>
      <c r="DC129" s="79"/>
      <c r="DD129" s="79"/>
      <c r="DE129" s="79"/>
      <c r="DF129" s="79"/>
      <c r="DG129" s="79"/>
      <c r="DH129" s="79"/>
      <c r="DI129" s="79"/>
      <c r="DJ129" s="79"/>
      <c r="DK129" s="79"/>
      <c r="DL129" s="79"/>
      <c r="DM129" s="79"/>
      <c r="DN129" s="79"/>
      <c r="DO129" s="79"/>
      <c r="DP129" s="79"/>
      <c r="DQ129" s="79"/>
      <c r="DR129" s="66"/>
      <c r="DS129" s="66"/>
      <c r="DT129" s="79"/>
      <c r="DU129" s="79"/>
      <c r="DV129" s="79"/>
      <c r="DW129" s="79"/>
      <c r="DX129" s="79"/>
      <c r="DY129" s="78"/>
    </row>
    <row r="130" spans="1:129" x14ac:dyDescent="0.35">
      <c r="A130" s="42" t="s">
        <v>4743</v>
      </c>
      <c r="B130" s="42" t="s">
        <v>4877</v>
      </c>
      <c r="C130" s="42" t="s">
        <v>209</v>
      </c>
      <c r="D130" s="43" t="s">
        <v>210</v>
      </c>
      <c r="F130" s="44" t="s">
        <v>4876</v>
      </c>
      <c r="G130" s="42" t="s">
        <v>4955</v>
      </c>
      <c r="H130" s="42" t="s">
        <v>68</v>
      </c>
      <c r="I130" s="43" t="s">
        <v>68</v>
      </c>
      <c r="J130" s="43" t="s">
        <v>68</v>
      </c>
      <c r="K130" s="43"/>
      <c r="L130" s="43" t="s">
        <v>69</v>
      </c>
      <c r="M130" s="43">
        <v>3</v>
      </c>
      <c r="N130" s="43">
        <v>3</v>
      </c>
      <c r="O130" s="43" t="s">
        <v>69</v>
      </c>
      <c r="P130" s="43">
        <v>4</v>
      </c>
      <c r="Q130" s="43">
        <v>4</v>
      </c>
      <c r="R130" s="43" t="s">
        <v>69</v>
      </c>
      <c r="S130" s="43">
        <v>5</v>
      </c>
      <c r="T130" s="43">
        <v>5</v>
      </c>
      <c r="U130" s="42" t="s">
        <v>5434</v>
      </c>
      <c r="V130" s="42">
        <v>106.75</v>
      </c>
      <c r="W130" s="42">
        <v>106.75</v>
      </c>
      <c r="X130" s="42" t="s">
        <v>5497</v>
      </c>
      <c r="Y130" s="42" t="s">
        <v>5453</v>
      </c>
      <c r="Z130" s="43" t="s">
        <v>4743</v>
      </c>
      <c r="AA130" s="43" t="s">
        <v>4742</v>
      </c>
      <c r="AC130" s="42" t="s">
        <v>4684</v>
      </c>
      <c r="AD130" s="42" t="s">
        <v>4685</v>
      </c>
      <c r="AE130" s="42" t="s">
        <v>4686</v>
      </c>
      <c r="AF130" s="42" t="s">
        <v>209</v>
      </c>
      <c r="AG130" s="42" t="s">
        <v>4685</v>
      </c>
      <c r="AH130" t="s">
        <v>5434</v>
      </c>
      <c r="AI130" s="42" t="s">
        <v>4959</v>
      </c>
      <c r="AJ130" s="42" t="s">
        <v>5437</v>
      </c>
      <c r="AL130" s="42" t="s">
        <v>5438</v>
      </c>
      <c r="AM130" s="43">
        <v>106.75</v>
      </c>
      <c r="AN130" s="43">
        <v>106.75</v>
      </c>
      <c r="AO130" s="43" t="s">
        <v>70</v>
      </c>
      <c r="AQ130" s="43">
        <v>1</v>
      </c>
      <c r="AR130" s="42" t="s">
        <v>5498</v>
      </c>
      <c r="AU130" s="64"/>
      <c r="AV130" s="64">
        <v>62</v>
      </c>
      <c r="AW130" s="64" t="s">
        <v>4955</v>
      </c>
      <c r="AX130" s="64" t="s">
        <v>4744</v>
      </c>
      <c r="AY130" s="66" t="s">
        <v>478</v>
      </c>
      <c r="AZ130" s="66" t="s">
        <v>209</v>
      </c>
      <c r="BA130" s="64">
        <v>106.75</v>
      </c>
      <c r="BB130" s="64">
        <v>106.75</v>
      </c>
      <c r="BC130" s="64" t="s">
        <v>5497</v>
      </c>
      <c r="BD130" s="64" t="s">
        <v>5453</v>
      </c>
      <c r="BE130" s="64" t="s">
        <v>5497</v>
      </c>
      <c r="BF130" s="64" t="s">
        <v>5453</v>
      </c>
      <c r="BG130" s="64" t="s">
        <v>4963</v>
      </c>
      <c r="BH130" s="64" t="s">
        <v>5434</v>
      </c>
      <c r="BI130" s="64" t="s">
        <v>4876</v>
      </c>
      <c r="BJ130" s="64" t="s">
        <v>4954</v>
      </c>
      <c r="BK130" s="64" t="s">
        <v>474</v>
      </c>
      <c r="BL130" s="64" t="s">
        <v>474</v>
      </c>
      <c r="BM130" s="66" t="s">
        <v>1275</v>
      </c>
      <c r="BN130" s="66" t="s">
        <v>1468</v>
      </c>
      <c r="BO130" s="66" t="s">
        <v>1468</v>
      </c>
      <c r="BP130" s="66" t="s">
        <v>1474</v>
      </c>
      <c r="BQ130" s="66" t="s">
        <v>1479</v>
      </c>
      <c r="BR130" s="64">
        <v>4.7350000000000003</v>
      </c>
      <c r="BS130" s="64">
        <v>0.11</v>
      </c>
      <c r="BT130" s="66">
        <v>30</v>
      </c>
      <c r="BU130" s="79"/>
      <c r="BV130" s="79"/>
      <c r="BW130" s="79"/>
      <c r="BX130" s="79"/>
      <c r="BY130" s="64">
        <v>0.65</v>
      </c>
      <c r="BZ130" s="79"/>
      <c r="CA130" s="79"/>
      <c r="CB130" s="64" t="s">
        <v>1100</v>
      </c>
      <c r="CC130" s="64" t="s">
        <v>1100</v>
      </c>
      <c r="CD130" s="79"/>
      <c r="CE130" s="79"/>
      <c r="CF130" s="79"/>
      <c r="CG130" s="79"/>
      <c r="CH130" s="64">
        <v>8.8999999999999996E-2</v>
      </c>
      <c r="CI130" s="79"/>
      <c r="CJ130" s="79"/>
      <c r="CK130" s="79"/>
      <c r="CL130" s="79"/>
      <c r="CM130" s="79"/>
      <c r="CN130" s="79"/>
      <c r="CO130" s="79"/>
      <c r="CP130" s="79"/>
      <c r="CQ130" s="79"/>
      <c r="CR130" s="79"/>
      <c r="CS130" s="79"/>
      <c r="CT130" s="79"/>
      <c r="CU130" s="79"/>
      <c r="CV130" s="79"/>
      <c r="CW130" s="79"/>
      <c r="CX130" s="79"/>
      <c r="CY130" s="79"/>
      <c r="CZ130" s="79"/>
      <c r="DA130" s="79"/>
      <c r="DB130" s="79"/>
      <c r="DC130" s="79"/>
      <c r="DD130" s="79"/>
      <c r="DE130" s="79"/>
      <c r="DF130" s="79"/>
      <c r="DG130" s="79"/>
      <c r="DH130" s="79"/>
      <c r="DI130" s="79"/>
      <c r="DJ130" s="79"/>
      <c r="DK130" s="79"/>
      <c r="DL130" s="79"/>
      <c r="DM130" s="79"/>
      <c r="DN130" s="79"/>
      <c r="DO130" s="79"/>
      <c r="DP130" s="79"/>
      <c r="DQ130" s="79"/>
      <c r="DR130" s="66"/>
      <c r="DS130" s="66"/>
      <c r="DT130" s="79"/>
      <c r="DU130" s="79"/>
      <c r="DV130" s="79"/>
      <c r="DW130" s="79"/>
      <c r="DX130" s="79"/>
      <c r="DY130" s="78"/>
    </row>
    <row r="131" spans="1:129" x14ac:dyDescent="0.35">
      <c r="A131" s="42" t="s">
        <v>4743</v>
      </c>
      <c r="B131" s="42" t="s">
        <v>4879</v>
      </c>
      <c r="C131" s="42" t="s">
        <v>209</v>
      </c>
      <c r="D131" s="43" t="s">
        <v>210</v>
      </c>
      <c r="F131" s="44" t="s">
        <v>4878</v>
      </c>
      <c r="G131" s="42" t="s">
        <v>4955</v>
      </c>
      <c r="H131" s="42" t="s">
        <v>68</v>
      </c>
      <c r="I131" s="43" t="s">
        <v>68</v>
      </c>
      <c r="J131" s="43" t="s">
        <v>68</v>
      </c>
      <c r="K131" s="43"/>
      <c r="L131" s="43" t="s">
        <v>69</v>
      </c>
      <c r="M131" s="43">
        <v>3</v>
      </c>
      <c r="N131" s="43">
        <v>3</v>
      </c>
      <c r="O131" s="43" t="s">
        <v>69</v>
      </c>
      <c r="P131" s="43">
        <v>4</v>
      </c>
      <c r="Q131" s="43">
        <v>4</v>
      </c>
      <c r="R131" s="43" t="s">
        <v>69</v>
      </c>
      <c r="S131" s="43">
        <v>5</v>
      </c>
      <c r="T131" s="43">
        <v>5</v>
      </c>
      <c r="U131" s="42" t="s">
        <v>5434</v>
      </c>
      <c r="V131" s="42">
        <v>106.74</v>
      </c>
      <c r="W131" s="42">
        <v>106.75</v>
      </c>
      <c r="X131" s="42" t="s">
        <v>5499</v>
      </c>
      <c r="Y131" s="42" t="s">
        <v>5500</v>
      </c>
      <c r="Z131" s="43" t="s">
        <v>4743</v>
      </c>
      <c r="AA131" s="43" t="s">
        <v>4742</v>
      </c>
      <c r="AC131" s="42" t="s">
        <v>4684</v>
      </c>
      <c r="AD131" s="42" t="s">
        <v>4685</v>
      </c>
      <c r="AE131" s="42" t="s">
        <v>4686</v>
      </c>
      <c r="AF131" s="42" t="s">
        <v>209</v>
      </c>
      <c r="AG131" s="42" t="s">
        <v>4685</v>
      </c>
      <c r="AH131" t="s">
        <v>5434</v>
      </c>
      <c r="AI131" s="42" t="s">
        <v>4959</v>
      </c>
      <c r="AJ131" s="42" t="s">
        <v>5437</v>
      </c>
      <c r="AL131" s="42" t="s">
        <v>5438</v>
      </c>
      <c r="AM131" s="43">
        <v>106.74</v>
      </c>
      <c r="AN131" s="43">
        <v>106.75</v>
      </c>
      <c r="AO131" s="43" t="s">
        <v>70</v>
      </c>
      <c r="AQ131" s="43">
        <v>1</v>
      </c>
      <c r="AR131" s="42" t="s">
        <v>5501</v>
      </c>
      <c r="AU131" s="64"/>
      <c r="AV131" s="64">
        <v>62</v>
      </c>
      <c r="AW131" s="64" t="s">
        <v>4955</v>
      </c>
      <c r="AX131" s="64" t="s">
        <v>4744</v>
      </c>
      <c r="AY131" s="66" t="s">
        <v>478</v>
      </c>
      <c r="AZ131" s="66" t="s">
        <v>209</v>
      </c>
      <c r="BA131" s="64">
        <v>106.74</v>
      </c>
      <c r="BB131" s="64">
        <v>106.75</v>
      </c>
      <c r="BC131" s="64" t="s">
        <v>5499</v>
      </c>
      <c r="BD131" s="64" t="s">
        <v>5500</v>
      </c>
      <c r="BE131" s="64" t="s">
        <v>5499</v>
      </c>
      <c r="BF131" s="64" t="s">
        <v>5500</v>
      </c>
      <c r="BG131" s="64" t="s">
        <v>4963</v>
      </c>
      <c r="BH131" s="64" t="s">
        <v>5434</v>
      </c>
      <c r="BI131" s="64" t="s">
        <v>4878</v>
      </c>
      <c r="BJ131" s="64" t="s">
        <v>4954</v>
      </c>
      <c r="BK131" s="64" t="s">
        <v>474</v>
      </c>
      <c r="BL131" s="64" t="s">
        <v>474</v>
      </c>
      <c r="BM131" s="66" t="s">
        <v>1275</v>
      </c>
      <c r="BN131" s="66" t="s">
        <v>1468</v>
      </c>
      <c r="BO131" s="66" t="s">
        <v>1468</v>
      </c>
      <c r="BP131" s="66" t="s">
        <v>1474</v>
      </c>
      <c r="BQ131" s="66" t="s">
        <v>1479</v>
      </c>
      <c r="BR131" s="64">
        <v>1.478</v>
      </c>
      <c r="BS131" s="64">
        <v>0.02</v>
      </c>
      <c r="BT131" s="66">
        <v>30</v>
      </c>
      <c r="BU131" s="79"/>
      <c r="BV131" s="79"/>
      <c r="BW131" s="79"/>
      <c r="BX131" s="79"/>
      <c r="BY131" s="64">
        <v>0.54400000000000004</v>
      </c>
      <c r="BZ131" s="79"/>
      <c r="CA131" s="79"/>
      <c r="CB131" s="64" t="s">
        <v>1100</v>
      </c>
      <c r="CC131" s="64" t="s">
        <v>1100</v>
      </c>
      <c r="CD131" s="79"/>
      <c r="CE131" s="79"/>
      <c r="CF131" s="79"/>
      <c r="CG131" s="79"/>
      <c r="CH131" s="64">
        <v>8.8999999999999996E-2</v>
      </c>
      <c r="CI131" s="79"/>
      <c r="CJ131" s="79"/>
      <c r="CK131" s="79"/>
      <c r="CL131" s="79"/>
      <c r="CM131" s="79"/>
      <c r="CN131" s="79"/>
      <c r="CO131" s="79"/>
      <c r="CP131" s="79"/>
      <c r="CQ131" s="79"/>
      <c r="CR131" s="79"/>
      <c r="CS131" s="79"/>
      <c r="CT131" s="79"/>
      <c r="CU131" s="79"/>
      <c r="CV131" s="79"/>
      <c r="CW131" s="79"/>
      <c r="CX131" s="79"/>
      <c r="CY131" s="79"/>
      <c r="CZ131" s="79"/>
      <c r="DA131" s="79"/>
      <c r="DB131" s="79"/>
      <c r="DC131" s="79"/>
      <c r="DD131" s="79"/>
      <c r="DE131" s="79"/>
      <c r="DF131" s="79"/>
      <c r="DG131" s="79"/>
      <c r="DH131" s="79"/>
      <c r="DI131" s="79"/>
      <c r="DJ131" s="79"/>
      <c r="DK131" s="79"/>
      <c r="DL131" s="79"/>
      <c r="DM131" s="79"/>
      <c r="DN131" s="79"/>
      <c r="DO131" s="79"/>
      <c r="DP131" s="79"/>
      <c r="DQ131" s="79"/>
      <c r="DR131" s="66"/>
      <c r="DS131" s="66"/>
      <c r="DT131" s="79"/>
      <c r="DU131" s="79"/>
      <c r="DV131" s="79"/>
      <c r="DW131" s="79"/>
      <c r="DX131" s="79"/>
      <c r="DY131" s="78"/>
    </row>
    <row r="132" spans="1:129" x14ac:dyDescent="0.35">
      <c r="A132" s="42" t="s">
        <v>4743</v>
      </c>
      <c r="B132" s="42" t="s">
        <v>4881</v>
      </c>
      <c r="C132" s="42" t="s">
        <v>209</v>
      </c>
      <c r="D132" s="43" t="s">
        <v>210</v>
      </c>
      <c r="F132" s="44" t="s">
        <v>4880</v>
      </c>
      <c r="G132" s="42" t="s">
        <v>4955</v>
      </c>
      <c r="H132" s="42" t="s">
        <v>68</v>
      </c>
      <c r="I132" s="43" t="s">
        <v>68</v>
      </c>
      <c r="J132" s="43" t="s">
        <v>68</v>
      </c>
      <c r="K132" s="43"/>
      <c r="L132" s="43" t="s">
        <v>69</v>
      </c>
      <c r="M132" s="43">
        <v>3</v>
      </c>
      <c r="N132" s="43">
        <v>3</v>
      </c>
      <c r="O132" s="43" t="s">
        <v>69</v>
      </c>
      <c r="P132" s="43">
        <v>4</v>
      </c>
      <c r="Q132" s="43">
        <v>4</v>
      </c>
      <c r="R132" s="43" t="s">
        <v>69</v>
      </c>
      <c r="S132" s="43">
        <v>5</v>
      </c>
      <c r="T132" s="43">
        <v>5</v>
      </c>
      <c r="U132" s="42" t="s">
        <v>5434</v>
      </c>
      <c r="V132" s="42">
        <v>106.74</v>
      </c>
      <c r="W132" s="42">
        <v>106.74</v>
      </c>
      <c r="X132" s="42" t="s">
        <v>5502</v>
      </c>
      <c r="Y132" s="42" t="s">
        <v>5503</v>
      </c>
      <c r="Z132" s="43" t="s">
        <v>4743</v>
      </c>
      <c r="AA132" s="43" t="s">
        <v>4742</v>
      </c>
      <c r="AC132" s="42" t="s">
        <v>4684</v>
      </c>
      <c r="AD132" s="42" t="s">
        <v>4685</v>
      </c>
      <c r="AE132" s="42" t="s">
        <v>4686</v>
      </c>
      <c r="AF132" s="42" t="s">
        <v>209</v>
      </c>
      <c r="AG132" s="42" t="s">
        <v>4685</v>
      </c>
      <c r="AH132" t="s">
        <v>5434</v>
      </c>
      <c r="AI132" s="42" t="s">
        <v>4959</v>
      </c>
      <c r="AJ132" s="42" t="s">
        <v>5437</v>
      </c>
      <c r="AL132" s="42" t="s">
        <v>5438</v>
      </c>
      <c r="AM132" s="43">
        <v>106.74</v>
      </c>
      <c r="AN132" s="43">
        <v>106.74</v>
      </c>
      <c r="AO132" s="43" t="s">
        <v>70</v>
      </c>
      <c r="AQ132" s="43">
        <v>1</v>
      </c>
      <c r="AR132" s="42" t="s">
        <v>5504</v>
      </c>
      <c r="AU132" s="64"/>
      <c r="AV132" s="64">
        <v>62</v>
      </c>
      <c r="AW132" s="64" t="s">
        <v>4955</v>
      </c>
      <c r="AX132" s="64" t="s">
        <v>4744</v>
      </c>
      <c r="AY132" s="66" t="s">
        <v>478</v>
      </c>
      <c r="AZ132" s="66" t="s">
        <v>209</v>
      </c>
      <c r="BA132" s="64">
        <v>106.74</v>
      </c>
      <c r="BB132" s="64">
        <v>106.74</v>
      </c>
      <c r="BC132" s="64" t="s">
        <v>5502</v>
      </c>
      <c r="BD132" s="64" t="s">
        <v>5503</v>
      </c>
      <c r="BE132" s="64" t="s">
        <v>5502</v>
      </c>
      <c r="BF132" s="64" t="s">
        <v>5503</v>
      </c>
      <c r="BG132" s="64" t="s">
        <v>4963</v>
      </c>
      <c r="BH132" s="64" t="s">
        <v>5434</v>
      </c>
      <c r="BI132" s="64" t="s">
        <v>4880</v>
      </c>
      <c r="BJ132" s="64" t="s">
        <v>4954</v>
      </c>
      <c r="BK132" s="64" t="s">
        <v>474</v>
      </c>
      <c r="BL132" s="64" t="s">
        <v>474</v>
      </c>
      <c r="BM132" s="66" t="s">
        <v>1275</v>
      </c>
      <c r="BN132" s="66" t="s">
        <v>1468</v>
      </c>
      <c r="BO132" s="66" t="s">
        <v>1468</v>
      </c>
      <c r="BP132" s="66" t="s">
        <v>1474</v>
      </c>
      <c r="BQ132" s="66" t="s">
        <v>1479</v>
      </c>
      <c r="BR132" s="64">
        <v>4.7359999999999998</v>
      </c>
      <c r="BS132" s="64">
        <v>0.22</v>
      </c>
      <c r="BT132" s="66">
        <v>30</v>
      </c>
      <c r="BU132" s="79"/>
      <c r="BV132" s="79"/>
      <c r="BW132" s="79"/>
      <c r="BX132" s="79"/>
      <c r="BY132" s="64">
        <v>1.3939999999999999</v>
      </c>
      <c r="BZ132" s="79"/>
      <c r="CA132" s="79"/>
      <c r="CB132" s="64" t="s">
        <v>1100</v>
      </c>
      <c r="CC132" s="64" t="s">
        <v>1100</v>
      </c>
      <c r="CD132" s="79"/>
      <c r="CE132" s="79"/>
      <c r="CF132" s="79"/>
      <c r="CG132" s="79"/>
      <c r="CH132" s="64">
        <v>8.8999999999999996E-2</v>
      </c>
      <c r="CI132" s="79"/>
      <c r="CJ132" s="79"/>
      <c r="CK132" s="79"/>
      <c r="CL132" s="79"/>
      <c r="CM132" s="79"/>
      <c r="CN132" s="79"/>
      <c r="CO132" s="79"/>
      <c r="CP132" s="79"/>
      <c r="CQ132" s="79"/>
      <c r="CR132" s="79"/>
      <c r="CS132" s="79"/>
      <c r="CT132" s="79"/>
      <c r="CU132" s="79"/>
      <c r="CV132" s="79"/>
      <c r="CW132" s="79"/>
      <c r="CX132" s="79"/>
      <c r="CY132" s="79"/>
      <c r="CZ132" s="79"/>
      <c r="DA132" s="79"/>
      <c r="DB132" s="79"/>
      <c r="DC132" s="79"/>
      <c r="DD132" s="79"/>
      <c r="DE132" s="79"/>
      <c r="DF132" s="79"/>
      <c r="DG132" s="79"/>
      <c r="DH132" s="79"/>
      <c r="DI132" s="79"/>
      <c r="DJ132" s="79"/>
      <c r="DK132" s="79"/>
      <c r="DL132" s="79"/>
      <c r="DM132" s="79"/>
      <c r="DN132" s="79"/>
      <c r="DO132" s="79"/>
      <c r="DP132" s="79"/>
      <c r="DQ132" s="79"/>
      <c r="DR132" s="66"/>
      <c r="DS132" s="66"/>
      <c r="DT132" s="79"/>
      <c r="DU132" s="79"/>
      <c r="DV132" s="79"/>
      <c r="DW132" s="79"/>
      <c r="DX132" s="79"/>
      <c r="DY132" s="78"/>
    </row>
    <row r="133" spans="1:129" x14ac:dyDescent="0.35">
      <c r="A133" s="42" t="s">
        <v>4743</v>
      </c>
      <c r="B133" s="42" t="s">
        <v>4883</v>
      </c>
      <c r="C133" s="42" t="s">
        <v>209</v>
      </c>
      <c r="D133" s="43" t="s">
        <v>210</v>
      </c>
      <c r="F133" s="44" t="s">
        <v>4882</v>
      </c>
      <c r="G133" s="42" t="s">
        <v>4955</v>
      </c>
      <c r="H133" s="42" t="s">
        <v>68</v>
      </c>
      <c r="I133" s="43" t="s">
        <v>68</v>
      </c>
      <c r="J133" s="43" t="s">
        <v>68</v>
      </c>
      <c r="K133" s="43"/>
      <c r="L133" s="43" t="s">
        <v>69</v>
      </c>
      <c r="M133" s="43">
        <v>3</v>
      </c>
      <c r="N133" s="43">
        <v>3</v>
      </c>
      <c r="O133" s="43" t="s">
        <v>69</v>
      </c>
      <c r="P133" s="43">
        <v>4</v>
      </c>
      <c r="Q133" s="43">
        <v>4</v>
      </c>
      <c r="R133" s="43" t="s">
        <v>69</v>
      </c>
      <c r="S133" s="43">
        <v>5</v>
      </c>
      <c r="T133" s="43">
        <v>5</v>
      </c>
      <c r="U133" s="42" t="s">
        <v>5434</v>
      </c>
      <c r="V133" s="42">
        <v>106.74</v>
      </c>
      <c r="W133" s="42">
        <v>106.74</v>
      </c>
      <c r="X133" s="42" t="s">
        <v>5505</v>
      </c>
      <c r="Y133" s="42" t="s">
        <v>5506</v>
      </c>
      <c r="Z133" s="43" t="s">
        <v>4743</v>
      </c>
      <c r="AA133" s="43" t="s">
        <v>4742</v>
      </c>
      <c r="AC133" s="42" t="s">
        <v>4684</v>
      </c>
      <c r="AD133" s="42" t="s">
        <v>4685</v>
      </c>
      <c r="AE133" s="42" t="s">
        <v>4686</v>
      </c>
      <c r="AF133" s="42" t="s">
        <v>209</v>
      </c>
      <c r="AG133" s="42" t="s">
        <v>4685</v>
      </c>
      <c r="AH133" t="s">
        <v>5434</v>
      </c>
      <c r="AI133" s="42" t="s">
        <v>4959</v>
      </c>
      <c r="AJ133" s="42" t="s">
        <v>5437</v>
      </c>
      <c r="AL133" s="42" t="s">
        <v>5438</v>
      </c>
      <c r="AM133" s="43">
        <v>106.74</v>
      </c>
      <c r="AN133" s="43">
        <v>106.74</v>
      </c>
      <c r="AO133" s="43" t="s">
        <v>70</v>
      </c>
      <c r="AQ133" s="43">
        <v>1</v>
      </c>
      <c r="AR133" s="42" t="s">
        <v>5507</v>
      </c>
      <c r="AU133" s="64"/>
      <c r="AV133" s="64">
        <v>62</v>
      </c>
      <c r="AW133" s="64" t="s">
        <v>4955</v>
      </c>
      <c r="AX133" s="64" t="s">
        <v>4744</v>
      </c>
      <c r="AY133" s="66" t="s">
        <v>478</v>
      </c>
      <c r="AZ133" s="66" t="s">
        <v>209</v>
      </c>
      <c r="BA133" s="64">
        <v>106.74</v>
      </c>
      <c r="BB133" s="64">
        <v>106.74</v>
      </c>
      <c r="BC133" s="64" t="s">
        <v>5505</v>
      </c>
      <c r="BD133" s="64" t="s">
        <v>5506</v>
      </c>
      <c r="BE133" s="64" t="s">
        <v>5505</v>
      </c>
      <c r="BF133" s="64" t="s">
        <v>5506</v>
      </c>
      <c r="BG133" s="64" t="s">
        <v>4963</v>
      </c>
      <c r="BH133" s="64" t="s">
        <v>5434</v>
      </c>
      <c r="BI133" s="64" t="s">
        <v>4882</v>
      </c>
      <c r="BJ133" s="64" t="s">
        <v>4954</v>
      </c>
      <c r="BK133" s="64" t="s">
        <v>474</v>
      </c>
      <c r="BL133" s="64" t="s">
        <v>474</v>
      </c>
      <c r="BM133" s="66" t="s">
        <v>1275</v>
      </c>
      <c r="BN133" s="66" t="s">
        <v>1468</v>
      </c>
      <c r="BO133" s="66" t="s">
        <v>1468</v>
      </c>
      <c r="BP133" s="66" t="s">
        <v>1474</v>
      </c>
      <c r="BQ133" s="66" t="s">
        <v>1479</v>
      </c>
      <c r="BR133" s="64">
        <v>3.415</v>
      </c>
      <c r="BS133" s="64">
        <v>0.14000000000000001</v>
      </c>
      <c r="BT133" s="66">
        <v>30</v>
      </c>
      <c r="BU133" s="79"/>
      <c r="BV133" s="79"/>
      <c r="BW133" s="79"/>
      <c r="BX133" s="79"/>
      <c r="BY133" s="64">
        <v>1.351</v>
      </c>
      <c r="BZ133" s="79"/>
      <c r="CA133" s="79"/>
      <c r="CB133" s="64" t="s">
        <v>1100</v>
      </c>
      <c r="CC133" s="64" t="s">
        <v>1100</v>
      </c>
      <c r="CD133" s="79"/>
      <c r="CE133" s="79"/>
      <c r="CF133" s="79"/>
      <c r="CG133" s="79"/>
      <c r="CH133" s="64">
        <v>8.8999999999999996E-2</v>
      </c>
      <c r="CI133" s="79"/>
      <c r="CJ133" s="79"/>
      <c r="CK133" s="79"/>
      <c r="CL133" s="79"/>
      <c r="CM133" s="79"/>
      <c r="CN133" s="79"/>
      <c r="CO133" s="79"/>
      <c r="CP133" s="79"/>
      <c r="CQ133" s="79"/>
      <c r="CR133" s="79"/>
      <c r="CS133" s="79"/>
      <c r="CT133" s="79"/>
      <c r="CU133" s="79"/>
      <c r="CV133" s="79"/>
      <c r="CW133" s="79"/>
      <c r="CX133" s="79"/>
      <c r="CY133" s="79"/>
      <c r="CZ133" s="79"/>
      <c r="DA133" s="79"/>
      <c r="DB133" s="79"/>
      <c r="DC133" s="79"/>
      <c r="DD133" s="79"/>
      <c r="DE133" s="79"/>
      <c r="DF133" s="79"/>
      <c r="DG133" s="79"/>
      <c r="DH133" s="79"/>
      <c r="DI133" s="79"/>
      <c r="DJ133" s="79"/>
      <c r="DK133" s="79"/>
      <c r="DL133" s="79"/>
      <c r="DM133" s="79"/>
      <c r="DN133" s="79"/>
      <c r="DO133" s="79"/>
      <c r="DP133" s="79"/>
      <c r="DQ133" s="79"/>
      <c r="DR133" s="66"/>
      <c r="DS133" s="66"/>
      <c r="DT133" s="79"/>
      <c r="DU133" s="79"/>
      <c r="DV133" s="79"/>
      <c r="DW133" s="79"/>
      <c r="DX133" s="79"/>
      <c r="DY133" s="78"/>
    </row>
    <row r="134" spans="1:129" x14ac:dyDescent="0.35">
      <c r="A134" s="42" t="s">
        <v>4743</v>
      </c>
      <c r="B134" s="42" t="s">
        <v>4885</v>
      </c>
      <c r="C134" s="42" t="s">
        <v>209</v>
      </c>
      <c r="D134" s="43" t="s">
        <v>210</v>
      </c>
      <c r="F134" s="44" t="s">
        <v>4884</v>
      </c>
      <c r="G134" s="42" t="s">
        <v>4955</v>
      </c>
      <c r="H134" s="42" t="s">
        <v>68</v>
      </c>
      <c r="I134" s="43" t="s">
        <v>68</v>
      </c>
      <c r="J134" s="43" t="s">
        <v>68</v>
      </c>
      <c r="K134" s="43"/>
      <c r="L134" s="43" t="s">
        <v>69</v>
      </c>
      <c r="M134" s="43">
        <v>3</v>
      </c>
      <c r="N134" s="43">
        <v>3</v>
      </c>
      <c r="O134" s="43" t="s">
        <v>69</v>
      </c>
      <c r="P134" s="43">
        <v>4</v>
      </c>
      <c r="Q134" s="43">
        <v>4</v>
      </c>
      <c r="R134" s="43" t="s">
        <v>69</v>
      </c>
      <c r="S134" s="43">
        <v>5</v>
      </c>
      <c r="T134" s="43">
        <v>5</v>
      </c>
      <c r="U134" s="42" t="s">
        <v>5434</v>
      </c>
      <c r="V134" s="42">
        <v>106.74</v>
      </c>
      <c r="W134" s="42">
        <v>106.74</v>
      </c>
      <c r="X134" s="42" t="s">
        <v>5508</v>
      </c>
      <c r="Y134" s="42" t="s">
        <v>5509</v>
      </c>
      <c r="Z134" s="43" t="s">
        <v>4743</v>
      </c>
      <c r="AA134" s="43" t="s">
        <v>4742</v>
      </c>
      <c r="AC134" s="42" t="s">
        <v>4684</v>
      </c>
      <c r="AD134" s="42" t="s">
        <v>4685</v>
      </c>
      <c r="AE134" s="42" t="s">
        <v>4686</v>
      </c>
      <c r="AF134" s="42" t="s">
        <v>209</v>
      </c>
      <c r="AG134" s="42" t="s">
        <v>4685</v>
      </c>
      <c r="AH134" t="s">
        <v>5434</v>
      </c>
      <c r="AI134" s="42" t="s">
        <v>4959</v>
      </c>
      <c r="AJ134" s="42" t="s">
        <v>5437</v>
      </c>
      <c r="AL134" s="42" t="s">
        <v>5438</v>
      </c>
      <c r="AM134" s="43">
        <v>106.74</v>
      </c>
      <c r="AN134" s="43">
        <v>106.74</v>
      </c>
      <c r="AO134" s="43" t="s">
        <v>70</v>
      </c>
      <c r="AQ134" s="43">
        <v>1</v>
      </c>
      <c r="AR134" s="42" t="s">
        <v>5510</v>
      </c>
      <c r="AU134" s="64"/>
      <c r="AV134" s="64">
        <v>62</v>
      </c>
      <c r="AW134" s="64" t="s">
        <v>4955</v>
      </c>
      <c r="AX134" s="64" t="s">
        <v>4744</v>
      </c>
      <c r="AY134" s="66" t="s">
        <v>478</v>
      </c>
      <c r="AZ134" s="66" t="s">
        <v>209</v>
      </c>
      <c r="BA134" s="64">
        <v>106.74</v>
      </c>
      <c r="BB134" s="64">
        <v>106.74</v>
      </c>
      <c r="BC134" s="64" t="s">
        <v>5508</v>
      </c>
      <c r="BD134" s="64" t="s">
        <v>5509</v>
      </c>
      <c r="BE134" s="64" t="s">
        <v>5508</v>
      </c>
      <c r="BF134" s="64" t="s">
        <v>5509</v>
      </c>
      <c r="BG134" s="64" t="s">
        <v>4963</v>
      </c>
      <c r="BH134" s="64" t="s">
        <v>5434</v>
      </c>
      <c r="BI134" s="64" t="s">
        <v>4884</v>
      </c>
      <c r="BJ134" s="64" t="s">
        <v>4954</v>
      </c>
      <c r="BK134" s="64" t="s">
        <v>474</v>
      </c>
      <c r="BL134" s="64" t="s">
        <v>474</v>
      </c>
      <c r="BM134" s="66" t="s">
        <v>1275</v>
      </c>
      <c r="BN134" s="66" t="s">
        <v>1468</v>
      </c>
      <c r="BO134" s="66" t="s">
        <v>1468</v>
      </c>
      <c r="BP134" s="66" t="s">
        <v>1474</v>
      </c>
      <c r="BQ134" s="66" t="s">
        <v>1479</v>
      </c>
      <c r="BR134" s="64">
        <v>4.7370000000000001</v>
      </c>
      <c r="BS134" s="64">
        <v>0.22</v>
      </c>
      <c r="BT134" s="66">
        <v>30</v>
      </c>
      <c r="BU134" s="79"/>
      <c r="BV134" s="79"/>
      <c r="BW134" s="79"/>
      <c r="BX134" s="79"/>
      <c r="BY134" s="64">
        <v>1.3560000000000001</v>
      </c>
      <c r="BZ134" s="79"/>
      <c r="CA134" s="79"/>
      <c r="CB134" s="64" t="s">
        <v>1100</v>
      </c>
      <c r="CC134" s="64" t="s">
        <v>1100</v>
      </c>
      <c r="CD134" s="79"/>
      <c r="CE134" s="79"/>
      <c r="CF134" s="79"/>
      <c r="CG134" s="79"/>
      <c r="CH134" s="64">
        <v>8.8999999999999996E-2</v>
      </c>
      <c r="CI134" s="79"/>
      <c r="CJ134" s="79"/>
      <c r="CK134" s="79"/>
      <c r="CL134" s="79"/>
      <c r="CM134" s="79"/>
      <c r="CN134" s="79"/>
      <c r="CO134" s="79"/>
      <c r="CP134" s="79"/>
      <c r="CQ134" s="79"/>
      <c r="CR134" s="79"/>
      <c r="CS134" s="79"/>
      <c r="CT134" s="79"/>
      <c r="CU134" s="79"/>
      <c r="CV134" s="79"/>
      <c r="CW134" s="79"/>
      <c r="CX134" s="79"/>
      <c r="CY134" s="79"/>
      <c r="CZ134" s="79"/>
      <c r="DA134" s="79"/>
      <c r="DB134" s="79"/>
      <c r="DC134" s="79"/>
      <c r="DD134" s="79"/>
      <c r="DE134" s="79"/>
      <c r="DF134" s="79"/>
      <c r="DG134" s="79"/>
      <c r="DH134" s="79"/>
      <c r="DI134" s="79"/>
      <c r="DJ134" s="79"/>
      <c r="DK134" s="79"/>
      <c r="DL134" s="79"/>
      <c r="DM134" s="79"/>
      <c r="DN134" s="79"/>
      <c r="DO134" s="79"/>
      <c r="DP134" s="79"/>
      <c r="DQ134" s="79"/>
      <c r="DR134" s="66"/>
      <c r="DS134" s="66"/>
      <c r="DT134" s="79"/>
      <c r="DU134" s="79"/>
      <c r="DV134" s="79"/>
      <c r="DW134" s="79"/>
      <c r="DX134" s="79"/>
      <c r="DY134" s="78"/>
    </row>
    <row r="135" spans="1:129" x14ac:dyDescent="0.35">
      <c r="A135" s="42" t="s">
        <v>4743</v>
      </c>
      <c r="B135" s="42" t="s">
        <v>4887</v>
      </c>
      <c r="C135" s="42" t="s">
        <v>209</v>
      </c>
      <c r="D135" s="43" t="s">
        <v>210</v>
      </c>
      <c r="F135" s="44" t="s">
        <v>4886</v>
      </c>
      <c r="G135" s="42" t="s">
        <v>4955</v>
      </c>
      <c r="H135" s="42" t="s">
        <v>68</v>
      </c>
      <c r="I135" s="43" t="s">
        <v>68</v>
      </c>
      <c r="J135" s="43" t="s">
        <v>68</v>
      </c>
      <c r="K135" s="43"/>
      <c r="L135" s="43" t="s">
        <v>69</v>
      </c>
      <c r="M135" s="43">
        <v>3</v>
      </c>
      <c r="N135" s="43">
        <v>3</v>
      </c>
      <c r="O135" s="43" t="s">
        <v>69</v>
      </c>
      <c r="P135" s="43">
        <v>4</v>
      </c>
      <c r="Q135" s="43">
        <v>4</v>
      </c>
      <c r="R135" s="43" t="s">
        <v>69</v>
      </c>
      <c r="S135" s="43">
        <v>5</v>
      </c>
      <c r="T135" s="43">
        <v>5</v>
      </c>
      <c r="U135" s="42" t="s">
        <v>5434</v>
      </c>
      <c r="V135" s="42">
        <v>106.74</v>
      </c>
      <c r="W135" s="42">
        <v>106.74</v>
      </c>
      <c r="X135" s="42" t="s">
        <v>5511</v>
      </c>
      <c r="Y135" s="42" t="s">
        <v>5512</v>
      </c>
      <c r="Z135" s="43" t="s">
        <v>4743</v>
      </c>
      <c r="AA135" s="43" t="s">
        <v>4742</v>
      </c>
      <c r="AC135" s="42" t="s">
        <v>4684</v>
      </c>
      <c r="AD135" s="42" t="s">
        <v>4685</v>
      </c>
      <c r="AE135" s="42" t="s">
        <v>4686</v>
      </c>
      <c r="AF135" s="42" t="s">
        <v>209</v>
      </c>
      <c r="AG135" s="42" t="s">
        <v>4685</v>
      </c>
      <c r="AH135" t="s">
        <v>5434</v>
      </c>
      <c r="AI135" s="42" t="s">
        <v>4959</v>
      </c>
      <c r="AJ135" s="42" t="s">
        <v>5437</v>
      </c>
      <c r="AL135" s="42" t="s">
        <v>5438</v>
      </c>
      <c r="AM135" s="43">
        <v>106.74</v>
      </c>
      <c r="AN135" s="43">
        <v>106.74</v>
      </c>
      <c r="AO135" s="43" t="s">
        <v>70</v>
      </c>
      <c r="AQ135" s="43">
        <v>1</v>
      </c>
      <c r="AR135" s="42" t="s">
        <v>5513</v>
      </c>
      <c r="AU135" s="64"/>
      <c r="AV135" s="64">
        <v>62</v>
      </c>
      <c r="AW135" s="64" t="s">
        <v>4955</v>
      </c>
      <c r="AX135" s="64" t="s">
        <v>4744</v>
      </c>
      <c r="AY135" s="66" t="s">
        <v>478</v>
      </c>
      <c r="AZ135" s="66" t="s">
        <v>209</v>
      </c>
      <c r="BA135" s="64">
        <v>106.74</v>
      </c>
      <c r="BB135" s="64">
        <v>106.74</v>
      </c>
      <c r="BC135" s="64" t="s">
        <v>5511</v>
      </c>
      <c r="BD135" s="64" t="s">
        <v>5512</v>
      </c>
      <c r="BE135" s="64" t="s">
        <v>5511</v>
      </c>
      <c r="BF135" s="64" t="s">
        <v>5512</v>
      </c>
      <c r="BG135" s="64" t="s">
        <v>4963</v>
      </c>
      <c r="BH135" s="64" t="s">
        <v>5434</v>
      </c>
      <c r="BI135" s="64" t="s">
        <v>4886</v>
      </c>
      <c r="BJ135" s="64" t="s">
        <v>4954</v>
      </c>
      <c r="BK135" s="64" t="s">
        <v>474</v>
      </c>
      <c r="BL135" s="64" t="s">
        <v>474</v>
      </c>
      <c r="BM135" s="66" t="s">
        <v>1275</v>
      </c>
      <c r="BN135" s="66" t="s">
        <v>1468</v>
      </c>
      <c r="BO135" s="66" t="s">
        <v>1468</v>
      </c>
      <c r="BP135" s="66" t="s">
        <v>1474</v>
      </c>
      <c r="BQ135" s="66" t="s">
        <v>1479</v>
      </c>
      <c r="BR135" s="64">
        <v>3.415</v>
      </c>
      <c r="BS135" s="64">
        <v>0.14000000000000001</v>
      </c>
      <c r="BT135" s="66">
        <v>30</v>
      </c>
      <c r="BU135" s="79"/>
      <c r="BV135" s="79"/>
      <c r="BW135" s="79"/>
      <c r="BX135" s="79"/>
      <c r="BY135" s="64">
        <v>1.3320000000000001</v>
      </c>
      <c r="BZ135" s="79"/>
      <c r="CA135" s="79"/>
      <c r="CB135" s="64" t="s">
        <v>1100</v>
      </c>
      <c r="CC135" s="64" t="s">
        <v>1100</v>
      </c>
      <c r="CD135" s="79"/>
      <c r="CE135" s="79"/>
      <c r="CF135" s="79"/>
      <c r="CG135" s="79"/>
      <c r="CH135" s="64">
        <v>8.8999999999999996E-2</v>
      </c>
      <c r="CI135" s="79"/>
      <c r="CJ135" s="79"/>
      <c r="CK135" s="79"/>
      <c r="CL135" s="79"/>
      <c r="CM135" s="79"/>
      <c r="CN135" s="79"/>
      <c r="CO135" s="79"/>
      <c r="CP135" s="79"/>
      <c r="CQ135" s="79"/>
      <c r="CR135" s="79"/>
      <c r="CS135" s="79"/>
      <c r="CT135" s="79"/>
      <c r="CU135" s="79"/>
      <c r="CV135" s="79"/>
      <c r="CW135" s="79"/>
      <c r="CX135" s="79"/>
      <c r="CY135" s="79"/>
      <c r="CZ135" s="79"/>
      <c r="DA135" s="79"/>
      <c r="DB135" s="79"/>
      <c r="DC135" s="79"/>
      <c r="DD135" s="79"/>
      <c r="DE135" s="79"/>
      <c r="DF135" s="79"/>
      <c r="DG135" s="79"/>
      <c r="DH135" s="79"/>
      <c r="DI135" s="79"/>
      <c r="DJ135" s="79"/>
      <c r="DK135" s="79"/>
      <c r="DL135" s="79"/>
      <c r="DM135" s="79"/>
      <c r="DN135" s="79"/>
      <c r="DO135" s="79"/>
      <c r="DP135" s="79"/>
      <c r="DQ135" s="79"/>
      <c r="DR135" s="66"/>
      <c r="DS135" s="66"/>
      <c r="DT135" s="79"/>
      <c r="DU135" s="79"/>
      <c r="DV135" s="79"/>
      <c r="DW135" s="79"/>
      <c r="DX135" s="79"/>
      <c r="DY135" s="78"/>
    </row>
    <row r="136" spans="1:129" x14ac:dyDescent="0.35">
      <c r="A136" s="42" t="s">
        <v>4743</v>
      </c>
      <c r="B136" s="42" t="s">
        <v>4889</v>
      </c>
      <c r="C136" s="42" t="s">
        <v>209</v>
      </c>
      <c r="D136" s="43" t="s">
        <v>210</v>
      </c>
      <c r="F136" s="44" t="s">
        <v>4888</v>
      </c>
      <c r="G136" s="42" t="s">
        <v>4955</v>
      </c>
      <c r="H136" s="42" t="s">
        <v>68</v>
      </c>
      <c r="I136" s="43" t="s">
        <v>68</v>
      </c>
      <c r="J136" s="43" t="s">
        <v>68</v>
      </c>
      <c r="K136" s="43"/>
      <c r="L136" s="43" t="s">
        <v>69</v>
      </c>
      <c r="M136" s="43">
        <v>3</v>
      </c>
      <c r="N136" s="43">
        <v>3</v>
      </c>
      <c r="O136" s="43" t="s">
        <v>69</v>
      </c>
      <c r="P136" s="43">
        <v>4</v>
      </c>
      <c r="Q136" s="43">
        <v>4</v>
      </c>
      <c r="R136" s="43" t="s">
        <v>69</v>
      </c>
      <c r="S136" s="43">
        <v>5</v>
      </c>
      <c r="T136" s="43">
        <v>5</v>
      </c>
      <c r="U136" s="42" t="s">
        <v>5434</v>
      </c>
      <c r="V136" s="42">
        <v>106.74</v>
      </c>
      <c r="W136" s="42">
        <v>106.74</v>
      </c>
      <c r="X136" s="42" t="s">
        <v>5514</v>
      </c>
      <c r="Y136" s="42" t="s">
        <v>5515</v>
      </c>
      <c r="Z136" s="43" t="s">
        <v>4743</v>
      </c>
      <c r="AA136" s="43" t="s">
        <v>4742</v>
      </c>
      <c r="AC136" s="42" t="s">
        <v>4684</v>
      </c>
      <c r="AD136" s="42" t="s">
        <v>4685</v>
      </c>
      <c r="AE136" s="42" t="s">
        <v>4686</v>
      </c>
      <c r="AF136" s="42" t="s">
        <v>209</v>
      </c>
      <c r="AG136" s="42" t="s">
        <v>4685</v>
      </c>
      <c r="AH136" t="s">
        <v>5434</v>
      </c>
      <c r="AI136" s="42" t="s">
        <v>4959</v>
      </c>
      <c r="AJ136" s="42" t="s">
        <v>5437</v>
      </c>
      <c r="AL136" s="42" t="s">
        <v>5438</v>
      </c>
      <c r="AM136" s="43">
        <v>106.74</v>
      </c>
      <c r="AN136" s="43">
        <v>106.74</v>
      </c>
      <c r="AO136" s="43" t="s">
        <v>70</v>
      </c>
      <c r="AQ136" s="43">
        <v>1</v>
      </c>
      <c r="AR136" s="42" t="s">
        <v>5516</v>
      </c>
      <c r="AU136" s="64"/>
      <c r="AV136" s="64">
        <v>62</v>
      </c>
      <c r="AW136" s="64" t="s">
        <v>4955</v>
      </c>
      <c r="AX136" s="64" t="s">
        <v>4744</v>
      </c>
      <c r="AY136" s="66" t="s">
        <v>478</v>
      </c>
      <c r="AZ136" s="66" t="s">
        <v>209</v>
      </c>
      <c r="BA136" s="64">
        <v>106.74</v>
      </c>
      <c r="BB136" s="64">
        <v>106.74</v>
      </c>
      <c r="BC136" s="64" t="s">
        <v>5514</v>
      </c>
      <c r="BD136" s="64" t="s">
        <v>5515</v>
      </c>
      <c r="BE136" s="64" t="s">
        <v>5514</v>
      </c>
      <c r="BF136" s="64" t="s">
        <v>5515</v>
      </c>
      <c r="BG136" s="64" t="s">
        <v>4963</v>
      </c>
      <c r="BH136" s="64" t="s">
        <v>5434</v>
      </c>
      <c r="BI136" s="64" t="s">
        <v>4888</v>
      </c>
      <c r="BJ136" s="64" t="s">
        <v>4954</v>
      </c>
      <c r="BK136" s="64" t="s">
        <v>474</v>
      </c>
      <c r="BL136" s="64" t="s">
        <v>474</v>
      </c>
      <c r="BM136" s="66" t="s">
        <v>1275</v>
      </c>
      <c r="BN136" s="66" t="s">
        <v>1468</v>
      </c>
      <c r="BO136" s="66" t="s">
        <v>1468</v>
      </c>
      <c r="BP136" s="66" t="s">
        <v>1474</v>
      </c>
      <c r="BQ136" s="66" t="s">
        <v>1479</v>
      </c>
      <c r="BR136" s="64">
        <v>4.7359999999999998</v>
      </c>
      <c r="BS136" s="64">
        <v>0.22</v>
      </c>
      <c r="BT136" s="66">
        <v>30</v>
      </c>
      <c r="BU136" s="79"/>
      <c r="BV136" s="79"/>
      <c r="BW136" s="79"/>
      <c r="BX136" s="79"/>
      <c r="BY136" s="64">
        <v>1.357</v>
      </c>
      <c r="BZ136" s="79"/>
      <c r="CA136" s="79"/>
      <c r="CB136" s="64" t="s">
        <v>1100</v>
      </c>
      <c r="CC136" s="64" t="s">
        <v>1100</v>
      </c>
      <c r="CD136" s="79"/>
      <c r="CE136" s="79"/>
      <c r="CF136" s="79"/>
      <c r="CG136" s="79"/>
      <c r="CH136" s="64">
        <v>8.8999999999999996E-2</v>
      </c>
      <c r="CI136" s="79"/>
      <c r="CJ136" s="79"/>
      <c r="CK136" s="79"/>
      <c r="CL136" s="79"/>
      <c r="CM136" s="79"/>
      <c r="CN136" s="79"/>
      <c r="CO136" s="79"/>
      <c r="CP136" s="79"/>
      <c r="CQ136" s="79"/>
      <c r="CR136" s="79"/>
      <c r="CS136" s="79"/>
      <c r="CT136" s="79"/>
      <c r="CU136" s="79"/>
      <c r="CV136" s="79"/>
      <c r="CW136" s="79"/>
      <c r="CX136" s="79"/>
      <c r="CY136" s="79"/>
      <c r="CZ136" s="79"/>
      <c r="DA136" s="79"/>
      <c r="DB136" s="79"/>
      <c r="DC136" s="79"/>
      <c r="DD136" s="79"/>
      <c r="DE136" s="79"/>
      <c r="DF136" s="79"/>
      <c r="DG136" s="79"/>
      <c r="DH136" s="79"/>
      <c r="DI136" s="79"/>
      <c r="DJ136" s="79"/>
      <c r="DK136" s="79"/>
      <c r="DL136" s="79"/>
      <c r="DM136" s="79"/>
      <c r="DN136" s="79"/>
      <c r="DO136" s="79"/>
      <c r="DP136" s="79"/>
      <c r="DQ136" s="79"/>
      <c r="DR136" s="66"/>
      <c r="DS136" s="66"/>
      <c r="DT136" s="79"/>
      <c r="DU136" s="79"/>
      <c r="DV136" s="79"/>
      <c r="DW136" s="79"/>
      <c r="DX136" s="79"/>
      <c r="DY136" s="78"/>
    </row>
    <row r="137" spans="1:129" x14ac:dyDescent="0.35">
      <c r="A137" s="42" t="s">
        <v>4743</v>
      </c>
      <c r="B137" s="42" t="s">
        <v>4891</v>
      </c>
      <c r="C137" s="42" t="s">
        <v>209</v>
      </c>
      <c r="D137" s="43" t="s">
        <v>210</v>
      </c>
      <c r="F137" s="44" t="s">
        <v>4890</v>
      </c>
      <c r="G137" s="42" t="s">
        <v>4955</v>
      </c>
      <c r="H137" s="42" t="s">
        <v>68</v>
      </c>
      <c r="I137" s="43" t="s">
        <v>68</v>
      </c>
      <c r="J137" s="43" t="s">
        <v>68</v>
      </c>
      <c r="K137" s="43"/>
      <c r="L137" s="43" t="s">
        <v>69</v>
      </c>
      <c r="M137" s="43">
        <v>3</v>
      </c>
      <c r="N137" s="43">
        <v>3</v>
      </c>
      <c r="O137" s="43" t="s">
        <v>69</v>
      </c>
      <c r="P137" s="43">
        <v>4</v>
      </c>
      <c r="Q137" s="43">
        <v>4</v>
      </c>
      <c r="R137" s="43" t="s">
        <v>69</v>
      </c>
      <c r="S137" s="43">
        <v>5</v>
      </c>
      <c r="T137" s="43">
        <v>5</v>
      </c>
      <c r="U137" s="42" t="s">
        <v>5434</v>
      </c>
      <c r="V137" s="42">
        <v>106.73</v>
      </c>
      <c r="W137" s="42">
        <v>106.74</v>
      </c>
      <c r="X137" s="42" t="s">
        <v>5517</v>
      </c>
      <c r="Y137" s="42" t="s">
        <v>5518</v>
      </c>
      <c r="Z137" s="43" t="s">
        <v>4743</v>
      </c>
      <c r="AA137" s="43" t="s">
        <v>4742</v>
      </c>
      <c r="AC137" s="42" t="s">
        <v>4684</v>
      </c>
      <c r="AD137" s="42" t="s">
        <v>4685</v>
      </c>
      <c r="AE137" s="42" t="s">
        <v>4686</v>
      </c>
      <c r="AF137" s="42" t="s">
        <v>209</v>
      </c>
      <c r="AG137" s="42" t="s">
        <v>4685</v>
      </c>
      <c r="AH137" t="s">
        <v>5434</v>
      </c>
      <c r="AI137" s="42" t="s">
        <v>4959</v>
      </c>
      <c r="AJ137" s="42" t="s">
        <v>5437</v>
      </c>
      <c r="AL137" s="42" t="s">
        <v>5438</v>
      </c>
      <c r="AM137" s="43">
        <v>106.73</v>
      </c>
      <c r="AN137" s="43">
        <v>106.74</v>
      </c>
      <c r="AO137" s="43" t="s">
        <v>70</v>
      </c>
      <c r="AQ137" s="43">
        <v>1</v>
      </c>
      <c r="AR137" s="42" t="s">
        <v>5519</v>
      </c>
      <c r="AU137" s="64"/>
      <c r="AV137" s="64">
        <v>62</v>
      </c>
      <c r="AW137" s="64" t="s">
        <v>4955</v>
      </c>
      <c r="AX137" s="64" t="s">
        <v>4744</v>
      </c>
      <c r="AY137" s="66" t="s">
        <v>478</v>
      </c>
      <c r="AZ137" s="66" t="s">
        <v>209</v>
      </c>
      <c r="BA137" s="64">
        <v>106.73</v>
      </c>
      <c r="BB137" s="64">
        <v>106.74</v>
      </c>
      <c r="BC137" s="64" t="s">
        <v>5517</v>
      </c>
      <c r="BD137" s="64" t="s">
        <v>5518</v>
      </c>
      <c r="BE137" s="64" t="s">
        <v>5517</v>
      </c>
      <c r="BF137" s="64" t="s">
        <v>5518</v>
      </c>
      <c r="BG137" s="64" t="s">
        <v>4963</v>
      </c>
      <c r="BH137" s="64" t="s">
        <v>5434</v>
      </c>
      <c r="BI137" s="64" t="s">
        <v>4890</v>
      </c>
      <c r="BJ137" s="64" t="s">
        <v>4954</v>
      </c>
      <c r="BK137" s="64" t="s">
        <v>474</v>
      </c>
      <c r="BL137" s="64" t="s">
        <v>474</v>
      </c>
      <c r="BM137" s="66" t="s">
        <v>1275</v>
      </c>
      <c r="BN137" s="66" t="s">
        <v>1468</v>
      </c>
      <c r="BO137" s="66" t="s">
        <v>1468</v>
      </c>
      <c r="BP137" s="66" t="s">
        <v>1474</v>
      </c>
      <c r="BQ137" s="66" t="s">
        <v>1479</v>
      </c>
      <c r="BR137" s="64">
        <v>3.415</v>
      </c>
      <c r="BS137" s="64">
        <v>0.14000000000000001</v>
      </c>
      <c r="BT137" s="66">
        <v>30</v>
      </c>
      <c r="BU137" s="79"/>
      <c r="BV137" s="79"/>
      <c r="BW137" s="79"/>
      <c r="BX137" s="79"/>
      <c r="BY137" s="64">
        <v>1.351</v>
      </c>
      <c r="BZ137" s="79"/>
      <c r="CA137" s="79"/>
      <c r="CB137" s="64" t="s">
        <v>1100</v>
      </c>
      <c r="CC137" s="64" t="s">
        <v>1100</v>
      </c>
      <c r="CD137" s="79"/>
      <c r="CE137" s="79"/>
      <c r="CF137" s="79"/>
      <c r="CG137" s="79"/>
      <c r="CH137" s="64">
        <v>8.8999999999999996E-2</v>
      </c>
      <c r="CI137" s="79"/>
      <c r="CJ137" s="79"/>
      <c r="CK137" s="79"/>
      <c r="CL137" s="79"/>
      <c r="CM137" s="79"/>
      <c r="CN137" s="79"/>
      <c r="CO137" s="79"/>
      <c r="CP137" s="79"/>
      <c r="CQ137" s="79"/>
      <c r="CR137" s="79"/>
      <c r="CS137" s="79"/>
      <c r="CT137" s="79"/>
      <c r="CU137" s="79"/>
      <c r="CV137" s="79"/>
      <c r="CW137" s="79"/>
      <c r="CX137" s="79"/>
      <c r="CY137" s="79"/>
      <c r="CZ137" s="79"/>
      <c r="DA137" s="79"/>
      <c r="DB137" s="79"/>
      <c r="DC137" s="79"/>
      <c r="DD137" s="79"/>
      <c r="DE137" s="79"/>
      <c r="DF137" s="79"/>
      <c r="DG137" s="79"/>
      <c r="DH137" s="79"/>
      <c r="DI137" s="79"/>
      <c r="DJ137" s="79"/>
      <c r="DK137" s="79"/>
      <c r="DL137" s="79"/>
      <c r="DM137" s="79"/>
      <c r="DN137" s="79"/>
      <c r="DO137" s="79"/>
      <c r="DP137" s="79"/>
      <c r="DQ137" s="79"/>
      <c r="DR137" s="66"/>
      <c r="DS137" s="66"/>
      <c r="DT137" s="79"/>
      <c r="DU137" s="79"/>
      <c r="DV137" s="79"/>
      <c r="DW137" s="79"/>
      <c r="DX137" s="79"/>
      <c r="DY137" s="78"/>
    </row>
    <row r="138" spans="1:129" x14ac:dyDescent="0.35">
      <c r="A138" s="42" t="s">
        <v>4743</v>
      </c>
      <c r="B138" s="42" t="s">
        <v>4893</v>
      </c>
      <c r="C138" s="42" t="s">
        <v>209</v>
      </c>
      <c r="D138" s="43" t="s">
        <v>210</v>
      </c>
      <c r="F138" s="44" t="s">
        <v>4892</v>
      </c>
      <c r="G138" s="42" t="s">
        <v>4955</v>
      </c>
      <c r="H138" s="42" t="s">
        <v>68</v>
      </c>
      <c r="I138" s="43" t="s">
        <v>68</v>
      </c>
      <c r="J138" s="43" t="s">
        <v>68</v>
      </c>
      <c r="K138" s="43"/>
      <c r="L138" s="43" t="s">
        <v>69</v>
      </c>
      <c r="M138" s="43">
        <v>3</v>
      </c>
      <c r="N138" s="43">
        <v>3</v>
      </c>
      <c r="O138" s="43" t="s">
        <v>69</v>
      </c>
      <c r="P138" s="43">
        <v>4</v>
      </c>
      <c r="Q138" s="43">
        <v>4</v>
      </c>
      <c r="R138" s="43" t="s">
        <v>69</v>
      </c>
      <c r="S138" s="43">
        <v>5</v>
      </c>
      <c r="T138" s="43">
        <v>5</v>
      </c>
      <c r="U138" s="42" t="s">
        <v>5434</v>
      </c>
      <c r="V138" s="42">
        <v>106.73</v>
      </c>
      <c r="W138" s="42">
        <v>106.74</v>
      </c>
      <c r="X138" s="42" t="s">
        <v>5520</v>
      </c>
      <c r="Y138" s="42" t="s">
        <v>5477</v>
      </c>
      <c r="Z138" s="43" t="s">
        <v>4743</v>
      </c>
      <c r="AA138" s="43" t="s">
        <v>4742</v>
      </c>
      <c r="AC138" s="42" t="s">
        <v>4684</v>
      </c>
      <c r="AD138" s="42" t="s">
        <v>4685</v>
      </c>
      <c r="AE138" s="42" t="s">
        <v>4686</v>
      </c>
      <c r="AF138" s="42" t="s">
        <v>209</v>
      </c>
      <c r="AG138" s="42" t="s">
        <v>4685</v>
      </c>
      <c r="AH138" t="s">
        <v>5434</v>
      </c>
      <c r="AI138" s="42" t="s">
        <v>4959</v>
      </c>
      <c r="AJ138" s="42" t="s">
        <v>5437</v>
      </c>
      <c r="AL138" s="42" t="s">
        <v>5438</v>
      </c>
      <c r="AM138" s="43">
        <v>106.73</v>
      </c>
      <c r="AN138" s="43">
        <v>106.74</v>
      </c>
      <c r="AO138" s="43" t="s">
        <v>70</v>
      </c>
      <c r="AQ138" s="43">
        <v>1</v>
      </c>
      <c r="AR138" s="42" t="s">
        <v>5521</v>
      </c>
      <c r="AU138" s="64"/>
      <c r="AV138" s="64">
        <v>62</v>
      </c>
      <c r="AW138" s="64" t="s">
        <v>4955</v>
      </c>
      <c r="AX138" s="64" t="s">
        <v>4744</v>
      </c>
      <c r="AY138" s="66" t="s">
        <v>478</v>
      </c>
      <c r="AZ138" s="66" t="s">
        <v>209</v>
      </c>
      <c r="BA138" s="64">
        <v>106.73</v>
      </c>
      <c r="BB138" s="64">
        <v>106.74</v>
      </c>
      <c r="BC138" s="64" t="s">
        <v>5520</v>
      </c>
      <c r="BD138" s="64" t="s">
        <v>5477</v>
      </c>
      <c r="BE138" s="64" t="s">
        <v>5520</v>
      </c>
      <c r="BF138" s="64" t="s">
        <v>5477</v>
      </c>
      <c r="BG138" s="64" t="s">
        <v>4963</v>
      </c>
      <c r="BH138" s="64" t="s">
        <v>5434</v>
      </c>
      <c r="BI138" s="64" t="s">
        <v>4892</v>
      </c>
      <c r="BJ138" s="64" t="s">
        <v>4954</v>
      </c>
      <c r="BK138" s="64" t="s">
        <v>474</v>
      </c>
      <c r="BL138" s="64" t="s">
        <v>474</v>
      </c>
      <c r="BM138" s="66" t="s">
        <v>1275</v>
      </c>
      <c r="BN138" s="66" t="s">
        <v>1468</v>
      </c>
      <c r="BO138" s="66" t="s">
        <v>1468</v>
      </c>
      <c r="BP138" s="66" t="s">
        <v>1474</v>
      </c>
      <c r="BQ138" s="66" t="s">
        <v>1479</v>
      </c>
      <c r="BR138" s="64">
        <v>4.7359999999999998</v>
      </c>
      <c r="BS138" s="64">
        <v>0.22</v>
      </c>
      <c r="BT138" s="66">
        <v>30</v>
      </c>
      <c r="BU138" s="79"/>
      <c r="BV138" s="79"/>
      <c r="BW138" s="79"/>
      <c r="BX138" s="79"/>
      <c r="BY138" s="64">
        <v>1.395</v>
      </c>
      <c r="BZ138" s="79"/>
      <c r="CA138" s="79"/>
      <c r="CB138" s="64" t="s">
        <v>1100</v>
      </c>
      <c r="CC138" s="64" t="s">
        <v>1100</v>
      </c>
      <c r="CD138" s="79"/>
      <c r="CE138" s="79"/>
      <c r="CF138" s="79"/>
      <c r="CG138" s="79"/>
      <c r="CH138" s="64">
        <v>8.8999999999999996E-2</v>
      </c>
      <c r="CI138" s="79"/>
      <c r="CJ138" s="79"/>
      <c r="CK138" s="79"/>
      <c r="CL138" s="79"/>
      <c r="CM138" s="79"/>
      <c r="CN138" s="79"/>
      <c r="CO138" s="79"/>
      <c r="CP138" s="79"/>
      <c r="CQ138" s="79"/>
      <c r="CR138" s="79"/>
      <c r="CS138" s="79"/>
      <c r="CT138" s="79"/>
      <c r="CU138" s="79"/>
      <c r="CV138" s="79"/>
      <c r="CW138" s="79"/>
      <c r="CX138" s="79"/>
      <c r="CY138" s="79"/>
      <c r="CZ138" s="79"/>
      <c r="DA138" s="79"/>
      <c r="DB138" s="79"/>
      <c r="DC138" s="79"/>
      <c r="DD138" s="79"/>
      <c r="DE138" s="79"/>
      <c r="DF138" s="79"/>
      <c r="DG138" s="79"/>
      <c r="DH138" s="79"/>
      <c r="DI138" s="79"/>
      <c r="DJ138" s="79"/>
      <c r="DK138" s="79"/>
      <c r="DL138" s="79"/>
      <c r="DM138" s="79"/>
      <c r="DN138" s="79"/>
      <c r="DO138" s="79"/>
      <c r="DP138" s="79"/>
      <c r="DQ138" s="79"/>
      <c r="DR138" s="66"/>
      <c r="DS138" s="66"/>
      <c r="DT138" s="79"/>
      <c r="DU138" s="79"/>
      <c r="DV138" s="79"/>
      <c r="DW138" s="79"/>
      <c r="DX138" s="79"/>
      <c r="DY138" s="78"/>
    </row>
    <row r="139" spans="1:129" x14ac:dyDescent="0.35">
      <c r="A139" s="42" t="s">
        <v>4743</v>
      </c>
      <c r="B139" s="42" t="s">
        <v>4895</v>
      </c>
      <c r="C139" s="42" t="s">
        <v>209</v>
      </c>
      <c r="D139" s="43" t="s">
        <v>210</v>
      </c>
      <c r="F139" s="44" t="s">
        <v>4894</v>
      </c>
      <c r="G139" s="42" t="s">
        <v>4955</v>
      </c>
      <c r="H139" s="42" t="s">
        <v>68</v>
      </c>
      <c r="I139" s="43" t="s">
        <v>68</v>
      </c>
      <c r="J139" s="43" t="s">
        <v>68</v>
      </c>
      <c r="K139" s="43"/>
      <c r="L139" s="43" t="s">
        <v>69</v>
      </c>
      <c r="M139" s="43">
        <v>3</v>
      </c>
      <c r="N139" s="43">
        <v>3</v>
      </c>
      <c r="O139" s="43" t="s">
        <v>69</v>
      </c>
      <c r="P139" s="43">
        <v>4</v>
      </c>
      <c r="Q139" s="43">
        <v>4</v>
      </c>
      <c r="R139" s="43" t="s">
        <v>69</v>
      </c>
      <c r="S139" s="43">
        <v>5</v>
      </c>
      <c r="T139" s="43">
        <v>5</v>
      </c>
      <c r="U139" s="42" t="s">
        <v>5434</v>
      </c>
      <c r="V139" s="42">
        <v>106.73</v>
      </c>
      <c r="W139" s="42">
        <v>106.73</v>
      </c>
      <c r="X139" s="42" t="s">
        <v>5522</v>
      </c>
      <c r="Y139" s="42" t="s">
        <v>5523</v>
      </c>
      <c r="Z139" s="43" t="s">
        <v>4743</v>
      </c>
      <c r="AA139" s="43" t="s">
        <v>4742</v>
      </c>
      <c r="AC139" s="42" t="s">
        <v>4684</v>
      </c>
      <c r="AD139" s="42" t="s">
        <v>4685</v>
      </c>
      <c r="AE139" s="42" t="s">
        <v>4686</v>
      </c>
      <c r="AF139" s="42" t="s">
        <v>209</v>
      </c>
      <c r="AG139" s="42" t="s">
        <v>4685</v>
      </c>
      <c r="AH139" t="s">
        <v>5434</v>
      </c>
      <c r="AI139" s="42" t="s">
        <v>4959</v>
      </c>
      <c r="AJ139" s="42" t="s">
        <v>5437</v>
      </c>
      <c r="AL139" s="42" t="s">
        <v>5438</v>
      </c>
      <c r="AM139" s="43">
        <v>106.73</v>
      </c>
      <c r="AN139" s="43">
        <v>106.73</v>
      </c>
      <c r="AO139" s="43" t="s">
        <v>70</v>
      </c>
      <c r="AQ139" s="43">
        <v>1</v>
      </c>
      <c r="AR139" s="42" t="s">
        <v>5524</v>
      </c>
      <c r="AU139" s="64"/>
      <c r="AV139" s="64">
        <v>62</v>
      </c>
      <c r="AW139" s="64" t="s">
        <v>4955</v>
      </c>
      <c r="AX139" s="64" t="s">
        <v>4744</v>
      </c>
      <c r="AY139" s="66" t="s">
        <v>478</v>
      </c>
      <c r="AZ139" s="66" t="s">
        <v>209</v>
      </c>
      <c r="BA139" s="64">
        <v>106.73</v>
      </c>
      <c r="BB139" s="64">
        <v>106.73</v>
      </c>
      <c r="BC139" s="64" t="s">
        <v>5522</v>
      </c>
      <c r="BD139" s="64" t="s">
        <v>5523</v>
      </c>
      <c r="BE139" s="64" t="s">
        <v>5522</v>
      </c>
      <c r="BF139" s="64" t="s">
        <v>5523</v>
      </c>
      <c r="BG139" s="64" t="s">
        <v>4963</v>
      </c>
      <c r="BH139" s="64" t="s">
        <v>5434</v>
      </c>
      <c r="BI139" s="64" t="s">
        <v>4894</v>
      </c>
      <c r="BJ139" s="64" t="s">
        <v>4954</v>
      </c>
      <c r="BK139" s="64" t="s">
        <v>474</v>
      </c>
      <c r="BL139" s="64" t="s">
        <v>474</v>
      </c>
      <c r="BM139" s="66" t="s">
        <v>1275</v>
      </c>
      <c r="BN139" s="66" t="s">
        <v>1468</v>
      </c>
      <c r="BO139" s="66" t="s">
        <v>1468</v>
      </c>
      <c r="BP139" s="66" t="s">
        <v>1474</v>
      </c>
      <c r="BQ139" s="66" t="s">
        <v>1479</v>
      </c>
      <c r="BR139" s="64">
        <v>1.478</v>
      </c>
      <c r="BS139" s="64">
        <v>0.02</v>
      </c>
      <c r="BT139" s="66">
        <v>30</v>
      </c>
      <c r="BU139" s="79"/>
      <c r="BV139" s="79"/>
      <c r="BW139" s="79"/>
      <c r="BX139" s="79"/>
      <c r="BY139" s="64">
        <v>0.54400000000000004</v>
      </c>
      <c r="BZ139" s="79"/>
      <c r="CA139" s="79"/>
      <c r="CB139" s="64" t="s">
        <v>1100</v>
      </c>
      <c r="CC139" s="64" t="s">
        <v>1100</v>
      </c>
      <c r="CD139" s="79"/>
      <c r="CE139" s="79"/>
      <c r="CF139" s="79"/>
      <c r="CG139" s="79"/>
      <c r="CH139" s="64">
        <v>8.8999999999999996E-2</v>
      </c>
      <c r="CI139" s="79"/>
      <c r="CJ139" s="79"/>
      <c r="CK139" s="79"/>
      <c r="CL139" s="79"/>
      <c r="CM139" s="79"/>
      <c r="CN139" s="79"/>
      <c r="CO139" s="79"/>
      <c r="CP139" s="79"/>
      <c r="CQ139" s="79"/>
      <c r="CR139" s="79"/>
      <c r="CS139" s="79"/>
      <c r="CT139" s="79"/>
      <c r="CU139" s="79"/>
      <c r="CV139" s="79"/>
      <c r="CW139" s="79"/>
      <c r="CX139" s="79"/>
      <c r="CY139" s="79"/>
      <c r="CZ139" s="79"/>
      <c r="DA139" s="79"/>
      <c r="DB139" s="79"/>
      <c r="DC139" s="79"/>
      <c r="DD139" s="79"/>
      <c r="DE139" s="79"/>
      <c r="DF139" s="79"/>
      <c r="DG139" s="79"/>
      <c r="DH139" s="79"/>
      <c r="DI139" s="79"/>
      <c r="DJ139" s="79"/>
      <c r="DK139" s="79"/>
      <c r="DL139" s="79"/>
      <c r="DM139" s="79"/>
      <c r="DN139" s="79"/>
      <c r="DO139" s="79"/>
      <c r="DP139" s="79"/>
      <c r="DQ139" s="79"/>
      <c r="DR139" s="66"/>
      <c r="DS139" s="66"/>
      <c r="DT139" s="79"/>
      <c r="DU139" s="79"/>
      <c r="DV139" s="79"/>
      <c r="DW139" s="79"/>
      <c r="DX139" s="79"/>
      <c r="DY139" s="78"/>
    </row>
    <row r="140" spans="1:129" x14ac:dyDescent="0.35">
      <c r="A140" s="42" t="s">
        <v>4743</v>
      </c>
      <c r="B140" s="42" t="s">
        <v>4897</v>
      </c>
      <c r="C140" s="42" t="s">
        <v>209</v>
      </c>
      <c r="D140" s="43" t="s">
        <v>210</v>
      </c>
      <c r="F140" s="44" t="s">
        <v>4896</v>
      </c>
      <c r="G140" s="42" t="s">
        <v>4955</v>
      </c>
      <c r="H140" s="42" t="s">
        <v>68</v>
      </c>
      <c r="I140" s="43" t="s">
        <v>68</v>
      </c>
      <c r="J140" s="43" t="s">
        <v>68</v>
      </c>
      <c r="K140" s="43"/>
      <c r="L140" s="43" t="s">
        <v>69</v>
      </c>
      <c r="M140" s="43">
        <v>3</v>
      </c>
      <c r="N140" s="43">
        <v>3</v>
      </c>
      <c r="O140" s="43" t="s">
        <v>69</v>
      </c>
      <c r="P140" s="43">
        <v>4</v>
      </c>
      <c r="Q140" s="43">
        <v>4</v>
      </c>
      <c r="R140" s="43" t="s">
        <v>69</v>
      </c>
      <c r="S140" s="43">
        <v>5</v>
      </c>
      <c r="T140" s="43">
        <v>5</v>
      </c>
      <c r="U140" s="42" t="s">
        <v>5434</v>
      </c>
      <c r="V140" s="42">
        <v>106.73</v>
      </c>
      <c r="W140" s="42">
        <v>106.73</v>
      </c>
      <c r="X140" s="42" t="s">
        <v>5525</v>
      </c>
      <c r="Y140" s="42" t="s">
        <v>5526</v>
      </c>
      <c r="Z140" s="43" t="s">
        <v>4743</v>
      </c>
      <c r="AA140" s="43" t="s">
        <v>4742</v>
      </c>
      <c r="AC140" s="42" t="s">
        <v>4684</v>
      </c>
      <c r="AD140" s="42" t="s">
        <v>4685</v>
      </c>
      <c r="AE140" s="42" t="s">
        <v>4686</v>
      </c>
      <c r="AF140" s="42" t="s">
        <v>209</v>
      </c>
      <c r="AG140" s="42" t="s">
        <v>4685</v>
      </c>
      <c r="AH140" t="s">
        <v>5434</v>
      </c>
      <c r="AI140" s="42" t="s">
        <v>4959</v>
      </c>
      <c r="AJ140" s="42" t="s">
        <v>5437</v>
      </c>
      <c r="AL140" s="42" t="s">
        <v>5438</v>
      </c>
      <c r="AM140" s="43">
        <v>106.73</v>
      </c>
      <c r="AN140" s="43">
        <v>106.73</v>
      </c>
      <c r="AO140" s="43" t="s">
        <v>70</v>
      </c>
      <c r="AQ140" s="43">
        <v>1</v>
      </c>
      <c r="AR140" s="42" t="s">
        <v>5527</v>
      </c>
      <c r="AU140" s="64"/>
      <c r="AV140" s="64">
        <v>62</v>
      </c>
      <c r="AW140" s="64" t="s">
        <v>4955</v>
      </c>
      <c r="AX140" s="64" t="s">
        <v>4744</v>
      </c>
      <c r="AY140" s="66" t="s">
        <v>478</v>
      </c>
      <c r="AZ140" s="66" t="s">
        <v>209</v>
      </c>
      <c r="BA140" s="64">
        <v>106.73</v>
      </c>
      <c r="BB140" s="64">
        <v>106.73</v>
      </c>
      <c r="BC140" s="64" t="s">
        <v>5525</v>
      </c>
      <c r="BD140" s="64" t="s">
        <v>5526</v>
      </c>
      <c r="BE140" s="64" t="s">
        <v>5525</v>
      </c>
      <c r="BF140" s="64" t="s">
        <v>5526</v>
      </c>
      <c r="BG140" s="64" t="s">
        <v>4963</v>
      </c>
      <c r="BH140" s="64" t="s">
        <v>5434</v>
      </c>
      <c r="BI140" s="64" t="s">
        <v>4896</v>
      </c>
      <c r="BJ140" s="64" t="s">
        <v>4954</v>
      </c>
      <c r="BK140" s="64" t="s">
        <v>474</v>
      </c>
      <c r="BL140" s="64" t="s">
        <v>474</v>
      </c>
      <c r="BM140" s="66" t="s">
        <v>1275</v>
      </c>
      <c r="BN140" s="66" t="s">
        <v>1468</v>
      </c>
      <c r="BO140" s="66" t="s">
        <v>1468</v>
      </c>
      <c r="BP140" s="66" t="s">
        <v>1474</v>
      </c>
      <c r="BQ140" s="66" t="s">
        <v>1479</v>
      </c>
      <c r="BR140" s="64">
        <v>4.7350000000000003</v>
      </c>
      <c r="BS140" s="64">
        <v>0.11</v>
      </c>
      <c r="BT140" s="66">
        <v>30</v>
      </c>
      <c r="BU140" s="79"/>
      <c r="BV140" s="79"/>
      <c r="BW140" s="79"/>
      <c r="BX140" s="79"/>
      <c r="BY140" s="64">
        <v>0.65200000000000002</v>
      </c>
      <c r="BZ140" s="79"/>
      <c r="CA140" s="79"/>
      <c r="CB140" s="64" t="s">
        <v>1100</v>
      </c>
      <c r="CC140" s="64" t="s">
        <v>1100</v>
      </c>
      <c r="CD140" s="79"/>
      <c r="CE140" s="79"/>
      <c r="CF140" s="79"/>
      <c r="CG140" s="79"/>
      <c r="CH140" s="64">
        <v>8.8999999999999996E-2</v>
      </c>
      <c r="CI140" s="79"/>
      <c r="CJ140" s="79"/>
      <c r="CK140" s="79"/>
      <c r="CL140" s="79"/>
      <c r="CM140" s="79"/>
      <c r="CN140" s="79"/>
      <c r="CO140" s="79"/>
      <c r="CP140" s="79"/>
      <c r="CQ140" s="79"/>
      <c r="CR140" s="79"/>
      <c r="CS140" s="79"/>
      <c r="CT140" s="79"/>
      <c r="CU140" s="79"/>
      <c r="CV140" s="79"/>
      <c r="CW140" s="79"/>
      <c r="CX140" s="79"/>
      <c r="CY140" s="79"/>
      <c r="CZ140" s="79"/>
      <c r="DA140" s="79"/>
      <c r="DB140" s="79"/>
      <c r="DC140" s="79"/>
      <c r="DD140" s="79"/>
      <c r="DE140" s="79"/>
      <c r="DF140" s="79"/>
      <c r="DG140" s="79"/>
      <c r="DH140" s="79"/>
      <c r="DI140" s="79"/>
      <c r="DJ140" s="79"/>
      <c r="DK140" s="79"/>
      <c r="DL140" s="79"/>
      <c r="DM140" s="79"/>
      <c r="DN140" s="79"/>
      <c r="DO140" s="79"/>
      <c r="DP140" s="79"/>
      <c r="DQ140" s="79"/>
      <c r="DR140" s="66"/>
      <c r="DS140" s="66"/>
      <c r="DT140" s="79"/>
      <c r="DU140" s="79"/>
      <c r="DV140" s="79"/>
      <c r="DW140" s="79"/>
      <c r="DX140" s="79"/>
      <c r="DY140" s="78"/>
    </row>
    <row r="141" spans="1:129" x14ac:dyDescent="0.35">
      <c r="A141" s="42" t="s">
        <v>4743</v>
      </c>
      <c r="B141" s="42" t="s">
        <v>4899</v>
      </c>
      <c r="C141" s="42" t="s">
        <v>209</v>
      </c>
      <c r="D141" s="43" t="s">
        <v>210</v>
      </c>
      <c r="F141" s="44" t="s">
        <v>4898</v>
      </c>
      <c r="G141" s="42" t="s">
        <v>4955</v>
      </c>
      <c r="H141" s="42" t="s">
        <v>68</v>
      </c>
      <c r="I141" s="43" t="s">
        <v>68</v>
      </c>
      <c r="J141" s="43" t="s">
        <v>68</v>
      </c>
      <c r="K141" s="43"/>
      <c r="L141" s="43" t="s">
        <v>69</v>
      </c>
      <c r="M141" s="43">
        <v>3</v>
      </c>
      <c r="N141" s="43">
        <v>3</v>
      </c>
      <c r="O141" s="43" t="s">
        <v>69</v>
      </c>
      <c r="P141" s="43">
        <v>4</v>
      </c>
      <c r="Q141" s="43">
        <v>4</v>
      </c>
      <c r="R141" s="43" t="s">
        <v>69</v>
      </c>
      <c r="S141" s="43">
        <v>5</v>
      </c>
      <c r="T141" s="43">
        <v>5</v>
      </c>
      <c r="U141" s="42" t="s">
        <v>5434</v>
      </c>
      <c r="V141" s="42">
        <v>106.73</v>
      </c>
      <c r="W141" s="42">
        <v>106.73</v>
      </c>
      <c r="X141" s="42" t="s">
        <v>5528</v>
      </c>
      <c r="Y141" s="42" t="s">
        <v>5529</v>
      </c>
      <c r="Z141" s="43" t="s">
        <v>4743</v>
      </c>
      <c r="AA141" s="43" t="s">
        <v>4742</v>
      </c>
      <c r="AC141" s="42" t="s">
        <v>4684</v>
      </c>
      <c r="AD141" s="42" t="s">
        <v>4685</v>
      </c>
      <c r="AE141" s="42" t="s">
        <v>4686</v>
      </c>
      <c r="AF141" s="42" t="s">
        <v>209</v>
      </c>
      <c r="AG141" s="42" t="s">
        <v>4685</v>
      </c>
      <c r="AH141" t="s">
        <v>5434</v>
      </c>
      <c r="AI141" s="42" t="s">
        <v>4959</v>
      </c>
      <c r="AJ141" s="42" t="s">
        <v>5437</v>
      </c>
      <c r="AL141" s="42" t="s">
        <v>5438</v>
      </c>
      <c r="AM141" s="43">
        <v>106.73</v>
      </c>
      <c r="AN141" s="43">
        <v>106.73</v>
      </c>
      <c r="AO141" s="43" t="s">
        <v>70</v>
      </c>
      <c r="AQ141" s="43">
        <v>1</v>
      </c>
      <c r="AR141" s="42" t="s">
        <v>5530</v>
      </c>
      <c r="AU141" s="64"/>
      <c r="AV141" s="64">
        <v>62</v>
      </c>
      <c r="AW141" s="64" t="s">
        <v>4955</v>
      </c>
      <c r="AX141" s="64" t="s">
        <v>4744</v>
      </c>
      <c r="AY141" s="66" t="s">
        <v>478</v>
      </c>
      <c r="AZ141" s="66" t="s">
        <v>209</v>
      </c>
      <c r="BA141" s="64">
        <v>106.73</v>
      </c>
      <c r="BB141" s="64">
        <v>106.73</v>
      </c>
      <c r="BC141" s="64" t="s">
        <v>5528</v>
      </c>
      <c r="BD141" s="64" t="s">
        <v>5529</v>
      </c>
      <c r="BE141" s="64" t="s">
        <v>5528</v>
      </c>
      <c r="BF141" s="64" t="s">
        <v>5529</v>
      </c>
      <c r="BG141" s="64" t="s">
        <v>4963</v>
      </c>
      <c r="BH141" s="64" t="s">
        <v>5434</v>
      </c>
      <c r="BI141" s="64" t="s">
        <v>4898</v>
      </c>
      <c r="BJ141" s="64" t="s">
        <v>4954</v>
      </c>
      <c r="BK141" s="64" t="s">
        <v>474</v>
      </c>
      <c r="BL141" s="64" t="s">
        <v>474</v>
      </c>
      <c r="BM141" s="66" t="s">
        <v>1275</v>
      </c>
      <c r="BN141" s="66" t="s">
        <v>1468</v>
      </c>
      <c r="BO141" s="66" t="s">
        <v>1468</v>
      </c>
      <c r="BP141" s="66" t="s">
        <v>1474</v>
      </c>
      <c r="BQ141" s="66" t="s">
        <v>1479</v>
      </c>
      <c r="BR141" s="64">
        <v>1.478</v>
      </c>
      <c r="BS141" s="64">
        <v>0.02</v>
      </c>
      <c r="BT141" s="66">
        <v>30</v>
      </c>
      <c r="BU141" s="79"/>
      <c r="BV141" s="79"/>
      <c r="BW141" s="79"/>
      <c r="BX141" s="79"/>
      <c r="BY141" s="64">
        <v>0.55400000000000005</v>
      </c>
      <c r="BZ141" s="79"/>
      <c r="CA141" s="79"/>
      <c r="CB141" s="64" t="s">
        <v>1100</v>
      </c>
      <c r="CC141" s="64" t="s">
        <v>1100</v>
      </c>
      <c r="CD141" s="79"/>
      <c r="CE141" s="79"/>
      <c r="CF141" s="79"/>
      <c r="CG141" s="79"/>
      <c r="CH141" s="64">
        <v>8.8999999999999996E-2</v>
      </c>
      <c r="CI141" s="79"/>
      <c r="CJ141" s="79"/>
      <c r="CK141" s="79"/>
      <c r="CL141" s="79"/>
      <c r="CM141" s="79"/>
      <c r="CN141" s="79"/>
      <c r="CO141" s="79"/>
      <c r="CP141" s="79"/>
      <c r="CQ141" s="79"/>
      <c r="CR141" s="79"/>
      <c r="CS141" s="79"/>
      <c r="CT141" s="79"/>
      <c r="CU141" s="79"/>
      <c r="CV141" s="79"/>
      <c r="CW141" s="79"/>
      <c r="CX141" s="79"/>
      <c r="CY141" s="79"/>
      <c r="CZ141" s="79"/>
      <c r="DA141" s="79"/>
      <c r="DB141" s="79"/>
      <c r="DC141" s="79"/>
      <c r="DD141" s="79"/>
      <c r="DE141" s="79"/>
      <c r="DF141" s="79"/>
      <c r="DG141" s="79"/>
      <c r="DH141" s="79"/>
      <c r="DI141" s="79"/>
      <c r="DJ141" s="79"/>
      <c r="DK141" s="79"/>
      <c r="DL141" s="79"/>
      <c r="DM141" s="79"/>
      <c r="DN141" s="79"/>
      <c r="DO141" s="79"/>
      <c r="DP141" s="79"/>
      <c r="DQ141" s="79"/>
      <c r="DR141" s="66"/>
      <c r="DS141" s="66"/>
      <c r="DT141" s="79"/>
      <c r="DU141" s="79"/>
      <c r="DV141" s="79"/>
      <c r="DW141" s="79"/>
      <c r="DX141" s="79"/>
      <c r="DY141" s="78"/>
    </row>
    <row r="142" spans="1:129" x14ac:dyDescent="0.35">
      <c r="A142" s="42" t="s">
        <v>4743</v>
      </c>
      <c r="B142" s="42" t="s">
        <v>4901</v>
      </c>
      <c r="C142" s="42" t="s">
        <v>209</v>
      </c>
      <c r="D142" s="43" t="s">
        <v>210</v>
      </c>
      <c r="F142" s="44" t="s">
        <v>4900</v>
      </c>
      <c r="G142" s="42" t="s">
        <v>4955</v>
      </c>
      <c r="H142" s="42" t="s">
        <v>68</v>
      </c>
      <c r="I142" s="43" t="s">
        <v>68</v>
      </c>
      <c r="J142" s="43" t="s">
        <v>68</v>
      </c>
      <c r="K142" s="43"/>
      <c r="L142" s="43" t="s">
        <v>69</v>
      </c>
      <c r="M142" s="43">
        <v>3</v>
      </c>
      <c r="N142" s="43">
        <v>3</v>
      </c>
      <c r="O142" s="43" t="s">
        <v>69</v>
      </c>
      <c r="P142" s="43">
        <v>4</v>
      </c>
      <c r="Q142" s="43">
        <v>4</v>
      </c>
      <c r="R142" s="43" t="s">
        <v>69</v>
      </c>
      <c r="S142" s="43">
        <v>5</v>
      </c>
      <c r="T142" s="43">
        <v>5</v>
      </c>
      <c r="U142" s="42" t="s">
        <v>5434</v>
      </c>
      <c r="V142" s="42">
        <v>106.73</v>
      </c>
      <c r="W142" s="42">
        <v>106.73</v>
      </c>
      <c r="X142" s="42" t="s">
        <v>5531</v>
      </c>
      <c r="Y142" s="42" t="s">
        <v>5532</v>
      </c>
      <c r="Z142" s="43" t="s">
        <v>4743</v>
      </c>
      <c r="AA142" s="43" t="s">
        <v>4742</v>
      </c>
      <c r="AC142" s="42" t="s">
        <v>4684</v>
      </c>
      <c r="AD142" s="42" t="s">
        <v>4685</v>
      </c>
      <c r="AE142" s="42" t="s">
        <v>4686</v>
      </c>
      <c r="AF142" s="42" t="s">
        <v>209</v>
      </c>
      <c r="AG142" s="42" t="s">
        <v>4685</v>
      </c>
      <c r="AH142" t="s">
        <v>5434</v>
      </c>
      <c r="AI142" s="42" t="s">
        <v>4959</v>
      </c>
      <c r="AJ142" s="42" t="s">
        <v>5437</v>
      </c>
      <c r="AL142" s="42" t="s">
        <v>5438</v>
      </c>
      <c r="AM142" s="43">
        <v>106.73</v>
      </c>
      <c r="AN142" s="43">
        <v>106.73</v>
      </c>
      <c r="AO142" s="43" t="s">
        <v>70</v>
      </c>
      <c r="AQ142" s="43">
        <v>1</v>
      </c>
      <c r="AR142" s="42" t="s">
        <v>5533</v>
      </c>
      <c r="AU142" s="64"/>
      <c r="AV142" s="64">
        <v>62</v>
      </c>
      <c r="AW142" s="64" t="s">
        <v>4955</v>
      </c>
      <c r="AX142" s="64" t="s">
        <v>4744</v>
      </c>
      <c r="AY142" s="66" t="s">
        <v>478</v>
      </c>
      <c r="AZ142" s="66" t="s">
        <v>209</v>
      </c>
      <c r="BA142" s="64">
        <v>106.73</v>
      </c>
      <c r="BB142" s="64">
        <v>106.73</v>
      </c>
      <c r="BC142" s="64" t="s">
        <v>5531</v>
      </c>
      <c r="BD142" s="64" t="s">
        <v>5532</v>
      </c>
      <c r="BE142" s="64" t="s">
        <v>5531</v>
      </c>
      <c r="BF142" s="64" t="s">
        <v>5532</v>
      </c>
      <c r="BG142" s="64" t="s">
        <v>4963</v>
      </c>
      <c r="BH142" s="64" t="s">
        <v>5434</v>
      </c>
      <c r="BI142" s="64" t="s">
        <v>4900</v>
      </c>
      <c r="BJ142" s="64" t="s">
        <v>4954</v>
      </c>
      <c r="BK142" s="64" t="s">
        <v>474</v>
      </c>
      <c r="BL142" s="64" t="s">
        <v>474</v>
      </c>
      <c r="BM142" s="66" t="s">
        <v>1275</v>
      </c>
      <c r="BN142" s="66" t="s">
        <v>1468</v>
      </c>
      <c r="BO142" s="66" t="s">
        <v>1468</v>
      </c>
      <c r="BP142" s="66" t="s">
        <v>1474</v>
      </c>
      <c r="BQ142" s="66" t="s">
        <v>1479</v>
      </c>
      <c r="BR142" s="64">
        <v>4.7329999999999997</v>
      </c>
      <c r="BS142" s="64">
        <v>0.11</v>
      </c>
      <c r="BT142" s="66">
        <v>30</v>
      </c>
      <c r="BU142" s="79"/>
      <c r="BV142" s="79"/>
      <c r="BW142" s="79"/>
      <c r="BX142" s="79"/>
      <c r="BY142" s="64">
        <v>0.70099999999999996</v>
      </c>
      <c r="BZ142" s="79"/>
      <c r="CA142" s="79"/>
      <c r="CB142" s="64" t="s">
        <v>1100</v>
      </c>
      <c r="CC142" s="64" t="s">
        <v>1100</v>
      </c>
      <c r="CD142" s="79"/>
      <c r="CE142" s="79"/>
      <c r="CF142" s="79"/>
      <c r="CG142" s="79"/>
      <c r="CH142" s="64">
        <v>8.8999999999999996E-2</v>
      </c>
      <c r="CI142" s="79"/>
      <c r="CJ142" s="79"/>
      <c r="CK142" s="79"/>
      <c r="CL142" s="79"/>
      <c r="CM142" s="79"/>
      <c r="CN142" s="79"/>
      <c r="CO142" s="79"/>
      <c r="CP142" s="79"/>
      <c r="CQ142" s="79"/>
      <c r="CR142" s="79"/>
      <c r="CS142" s="79"/>
      <c r="CT142" s="79"/>
      <c r="CU142" s="79"/>
      <c r="CV142" s="79"/>
      <c r="CW142" s="79"/>
      <c r="CX142" s="79"/>
      <c r="CY142" s="79"/>
      <c r="CZ142" s="79"/>
      <c r="DA142" s="79"/>
      <c r="DB142" s="79"/>
      <c r="DC142" s="79"/>
      <c r="DD142" s="79"/>
      <c r="DE142" s="79"/>
      <c r="DF142" s="79"/>
      <c r="DG142" s="79"/>
      <c r="DH142" s="79"/>
      <c r="DI142" s="79"/>
      <c r="DJ142" s="79"/>
      <c r="DK142" s="79"/>
      <c r="DL142" s="79"/>
      <c r="DM142" s="79"/>
      <c r="DN142" s="79"/>
      <c r="DO142" s="79"/>
      <c r="DP142" s="79"/>
      <c r="DQ142" s="79"/>
      <c r="DR142" s="66"/>
      <c r="DS142" s="66"/>
      <c r="DT142" s="79"/>
      <c r="DU142" s="79"/>
      <c r="DV142" s="79"/>
      <c r="DW142" s="79"/>
      <c r="DX142" s="79"/>
      <c r="DY142" s="78"/>
    </row>
    <row r="143" spans="1:129" x14ac:dyDescent="0.35">
      <c r="A143" s="42" t="s">
        <v>4743</v>
      </c>
      <c r="B143" s="42" t="s">
        <v>4903</v>
      </c>
      <c r="C143" s="42" t="s">
        <v>209</v>
      </c>
      <c r="D143" s="43" t="s">
        <v>210</v>
      </c>
      <c r="F143" s="44" t="s">
        <v>4902</v>
      </c>
      <c r="G143" s="42" t="s">
        <v>4955</v>
      </c>
      <c r="H143" s="42" t="s">
        <v>68</v>
      </c>
      <c r="I143" s="43" t="s">
        <v>68</v>
      </c>
      <c r="J143" s="43" t="s">
        <v>68</v>
      </c>
      <c r="K143" s="43"/>
      <c r="L143" s="43" t="s">
        <v>69</v>
      </c>
      <c r="M143" s="43">
        <v>3</v>
      </c>
      <c r="N143" s="43">
        <v>3</v>
      </c>
      <c r="O143" s="43" t="s">
        <v>69</v>
      </c>
      <c r="P143" s="43">
        <v>4</v>
      </c>
      <c r="Q143" s="43">
        <v>4</v>
      </c>
      <c r="R143" s="43" t="s">
        <v>69</v>
      </c>
      <c r="S143" s="43">
        <v>5</v>
      </c>
      <c r="T143" s="43">
        <v>5</v>
      </c>
      <c r="U143" s="42" t="s">
        <v>5434</v>
      </c>
      <c r="V143" s="42">
        <v>106.73</v>
      </c>
      <c r="W143" s="42">
        <v>106.73</v>
      </c>
      <c r="X143" s="42" t="s">
        <v>5534</v>
      </c>
      <c r="Y143" s="42" t="s">
        <v>5535</v>
      </c>
      <c r="Z143" s="43" t="s">
        <v>4743</v>
      </c>
      <c r="AA143" s="43" t="s">
        <v>4742</v>
      </c>
      <c r="AC143" s="42" t="s">
        <v>4684</v>
      </c>
      <c r="AD143" s="42" t="s">
        <v>4685</v>
      </c>
      <c r="AE143" s="42" t="s">
        <v>4686</v>
      </c>
      <c r="AF143" s="42" t="s">
        <v>209</v>
      </c>
      <c r="AG143" s="42" t="s">
        <v>4685</v>
      </c>
      <c r="AH143" t="s">
        <v>5434</v>
      </c>
      <c r="AI143" s="42" t="s">
        <v>4959</v>
      </c>
      <c r="AJ143" s="42" t="s">
        <v>5437</v>
      </c>
      <c r="AL143" s="42" t="s">
        <v>5438</v>
      </c>
      <c r="AM143" s="43">
        <v>106.73</v>
      </c>
      <c r="AN143" s="43">
        <v>106.73</v>
      </c>
      <c r="AO143" s="43" t="s">
        <v>70</v>
      </c>
      <c r="AQ143" s="43">
        <v>1</v>
      </c>
      <c r="AR143" s="42" t="s">
        <v>5536</v>
      </c>
      <c r="AU143" s="64"/>
      <c r="AV143" s="64">
        <v>62</v>
      </c>
      <c r="AW143" s="64" t="s">
        <v>4955</v>
      </c>
      <c r="AX143" s="64" t="s">
        <v>4744</v>
      </c>
      <c r="AY143" s="66" t="s">
        <v>478</v>
      </c>
      <c r="AZ143" s="66" t="s">
        <v>209</v>
      </c>
      <c r="BA143" s="64">
        <v>106.73</v>
      </c>
      <c r="BB143" s="64">
        <v>106.73</v>
      </c>
      <c r="BC143" s="64" t="s">
        <v>5534</v>
      </c>
      <c r="BD143" s="64" t="s">
        <v>5535</v>
      </c>
      <c r="BE143" s="64" t="s">
        <v>5534</v>
      </c>
      <c r="BF143" s="64" t="s">
        <v>5535</v>
      </c>
      <c r="BG143" s="64" t="s">
        <v>4963</v>
      </c>
      <c r="BH143" s="64" t="s">
        <v>5434</v>
      </c>
      <c r="BI143" s="64" t="s">
        <v>4902</v>
      </c>
      <c r="BJ143" s="64" t="s">
        <v>4954</v>
      </c>
      <c r="BK143" s="64" t="s">
        <v>474</v>
      </c>
      <c r="BL143" s="64" t="s">
        <v>474</v>
      </c>
      <c r="BM143" s="66" t="s">
        <v>1275</v>
      </c>
      <c r="BN143" s="66" t="s">
        <v>1468</v>
      </c>
      <c r="BO143" s="66" t="s">
        <v>1468</v>
      </c>
      <c r="BP143" s="66" t="s">
        <v>1474</v>
      </c>
      <c r="BQ143" s="66" t="s">
        <v>1479</v>
      </c>
      <c r="BR143" s="64">
        <v>2.6659999999999999</v>
      </c>
      <c r="BS143" s="64">
        <v>0.11</v>
      </c>
      <c r="BT143" s="66">
        <v>30</v>
      </c>
      <c r="BU143" s="79"/>
      <c r="BV143" s="79"/>
      <c r="BW143" s="79"/>
      <c r="BX143" s="79"/>
      <c r="BY143" s="64">
        <v>1.4590000000000001</v>
      </c>
      <c r="BZ143" s="79"/>
      <c r="CA143" s="79"/>
      <c r="CB143" s="64" t="s">
        <v>1100</v>
      </c>
      <c r="CC143" s="64" t="s">
        <v>1100</v>
      </c>
      <c r="CD143" s="79"/>
      <c r="CE143" s="79"/>
      <c r="CF143" s="79"/>
      <c r="CG143" s="79"/>
      <c r="CH143" s="64">
        <v>8.8999999999999996E-2</v>
      </c>
      <c r="CI143" s="79"/>
      <c r="CJ143" s="79"/>
      <c r="CK143" s="79"/>
      <c r="CL143" s="79"/>
      <c r="CM143" s="79"/>
      <c r="CN143" s="79"/>
      <c r="CO143" s="79"/>
      <c r="CP143" s="79"/>
      <c r="CQ143" s="79"/>
      <c r="CR143" s="79"/>
      <c r="CS143" s="79"/>
      <c r="CT143" s="79"/>
      <c r="CU143" s="79"/>
      <c r="CV143" s="79"/>
      <c r="CW143" s="79"/>
      <c r="CX143" s="79"/>
      <c r="CY143" s="79"/>
      <c r="CZ143" s="79"/>
      <c r="DA143" s="79"/>
      <c r="DB143" s="79"/>
      <c r="DC143" s="79"/>
      <c r="DD143" s="79"/>
      <c r="DE143" s="79"/>
      <c r="DF143" s="79"/>
      <c r="DG143" s="79"/>
      <c r="DH143" s="79"/>
      <c r="DI143" s="79"/>
      <c r="DJ143" s="79"/>
      <c r="DK143" s="79"/>
      <c r="DL143" s="79"/>
      <c r="DM143" s="79"/>
      <c r="DN143" s="79"/>
      <c r="DO143" s="79"/>
      <c r="DP143" s="79"/>
      <c r="DQ143" s="79"/>
      <c r="DR143" s="66"/>
      <c r="DS143" s="66"/>
      <c r="DT143" s="79"/>
      <c r="DU143" s="79"/>
      <c r="DV143" s="79"/>
      <c r="DW143" s="79"/>
      <c r="DX143" s="79"/>
      <c r="DY143" s="78"/>
    </row>
    <row r="144" spans="1:129" x14ac:dyDescent="0.35">
      <c r="A144" s="42" t="s">
        <v>4743</v>
      </c>
      <c r="B144" s="42" t="s">
        <v>4905</v>
      </c>
      <c r="C144" s="42" t="s">
        <v>259</v>
      </c>
      <c r="D144" s="43" t="s">
        <v>260</v>
      </c>
      <c r="F144" s="44" t="s">
        <v>4904</v>
      </c>
      <c r="G144" s="42" t="s">
        <v>4955</v>
      </c>
      <c r="H144" s="42" t="s">
        <v>68</v>
      </c>
      <c r="I144" s="43" t="s">
        <v>68</v>
      </c>
      <c r="J144" s="43" t="s">
        <v>68</v>
      </c>
      <c r="K144" s="43"/>
      <c r="L144" s="43" t="s">
        <v>69</v>
      </c>
      <c r="M144" s="43">
        <v>3</v>
      </c>
      <c r="N144" s="43">
        <v>3</v>
      </c>
      <c r="O144" s="43" t="s">
        <v>69</v>
      </c>
      <c r="P144" s="43">
        <v>4</v>
      </c>
      <c r="Q144" s="43">
        <v>4</v>
      </c>
      <c r="R144" s="43" t="s">
        <v>69</v>
      </c>
      <c r="S144" s="43">
        <v>5</v>
      </c>
      <c r="T144" s="43">
        <v>5</v>
      </c>
      <c r="U144" s="42" t="s">
        <v>5537</v>
      </c>
      <c r="V144" s="42">
        <v>106.73</v>
      </c>
      <c r="W144" s="42">
        <v>106.73</v>
      </c>
      <c r="X144" s="42" t="s">
        <v>5538</v>
      </c>
      <c r="Y144" s="42" t="s">
        <v>5539</v>
      </c>
      <c r="Z144" s="43" t="s">
        <v>4743</v>
      </c>
      <c r="AA144" s="43" t="s">
        <v>4742</v>
      </c>
      <c r="AC144" s="42" t="s">
        <v>4684</v>
      </c>
      <c r="AD144" s="42" t="s">
        <v>4685</v>
      </c>
      <c r="AE144" s="42" t="s">
        <v>4686</v>
      </c>
      <c r="AF144" s="42" t="s">
        <v>259</v>
      </c>
      <c r="AG144" s="42" t="s">
        <v>4685</v>
      </c>
      <c r="AH144" t="s">
        <v>5537</v>
      </c>
      <c r="AI144" s="42" t="s">
        <v>4959</v>
      </c>
      <c r="AJ144" s="42" t="s">
        <v>5540</v>
      </c>
      <c r="AL144" s="42" t="s">
        <v>5541</v>
      </c>
      <c r="AM144" s="43">
        <v>106.73</v>
      </c>
      <c r="AN144" s="43">
        <v>106.73</v>
      </c>
      <c r="AO144" s="43" t="s">
        <v>70</v>
      </c>
      <c r="AQ144" s="43">
        <v>1</v>
      </c>
      <c r="AR144" s="42" t="s">
        <v>5542</v>
      </c>
      <c r="AU144" s="64"/>
      <c r="AV144" s="64">
        <v>62</v>
      </c>
      <c r="AW144" s="64" t="s">
        <v>4955</v>
      </c>
      <c r="AX144" s="64" t="s">
        <v>4744</v>
      </c>
      <c r="AY144" s="66" t="s">
        <v>478</v>
      </c>
      <c r="AZ144" s="66" t="s">
        <v>259</v>
      </c>
      <c r="BA144" s="64">
        <v>106.73</v>
      </c>
      <c r="BB144" s="64">
        <v>106.73</v>
      </c>
      <c r="BC144" s="64" t="s">
        <v>5538</v>
      </c>
      <c r="BD144" s="64" t="s">
        <v>5539</v>
      </c>
      <c r="BE144" s="64" t="s">
        <v>5538</v>
      </c>
      <c r="BF144" s="64" t="s">
        <v>5539</v>
      </c>
      <c r="BG144" s="64" t="s">
        <v>4963</v>
      </c>
      <c r="BH144" s="64" t="s">
        <v>5537</v>
      </c>
      <c r="BI144" s="64" t="s">
        <v>4904</v>
      </c>
      <c r="BJ144" s="64" t="s">
        <v>4954</v>
      </c>
      <c r="BK144" s="64" t="s">
        <v>474</v>
      </c>
      <c r="BL144" s="64" t="s">
        <v>474</v>
      </c>
      <c r="BM144" s="66" t="s">
        <v>1211</v>
      </c>
      <c r="BN144" s="66" t="s">
        <v>1468</v>
      </c>
      <c r="BO144" s="66" t="s">
        <v>1468</v>
      </c>
      <c r="BP144" s="66" t="s">
        <v>1474</v>
      </c>
      <c r="BQ144" s="66" t="s">
        <v>1479</v>
      </c>
      <c r="BR144" s="64">
        <v>5.5910000000000002</v>
      </c>
      <c r="BS144" s="64">
        <v>1.43</v>
      </c>
      <c r="BT144" s="66">
        <v>120</v>
      </c>
      <c r="BU144" s="79"/>
      <c r="BV144" s="79"/>
      <c r="BW144" s="79"/>
      <c r="BX144" s="79"/>
      <c r="BY144" s="79"/>
      <c r="BZ144" s="79"/>
      <c r="CA144" s="64"/>
      <c r="CB144" s="64" t="s">
        <v>1100</v>
      </c>
      <c r="CC144" s="64" t="s">
        <v>1100</v>
      </c>
      <c r="CD144" s="79"/>
      <c r="CE144" s="79"/>
      <c r="CF144" s="64"/>
      <c r="CG144" s="79"/>
      <c r="CH144" s="64">
        <v>0.223</v>
      </c>
      <c r="CI144" s="79"/>
      <c r="CJ144" s="64">
        <v>2.395</v>
      </c>
      <c r="CK144" s="79"/>
      <c r="CL144" s="79"/>
      <c r="CM144" s="79"/>
      <c r="CN144" s="79"/>
      <c r="CO144" s="64"/>
      <c r="CP144" s="66" t="s">
        <v>1654</v>
      </c>
      <c r="CQ144" s="79"/>
      <c r="CR144" s="79"/>
      <c r="CS144" s="79"/>
      <c r="CT144" s="79"/>
      <c r="CU144" s="79"/>
      <c r="CV144" s="79"/>
      <c r="CW144" s="79"/>
      <c r="CX144" s="79"/>
      <c r="CY144" s="79"/>
      <c r="CZ144" s="79"/>
      <c r="DA144" s="79"/>
      <c r="DB144" s="79"/>
      <c r="DC144" s="79"/>
      <c r="DD144" s="79"/>
      <c r="DE144" s="79"/>
      <c r="DF144" s="79"/>
      <c r="DG144" s="79"/>
      <c r="DH144" s="79"/>
      <c r="DI144" s="79"/>
      <c r="DJ144" s="79"/>
      <c r="DK144" s="79"/>
      <c r="DL144" s="64">
        <v>6.54</v>
      </c>
      <c r="DM144" s="79"/>
      <c r="DN144" s="79"/>
      <c r="DO144" s="79"/>
      <c r="DP144" s="79"/>
      <c r="DQ144" s="79"/>
      <c r="DR144" s="66" t="s">
        <v>1873</v>
      </c>
      <c r="DS144" s="66"/>
      <c r="DT144" s="79"/>
      <c r="DU144" s="79"/>
      <c r="DV144" s="79"/>
      <c r="DW144" s="79"/>
      <c r="DX144" s="79"/>
      <c r="DY144" s="78"/>
    </row>
    <row r="145" spans="1:129" x14ac:dyDescent="0.35">
      <c r="A145" s="42" t="s">
        <v>4743</v>
      </c>
      <c r="B145" s="42" t="s">
        <v>4907</v>
      </c>
      <c r="C145" s="42" t="s">
        <v>259</v>
      </c>
      <c r="D145" s="43" t="s">
        <v>260</v>
      </c>
      <c r="F145" s="44" t="s">
        <v>4906</v>
      </c>
      <c r="G145" s="42" t="s">
        <v>4955</v>
      </c>
      <c r="H145" s="42" t="s">
        <v>68</v>
      </c>
      <c r="I145" s="43" t="s">
        <v>68</v>
      </c>
      <c r="J145" s="43" t="s">
        <v>68</v>
      </c>
      <c r="K145" s="43"/>
      <c r="L145" s="43" t="s">
        <v>69</v>
      </c>
      <c r="M145" s="43">
        <v>3</v>
      </c>
      <c r="N145" s="43">
        <v>3</v>
      </c>
      <c r="O145" s="43" t="s">
        <v>69</v>
      </c>
      <c r="P145" s="43">
        <v>4</v>
      </c>
      <c r="Q145" s="43">
        <v>4</v>
      </c>
      <c r="R145" s="43" t="s">
        <v>69</v>
      </c>
      <c r="S145" s="43">
        <v>5</v>
      </c>
      <c r="T145" s="43">
        <v>5</v>
      </c>
      <c r="U145" s="42" t="s">
        <v>5537</v>
      </c>
      <c r="V145" s="42">
        <v>106.75</v>
      </c>
      <c r="W145" s="42">
        <v>106.75</v>
      </c>
      <c r="X145" s="42" t="s">
        <v>5543</v>
      </c>
      <c r="Y145" s="42" t="s">
        <v>5544</v>
      </c>
      <c r="Z145" s="43" t="s">
        <v>4743</v>
      </c>
      <c r="AA145" s="43" t="s">
        <v>4742</v>
      </c>
      <c r="AC145" s="42" t="s">
        <v>4684</v>
      </c>
      <c r="AD145" s="42" t="s">
        <v>4685</v>
      </c>
      <c r="AE145" s="42" t="s">
        <v>4686</v>
      </c>
      <c r="AF145" s="42" t="s">
        <v>259</v>
      </c>
      <c r="AG145" s="42" t="s">
        <v>4685</v>
      </c>
      <c r="AH145" t="s">
        <v>5537</v>
      </c>
      <c r="AI145" s="42" t="s">
        <v>4959</v>
      </c>
      <c r="AJ145" s="42" t="s">
        <v>5540</v>
      </c>
      <c r="AL145" s="42" t="s">
        <v>5541</v>
      </c>
      <c r="AM145" s="43">
        <v>106.75</v>
      </c>
      <c r="AN145" s="43">
        <v>106.75</v>
      </c>
      <c r="AO145" s="43" t="s">
        <v>70</v>
      </c>
      <c r="AQ145" s="43">
        <v>1</v>
      </c>
      <c r="AR145" s="42" t="s">
        <v>5545</v>
      </c>
      <c r="AU145" s="64"/>
      <c r="AV145" s="64">
        <v>62</v>
      </c>
      <c r="AW145" s="64" t="s">
        <v>4955</v>
      </c>
      <c r="AX145" s="64" t="s">
        <v>4744</v>
      </c>
      <c r="AY145" s="66" t="s">
        <v>478</v>
      </c>
      <c r="AZ145" s="66" t="s">
        <v>259</v>
      </c>
      <c r="BA145" s="64">
        <v>106.75</v>
      </c>
      <c r="BB145" s="64">
        <v>106.75</v>
      </c>
      <c r="BC145" s="64" t="s">
        <v>5543</v>
      </c>
      <c r="BD145" s="64" t="s">
        <v>5544</v>
      </c>
      <c r="BE145" s="64" t="s">
        <v>5543</v>
      </c>
      <c r="BF145" s="64" t="s">
        <v>5544</v>
      </c>
      <c r="BG145" s="64" t="s">
        <v>4963</v>
      </c>
      <c r="BH145" s="64" t="s">
        <v>5537</v>
      </c>
      <c r="BI145" s="64" t="s">
        <v>4906</v>
      </c>
      <c r="BJ145" s="64" t="s">
        <v>4954</v>
      </c>
      <c r="BK145" s="64" t="s">
        <v>474</v>
      </c>
      <c r="BL145" s="64" t="s">
        <v>474</v>
      </c>
      <c r="BM145" s="66" t="s">
        <v>1211</v>
      </c>
      <c r="BN145" s="66" t="s">
        <v>1468</v>
      </c>
      <c r="BO145" s="66" t="s">
        <v>1468</v>
      </c>
      <c r="BP145" s="66" t="s">
        <v>1474</v>
      </c>
      <c r="BQ145" s="66" t="s">
        <v>1479</v>
      </c>
      <c r="BR145" s="64">
        <v>5.5910000000000002</v>
      </c>
      <c r="BS145" s="64">
        <v>1.43</v>
      </c>
      <c r="BT145" s="66">
        <v>120</v>
      </c>
      <c r="BU145" s="79"/>
      <c r="BV145" s="79"/>
      <c r="BW145" s="79"/>
      <c r="BX145" s="79"/>
      <c r="BY145" s="79"/>
      <c r="BZ145" s="79"/>
      <c r="CA145" s="64"/>
      <c r="CB145" s="64" t="s">
        <v>1100</v>
      </c>
      <c r="CC145" s="64" t="s">
        <v>1100</v>
      </c>
      <c r="CD145" s="79"/>
      <c r="CE145" s="79"/>
      <c r="CF145" s="64"/>
      <c r="CG145" s="79"/>
      <c r="CH145" s="64">
        <v>0.223</v>
      </c>
      <c r="CI145" s="79"/>
      <c r="CJ145" s="64">
        <v>2.395</v>
      </c>
      <c r="CK145" s="79"/>
      <c r="CL145" s="79"/>
      <c r="CM145" s="79"/>
      <c r="CN145" s="79"/>
      <c r="CO145" s="64"/>
      <c r="CP145" s="66" t="s">
        <v>1654</v>
      </c>
      <c r="CQ145" s="79"/>
      <c r="CR145" s="79"/>
      <c r="CS145" s="79"/>
      <c r="CT145" s="79"/>
      <c r="CU145" s="79"/>
      <c r="CV145" s="79"/>
      <c r="CW145" s="79"/>
      <c r="CX145" s="79"/>
      <c r="CY145" s="79"/>
      <c r="CZ145" s="79"/>
      <c r="DA145" s="79"/>
      <c r="DB145" s="79"/>
      <c r="DC145" s="79"/>
      <c r="DD145" s="79"/>
      <c r="DE145" s="79"/>
      <c r="DF145" s="79"/>
      <c r="DG145" s="79"/>
      <c r="DH145" s="79"/>
      <c r="DI145" s="79"/>
      <c r="DJ145" s="79"/>
      <c r="DK145" s="79"/>
      <c r="DL145" s="64">
        <v>6.54</v>
      </c>
      <c r="DM145" s="79"/>
      <c r="DN145" s="79"/>
      <c r="DO145" s="79"/>
      <c r="DP145" s="79"/>
      <c r="DQ145" s="79"/>
      <c r="DR145" s="66" t="s">
        <v>1873</v>
      </c>
      <c r="DS145" s="66"/>
      <c r="DT145" s="79"/>
      <c r="DU145" s="79"/>
      <c r="DV145" s="79"/>
      <c r="DW145" s="79"/>
      <c r="DX145" s="79"/>
      <c r="DY145" s="78"/>
    </row>
    <row r="146" spans="1:129" x14ac:dyDescent="0.35">
      <c r="A146" s="42" t="s">
        <v>4743</v>
      </c>
      <c r="B146" s="42" t="s">
        <v>4909</v>
      </c>
      <c r="C146" s="42" t="s">
        <v>259</v>
      </c>
      <c r="D146" s="43" t="s">
        <v>260</v>
      </c>
      <c r="F146" s="44" t="s">
        <v>4908</v>
      </c>
      <c r="G146" s="42" t="s">
        <v>4955</v>
      </c>
      <c r="H146" s="42" t="s">
        <v>68</v>
      </c>
      <c r="I146" s="43" t="s">
        <v>68</v>
      </c>
      <c r="J146" s="43" t="s">
        <v>68</v>
      </c>
      <c r="K146" s="43"/>
      <c r="L146" s="43" t="s">
        <v>69</v>
      </c>
      <c r="M146" s="43">
        <v>3</v>
      </c>
      <c r="N146" s="43">
        <v>3</v>
      </c>
      <c r="O146" s="43" t="s">
        <v>69</v>
      </c>
      <c r="P146" s="43">
        <v>4</v>
      </c>
      <c r="Q146" s="43">
        <v>4</v>
      </c>
      <c r="R146" s="43" t="s">
        <v>69</v>
      </c>
      <c r="S146" s="43">
        <v>5</v>
      </c>
      <c r="T146" s="43">
        <v>5</v>
      </c>
      <c r="U146" s="42" t="s">
        <v>5537</v>
      </c>
      <c r="V146" s="42">
        <v>106.73</v>
      </c>
      <c r="W146" s="42">
        <v>106.73</v>
      </c>
      <c r="X146" s="42" t="s">
        <v>5546</v>
      </c>
      <c r="Y146" s="42" t="s">
        <v>5547</v>
      </c>
      <c r="Z146" s="43" t="s">
        <v>4743</v>
      </c>
      <c r="AA146" s="43" t="s">
        <v>4742</v>
      </c>
      <c r="AC146" s="42" t="s">
        <v>4684</v>
      </c>
      <c r="AD146" s="42" t="s">
        <v>4685</v>
      </c>
      <c r="AE146" s="42" t="s">
        <v>4686</v>
      </c>
      <c r="AF146" s="42" t="s">
        <v>259</v>
      </c>
      <c r="AG146" s="42" t="s">
        <v>4685</v>
      </c>
      <c r="AH146" t="s">
        <v>5537</v>
      </c>
      <c r="AI146" s="42" t="s">
        <v>4959</v>
      </c>
      <c r="AJ146" s="42" t="s">
        <v>5540</v>
      </c>
      <c r="AL146" s="42" t="s">
        <v>5541</v>
      </c>
      <c r="AM146" s="43">
        <v>106.73</v>
      </c>
      <c r="AN146" s="43">
        <v>106.73</v>
      </c>
      <c r="AO146" s="43" t="s">
        <v>70</v>
      </c>
      <c r="AQ146" s="43">
        <v>1</v>
      </c>
      <c r="AR146" s="42" t="s">
        <v>5548</v>
      </c>
      <c r="AU146" s="64"/>
      <c r="AV146" s="64">
        <v>62</v>
      </c>
      <c r="AW146" s="64" t="s">
        <v>4955</v>
      </c>
      <c r="AX146" s="64" t="s">
        <v>4744</v>
      </c>
      <c r="AY146" s="66" t="s">
        <v>478</v>
      </c>
      <c r="AZ146" s="66" t="s">
        <v>259</v>
      </c>
      <c r="BA146" s="64">
        <v>106.73</v>
      </c>
      <c r="BB146" s="64">
        <v>106.73</v>
      </c>
      <c r="BC146" s="64" t="s">
        <v>5546</v>
      </c>
      <c r="BD146" s="64" t="s">
        <v>5547</v>
      </c>
      <c r="BE146" s="64" t="s">
        <v>5546</v>
      </c>
      <c r="BF146" s="64" t="s">
        <v>5547</v>
      </c>
      <c r="BG146" s="64" t="s">
        <v>4963</v>
      </c>
      <c r="BH146" s="64" t="s">
        <v>5537</v>
      </c>
      <c r="BI146" s="64" t="s">
        <v>4908</v>
      </c>
      <c r="BJ146" s="64" t="s">
        <v>4954</v>
      </c>
      <c r="BK146" s="64" t="s">
        <v>474</v>
      </c>
      <c r="BL146" s="64" t="s">
        <v>474</v>
      </c>
      <c r="BM146" s="66" t="s">
        <v>1211</v>
      </c>
      <c r="BN146" s="66" t="s">
        <v>1468</v>
      </c>
      <c r="BO146" s="66" t="s">
        <v>1468</v>
      </c>
      <c r="BP146" s="66" t="s">
        <v>1474</v>
      </c>
      <c r="BQ146" s="66" t="s">
        <v>1479</v>
      </c>
      <c r="BR146" s="64">
        <v>0.89800000000000002</v>
      </c>
      <c r="BS146" s="64">
        <v>0.25800000000000001</v>
      </c>
      <c r="BT146" s="66">
        <v>120</v>
      </c>
      <c r="BU146" s="79"/>
      <c r="BV146" s="79"/>
      <c r="BW146" s="79"/>
      <c r="BX146" s="79"/>
      <c r="BY146" s="79"/>
      <c r="BZ146" s="79"/>
      <c r="CA146" s="64"/>
      <c r="CB146" s="64" t="s">
        <v>1100</v>
      </c>
      <c r="CC146" s="64" t="s">
        <v>1100</v>
      </c>
      <c r="CD146" s="79"/>
      <c r="CE146" s="79"/>
      <c r="CF146" s="64"/>
      <c r="CG146" s="79"/>
      <c r="CH146" s="64">
        <v>0.18</v>
      </c>
      <c r="CI146" s="79"/>
      <c r="CJ146" s="64">
        <v>0.18</v>
      </c>
      <c r="CK146" s="79"/>
      <c r="CL146" s="79"/>
      <c r="CM146" s="79"/>
      <c r="CN146" s="79"/>
      <c r="CO146" s="64"/>
      <c r="CP146" s="66" t="s">
        <v>1654</v>
      </c>
      <c r="CQ146" s="79"/>
      <c r="CR146" s="79"/>
      <c r="CS146" s="79"/>
      <c r="CT146" s="79"/>
      <c r="CU146" s="79"/>
      <c r="CV146" s="79"/>
      <c r="CW146" s="79"/>
      <c r="CX146" s="79"/>
      <c r="CY146" s="79"/>
      <c r="CZ146" s="79"/>
      <c r="DA146" s="79"/>
      <c r="DB146" s="79"/>
      <c r="DC146" s="79"/>
      <c r="DD146" s="79"/>
      <c r="DE146" s="79"/>
      <c r="DF146" s="79"/>
      <c r="DG146" s="79"/>
      <c r="DH146" s="79"/>
      <c r="DI146" s="79"/>
      <c r="DJ146" s="79"/>
      <c r="DK146" s="79"/>
      <c r="DL146" s="64">
        <v>1.53</v>
      </c>
      <c r="DM146" s="79"/>
      <c r="DN146" s="79"/>
      <c r="DO146" s="79"/>
      <c r="DP146" s="79"/>
      <c r="DQ146" s="79"/>
      <c r="DR146" s="66" t="s">
        <v>1873</v>
      </c>
      <c r="DS146" s="66"/>
      <c r="DT146" s="79"/>
      <c r="DU146" s="79"/>
      <c r="DV146" s="79"/>
      <c r="DW146" s="79"/>
      <c r="DX146" s="79"/>
      <c r="DY146" s="78"/>
    </row>
    <row r="147" spans="1:129" x14ac:dyDescent="0.35">
      <c r="A147" s="42" t="s">
        <v>4743</v>
      </c>
      <c r="B147" s="42" t="s">
        <v>4911</v>
      </c>
      <c r="C147" s="42" t="s">
        <v>259</v>
      </c>
      <c r="D147" s="43" t="s">
        <v>260</v>
      </c>
      <c r="F147" s="44" t="s">
        <v>4910</v>
      </c>
      <c r="G147" s="42" t="s">
        <v>4955</v>
      </c>
      <c r="H147" s="42" t="s">
        <v>68</v>
      </c>
      <c r="I147" s="43" t="s">
        <v>68</v>
      </c>
      <c r="J147" s="43" t="s">
        <v>68</v>
      </c>
      <c r="K147" s="43"/>
      <c r="L147" s="43" t="s">
        <v>69</v>
      </c>
      <c r="M147" s="43">
        <v>3</v>
      </c>
      <c r="N147" s="43">
        <v>3</v>
      </c>
      <c r="O147" s="43" t="s">
        <v>69</v>
      </c>
      <c r="P147" s="43">
        <v>4</v>
      </c>
      <c r="Q147" s="43">
        <v>4</v>
      </c>
      <c r="R147" s="43" t="s">
        <v>69</v>
      </c>
      <c r="S147" s="43">
        <v>5</v>
      </c>
      <c r="T147" s="43">
        <v>5</v>
      </c>
      <c r="U147" s="42" t="s">
        <v>5537</v>
      </c>
      <c r="V147" s="42">
        <v>106.73</v>
      </c>
      <c r="W147" s="42">
        <v>106.73</v>
      </c>
      <c r="X147" s="42" t="s">
        <v>5549</v>
      </c>
      <c r="Y147" s="42" t="s">
        <v>5550</v>
      </c>
      <c r="Z147" s="43" t="s">
        <v>4743</v>
      </c>
      <c r="AA147" s="43" t="s">
        <v>4742</v>
      </c>
      <c r="AC147" s="42" t="s">
        <v>4684</v>
      </c>
      <c r="AD147" s="42" t="s">
        <v>4685</v>
      </c>
      <c r="AE147" s="42" t="s">
        <v>4686</v>
      </c>
      <c r="AF147" s="42" t="s">
        <v>259</v>
      </c>
      <c r="AG147" s="42" t="s">
        <v>4685</v>
      </c>
      <c r="AH147" t="s">
        <v>5537</v>
      </c>
      <c r="AI147" s="42" t="s">
        <v>4959</v>
      </c>
      <c r="AJ147" s="42" t="s">
        <v>5540</v>
      </c>
      <c r="AL147" s="42" t="s">
        <v>5541</v>
      </c>
      <c r="AM147" s="43">
        <v>106.73</v>
      </c>
      <c r="AN147" s="43">
        <v>106.73</v>
      </c>
      <c r="AO147" s="43" t="s">
        <v>70</v>
      </c>
      <c r="AQ147" s="43">
        <v>1</v>
      </c>
      <c r="AR147" s="42" t="s">
        <v>5551</v>
      </c>
      <c r="AU147" s="64"/>
      <c r="AV147" s="64">
        <v>62</v>
      </c>
      <c r="AW147" s="64" t="s">
        <v>4955</v>
      </c>
      <c r="AX147" s="64" t="s">
        <v>4744</v>
      </c>
      <c r="AY147" s="66" t="s">
        <v>478</v>
      </c>
      <c r="AZ147" s="66" t="s">
        <v>259</v>
      </c>
      <c r="BA147" s="64">
        <v>106.73</v>
      </c>
      <c r="BB147" s="64">
        <v>106.73</v>
      </c>
      <c r="BC147" s="64" t="s">
        <v>5549</v>
      </c>
      <c r="BD147" s="64" t="s">
        <v>5550</v>
      </c>
      <c r="BE147" s="64" t="s">
        <v>5549</v>
      </c>
      <c r="BF147" s="64" t="s">
        <v>5550</v>
      </c>
      <c r="BG147" s="64" t="s">
        <v>4963</v>
      </c>
      <c r="BH147" s="64" t="s">
        <v>5537</v>
      </c>
      <c r="BI147" s="64" t="s">
        <v>4910</v>
      </c>
      <c r="BJ147" s="64" t="s">
        <v>4954</v>
      </c>
      <c r="BK147" s="64" t="s">
        <v>474</v>
      </c>
      <c r="BL147" s="64" t="s">
        <v>474</v>
      </c>
      <c r="BM147" s="66" t="s">
        <v>1211</v>
      </c>
      <c r="BN147" s="66" t="s">
        <v>1468</v>
      </c>
      <c r="BO147" s="66" t="s">
        <v>1468</v>
      </c>
      <c r="BP147" s="66" t="s">
        <v>1474</v>
      </c>
      <c r="BQ147" s="66" t="s">
        <v>1479</v>
      </c>
      <c r="BR147" s="64">
        <v>3.9009999999999998</v>
      </c>
      <c r="BS147" s="64">
        <v>1.52</v>
      </c>
      <c r="BT147" s="66">
        <v>120</v>
      </c>
      <c r="BU147" s="79"/>
      <c r="BV147" s="79"/>
      <c r="BW147" s="79"/>
      <c r="BX147" s="79"/>
      <c r="BY147" s="79"/>
      <c r="BZ147" s="79"/>
      <c r="CA147" s="64"/>
      <c r="CB147" s="64" t="s">
        <v>1100</v>
      </c>
      <c r="CC147" s="64" t="s">
        <v>1100</v>
      </c>
      <c r="CD147" s="79"/>
      <c r="CE147" s="79"/>
      <c r="CF147" s="64"/>
      <c r="CG147" s="79"/>
      <c r="CH147" s="64">
        <v>0.35</v>
      </c>
      <c r="CI147" s="79"/>
      <c r="CJ147" s="64">
        <v>2.347</v>
      </c>
      <c r="CK147" s="79"/>
      <c r="CL147" s="79"/>
      <c r="CM147" s="79"/>
      <c r="CN147" s="79"/>
      <c r="CO147" s="64"/>
      <c r="CP147" s="66" t="s">
        <v>1654</v>
      </c>
      <c r="CQ147" s="79"/>
      <c r="CR147" s="79"/>
      <c r="CS147" s="79"/>
      <c r="CT147" s="79"/>
      <c r="CU147" s="79"/>
      <c r="CV147" s="79"/>
      <c r="CW147" s="79"/>
      <c r="CX147" s="79"/>
      <c r="CY147" s="79"/>
      <c r="CZ147" s="79"/>
      <c r="DA147" s="79"/>
      <c r="DB147" s="79"/>
      <c r="DC147" s="79"/>
      <c r="DD147" s="79"/>
      <c r="DE147" s="79"/>
      <c r="DF147" s="79"/>
      <c r="DG147" s="79"/>
      <c r="DH147" s="79"/>
      <c r="DI147" s="79"/>
      <c r="DJ147" s="79"/>
      <c r="DK147" s="79"/>
      <c r="DL147" s="64">
        <v>5.85</v>
      </c>
      <c r="DM147" s="79"/>
      <c r="DN147" s="79"/>
      <c r="DO147" s="79"/>
      <c r="DP147" s="79"/>
      <c r="DQ147" s="79"/>
      <c r="DR147" s="66" t="s">
        <v>1873</v>
      </c>
      <c r="DS147" s="66"/>
      <c r="DT147" s="79"/>
      <c r="DU147" s="79"/>
      <c r="DV147" s="79"/>
      <c r="DW147" s="79"/>
      <c r="DX147" s="79"/>
      <c r="DY147" s="78"/>
    </row>
    <row r="148" spans="1:129" x14ac:dyDescent="0.35">
      <c r="A148" s="42" t="s">
        <v>4743</v>
      </c>
      <c r="B148" s="42" t="s">
        <v>4913</v>
      </c>
      <c r="C148" s="42" t="s">
        <v>259</v>
      </c>
      <c r="D148" s="43" t="s">
        <v>260</v>
      </c>
      <c r="F148" s="44" t="s">
        <v>4912</v>
      </c>
      <c r="G148" s="42" t="s">
        <v>4955</v>
      </c>
      <c r="H148" s="42" t="s">
        <v>68</v>
      </c>
      <c r="I148" s="43" t="s">
        <v>68</v>
      </c>
      <c r="J148" s="43" t="s">
        <v>68</v>
      </c>
      <c r="K148" s="43"/>
      <c r="L148" s="43" t="s">
        <v>69</v>
      </c>
      <c r="M148" s="43">
        <v>3</v>
      </c>
      <c r="N148" s="43">
        <v>3</v>
      </c>
      <c r="O148" s="43" t="s">
        <v>69</v>
      </c>
      <c r="P148" s="43">
        <v>4</v>
      </c>
      <c r="Q148" s="43">
        <v>4</v>
      </c>
      <c r="R148" s="43" t="s">
        <v>69</v>
      </c>
      <c r="S148" s="43">
        <v>5</v>
      </c>
      <c r="T148" s="43">
        <v>5</v>
      </c>
      <c r="U148" s="42" t="s">
        <v>5537</v>
      </c>
      <c r="V148" s="42">
        <v>106.73</v>
      </c>
      <c r="W148" s="42">
        <v>106.73</v>
      </c>
      <c r="X148" s="42" t="s">
        <v>5552</v>
      </c>
      <c r="Y148" s="42" t="s">
        <v>5553</v>
      </c>
      <c r="Z148" s="43" t="s">
        <v>4743</v>
      </c>
      <c r="AA148" s="43" t="s">
        <v>4742</v>
      </c>
      <c r="AC148" s="42" t="s">
        <v>4684</v>
      </c>
      <c r="AD148" s="42" t="s">
        <v>4685</v>
      </c>
      <c r="AE148" s="42" t="s">
        <v>4686</v>
      </c>
      <c r="AF148" s="42" t="s">
        <v>259</v>
      </c>
      <c r="AG148" s="42" t="s">
        <v>4685</v>
      </c>
      <c r="AH148" t="s">
        <v>5537</v>
      </c>
      <c r="AI148" s="42" t="s">
        <v>4959</v>
      </c>
      <c r="AJ148" s="42" t="s">
        <v>5540</v>
      </c>
      <c r="AL148" s="42" t="s">
        <v>5541</v>
      </c>
      <c r="AM148" s="43">
        <v>106.73</v>
      </c>
      <c r="AN148" s="43">
        <v>106.73</v>
      </c>
      <c r="AO148" s="43" t="s">
        <v>70</v>
      </c>
      <c r="AQ148" s="43">
        <v>1</v>
      </c>
      <c r="AR148" s="42" t="s">
        <v>5554</v>
      </c>
      <c r="AU148" s="64"/>
      <c r="AV148" s="64">
        <v>62</v>
      </c>
      <c r="AW148" s="64" t="s">
        <v>4955</v>
      </c>
      <c r="AX148" s="64" t="s">
        <v>4744</v>
      </c>
      <c r="AY148" s="66" t="s">
        <v>478</v>
      </c>
      <c r="AZ148" s="66" t="s">
        <v>259</v>
      </c>
      <c r="BA148" s="64">
        <v>106.73</v>
      </c>
      <c r="BB148" s="64">
        <v>106.73</v>
      </c>
      <c r="BC148" s="64" t="s">
        <v>5552</v>
      </c>
      <c r="BD148" s="64" t="s">
        <v>5553</v>
      </c>
      <c r="BE148" s="64" t="s">
        <v>5552</v>
      </c>
      <c r="BF148" s="64" t="s">
        <v>5553</v>
      </c>
      <c r="BG148" s="64" t="s">
        <v>4963</v>
      </c>
      <c r="BH148" s="64" t="s">
        <v>5537</v>
      </c>
      <c r="BI148" s="64" t="s">
        <v>4912</v>
      </c>
      <c r="BJ148" s="64" t="s">
        <v>4954</v>
      </c>
      <c r="BK148" s="64" t="s">
        <v>474</v>
      </c>
      <c r="BL148" s="64" t="s">
        <v>474</v>
      </c>
      <c r="BM148" s="66" t="s">
        <v>1227</v>
      </c>
      <c r="BN148" s="66" t="s">
        <v>1468</v>
      </c>
      <c r="BO148" s="66" t="s">
        <v>1468</v>
      </c>
      <c r="BP148" s="66" t="s">
        <v>1474</v>
      </c>
      <c r="BQ148" s="66" t="s">
        <v>1479</v>
      </c>
      <c r="BR148" s="64">
        <v>3.9</v>
      </c>
      <c r="BS148" s="64">
        <v>0.84299999999999997</v>
      </c>
      <c r="BT148" s="66">
        <v>120</v>
      </c>
      <c r="BU148" s="79"/>
      <c r="BV148" s="79"/>
      <c r="BW148" s="79"/>
      <c r="BX148" s="79"/>
      <c r="BY148" s="79"/>
      <c r="BZ148" s="79"/>
      <c r="CA148" s="64"/>
      <c r="CB148" s="64" t="s">
        <v>1100</v>
      </c>
      <c r="CC148" s="64" t="s">
        <v>1100</v>
      </c>
      <c r="CD148" s="79"/>
      <c r="CE148" s="79"/>
      <c r="CF148" s="64"/>
      <c r="CG148" s="79"/>
      <c r="CH148" s="64">
        <v>0.46500000000000002</v>
      </c>
      <c r="CI148" s="79"/>
      <c r="CJ148" s="64">
        <v>1.97</v>
      </c>
      <c r="CK148" s="79"/>
      <c r="CL148" s="79"/>
      <c r="CM148" s="79"/>
      <c r="CN148" s="79"/>
      <c r="CO148" s="64"/>
      <c r="CP148" s="66" t="s">
        <v>1654</v>
      </c>
      <c r="CQ148" s="79"/>
      <c r="CR148" s="79"/>
      <c r="CS148" s="79"/>
      <c r="CT148" s="79"/>
      <c r="CU148" s="79"/>
      <c r="CV148" s="79"/>
      <c r="CW148" s="79"/>
      <c r="CX148" s="79"/>
      <c r="CY148" s="79"/>
      <c r="CZ148" s="79"/>
      <c r="DA148" s="79"/>
      <c r="DB148" s="79"/>
      <c r="DC148" s="79"/>
      <c r="DD148" s="79"/>
      <c r="DE148" s="79"/>
      <c r="DF148" s="79"/>
      <c r="DG148" s="79"/>
      <c r="DH148" s="79"/>
      <c r="DI148" s="79"/>
      <c r="DJ148" s="79"/>
      <c r="DK148" s="79"/>
      <c r="DL148" s="64">
        <v>2.34</v>
      </c>
      <c r="DM148" s="79"/>
      <c r="DN148" s="79"/>
      <c r="DO148" s="79"/>
      <c r="DP148" s="79"/>
      <c r="DQ148" s="79"/>
      <c r="DR148" s="66" t="s">
        <v>1873</v>
      </c>
      <c r="DS148" s="66"/>
      <c r="DT148" s="79"/>
      <c r="DU148" s="79"/>
      <c r="DV148" s="79"/>
      <c r="DW148" s="79"/>
      <c r="DX148" s="79"/>
      <c r="DY148" s="78"/>
    </row>
    <row r="149" spans="1:129" x14ac:dyDescent="0.35">
      <c r="A149" s="42" t="s">
        <v>4743</v>
      </c>
      <c r="B149" s="42" t="s">
        <v>4915</v>
      </c>
      <c r="C149" s="42" t="s">
        <v>259</v>
      </c>
      <c r="D149" s="43" t="s">
        <v>260</v>
      </c>
      <c r="F149" s="44" t="s">
        <v>4914</v>
      </c>
      <c r="G149" s="42" t="s">
        <v>4955</v>
      </c>
      <c r="H149" s="42" t="s">
        <v>68</v>
      </c>
      <c r="I149" s="43" t="s">
        <v>68</v>
      </c>
      <c r="J149" s="43" t="s">
        <v>68</v>
      </c>
      <c r="K149" s="43"/>
      <c r="L149" s="43" t="s">
        <v>69</v>
      </c>
      <c r="M149" s="43">
        <v>3</v>
      </c>
      <c r="N149" s="43">
        <v>3</v>
      </c>
      <c r="O149" s="43" t="s">
        <v>69</v>
      </c>
      <c r="P149" s="43">
        <v>4</v>
      </c>
      <c r="Q149" s="43">
        <v>4</v>
      </c>
      <c r="R149" s="43" t="s">
        <v>69</v>
      </c>
      <c r="S149" s="43">
        <v>5</v>
      </c>
      <c r="T149" s="43">
        <v>5</v>
      </c>
      <c r="U149" s="42" t="s">
        <v>5537</v>
      </c>
      <c r="V149" s="42">
        <v>106.73</v>
      </c>
      <c r="W149" s="42">
        <v>106.73</v>
      </c>
      <c r="X149" s="42" t="s">
        <v>5555</v>
      </c>
      <c r="Y149" s="42" t="s">
        <v>5396</v>
      </c>
      <c r="Z149" s="43" t="s">
        <v>4743</v>
      </c>
      <c r="AA149" s="43" t="s">
        <v>4742</v>
      </c>
      <c r="AC149" s="42" t="s">
        <v>4684</v>
      </c>
      <c r="AD149" s="42" t="s">
        <v>4685</v>
      </c>
      <c r="AE149" s="42" t="s">
        <v>4686</v>
      </c>
      <c r="AF149" s="42" t="s">
        <v>259</v>
      </c>
      <c r="AG149" s="42" t="s">
        <v>4685</v>
      </c>
      <c r="AH149" t="s">
        <v>5537</v>
      </c>
      <c r="AI149" s="42" t="s">
        <v>4959</v>
      </c>
      <c r="AJ149" s="42" t="s">
        <v>5540</v>
      </c>
      <c r="AL149" s="42" t="s">
        <v>5541</v>
      </c>
      <c r="AM149" s="43">
        <v>106.73</v>
      </c>
      <c r="AN149" s="43">
        <v>106.73</v>
      </c>
      <c r="AO149" s="43" t="s">
        <v>70</v>
      </c>
      <c r="AQ149" s="43">
        <v>1</v>
      </c>
      <c r="AR149" s="42" t="s">
        <v>5556</v>
      </c>
      <c r="AU149" s="64"/>
      <c r="AV149" s="64">
        <v>62</v>
      </c>
      <c r="AW149" s="64" t="s">
        <v>4955</v>
      </c>
      <c r="AX149" s="64" t="s">
        <v>4744</v>
      </c>
      <c r="AY149" s="66" t="s">
        <v>478</v>
      </c>
      <c r="AZ149" s="66" t="s">
        <v>259</v>
      </c>
      <c r="BA149" s="64">
        <v>106.73</v>
      </c>
      <c r="BB149" s="64">
        <v>106.73</v>
      </c>
      <c r="BC149" s="64" t="s">
        <v>5555</v>
      </c>
      <c r="BD149" s="64" t="s">
        <v>5396</v>
      </c>
      <c r="BE149" s="64" t="s">
        <v>5555</v>
      </c>
      <c r="BF149" s="64" t="s">
        <v>5396</v>
      </c>
      <c r="BG149" s="64" t="s">
        <v>4963</v>
      </c>
      <c r="BH149" s="64" t="s">
        <v>5537</v>
      </c>
      <c r="BI149" s="64" t="s">
        <v>4914</v>
      </c>
      <c r="BJ149" s="64" t="s">
        <v>4954</v>
      </c>
      <c r="BK149" s="64" t="s">
        <v>474</v>
      </c>
      <c r="BL149" s="64" t="s">
        <v>474</v>
      </c>
      <c r="BM149" s="66" t="s">
        <v>1227</v>
      </c>
      <c r="BN149" s="66" t="s">
        <v>1468</v>
      </c>
      <c r="BO149" s="66" t="s">
        <v>1468</v>
      </c>
      <c r="BP149" s="66" t="s">
        <v>1474</v>
      </c>
      <c r="BQ149" s="66" t="s">
        <v>1479</v>
      </c>
      <c r="BR149" s="64">
        <v>3.899</v>
      </c>
      <c r="BS149" s="64">
        <v>0.84299999999999997</v>
      </c>
      <c r="BT149" s="66">
        <v>120</v>
      </c>
      <c r="BU149" s="79"/>
      <c r="BV149" s="79"/>
      <c r="BW149" s="79"/>
      <c r="BX149" s="79"/>
      <c r="BY149" s="79"/>
      <c r="BZ149" s="79"/>
      <c r="CA149" s="64"/>
      <c r="CB149" s="64" t="s">
        <v>1100</v>
      </c>
      <c r="CC149" s="64" t="s">
        <v>1100</v>
      </c>
      <c r="CD149" s="79"/>
      <c r="CE149" s="79"/>
      <c r="CF149" s="64"/>
      <c r="CG149" s="79"/>
      <c r="CH149" s="64">
        <v>0.46500000000000002</v>
      </c>
      <c r="CI149" s="79"/>
      <c r="CJ149" s="64">
        <v>1.97</v>
      </c>
      <c r="CK149" s="79"/>
      <c r="CL149" s="79"/>
      <c r="CM149" s="79"/>
      <c r="CN149" s="79"/>
      <c r="CO149" s="64"/>
      <c r="CP149" s="66" t="s">
        <v>1654</v>
      </c>
      <c r="CQ149" s="79"/>
      <c r="CR149" s="79"/>
      <c r="CS149" s="79"/>
      <c r="CT149" s="79"/>
      <c r="CU149" s="79"/>
      <c r="CV149" s="79"/>
      <c r="CW149" s="79"/>
      <c r="CX149" s="79"/>
      <c r="CY149" s="79"/>
      <c r="CZ149" s="79"/>
      <c r="DA149" s="79"/>
      <c r="DB149" s="79"/>
      <c r="DC149" s="79"/>
      <c r="DD149" s="79"/>
      <c r="DE149" s="79"/>
      <c r="DF149" s="79"/>
      <c r="DG149" s="79"/>
      <c r="DH149" s="79"/>
      <c r="DI149" s="79"/>
      <c r="DJ149" s="79"/>
      <c r="DK149" s="79"/>
      <c r="DL149" s="64">
        <v>2.34</v>
      </c>
      <c r="DM149" s="79"/>
      <c r="DN149" s="79"/>
      <c r="DO149" s="79"/>
      <c r="DP149" s="79"/>
      <c r="DQ149" s="79"/>
      <c r="DR149" s="66" t="s">
        <v>1873</v>
      </c>
      <c r="DS149" s="66"/>
      <c r="DT149" s="79"/>
      <c r="DU149" s="79"/>
      <c r="DV149" s="79"/>
      <c r="DW149" s="79"/>
      <c r="DX149" s="79"/>
      <c r="DY149" s="78"/>
    </row>
    <row r="150" spans="1:129" x14ac:dyDescent="0.35">
      <c r="A150" s="42" t="s">
        <v>4743</v>
      </c>
      <c r="B150" s="42" t="s">
        <v>4917</v>
      </c>
      <c r="C150" s="42" t="s">
        <v>259</v>
      </c>
      <c r="D150" s="43" t="s">
        <v>260</v>
      </c>
      <c r="F150" s="44" t="s">
        <v>4916</v>
      </c>
      <c r="G150" s="42" t="s">
        <v>4955</v>
      </c>
      <c r="H150" s="42" t="s">
        <v>68</v>
      </c>
      <c r="I150" s="43" t="s">
        <v>68</v>
      </c>
      <c r="J150" s="43" t="s">
        <v>68</v>
      </c>
      <c r="K150" s="43"/>
      <c r="L150" s="43" t="s">
        <v>69</v>
      </c>
      <c r="M150" s="43">
        <v>3</v>
      </c>
      <c r="N150" s="43">
        <v>3</v>
      </c>
      <c r="O150" s="43" t="s">
        <v>69</v>
      </c>
      <c r="P150" s="43">
        <v>4</v>
      </c>
      <c r="Q150" s="43">
        <v>4</v>
      </c>
      <c r="R150" s="43" t="s">
        <v>69</v>
      </c>
      <c r="S150" s="43">
        <v>5</v>
      </c>
      <c r="T150" s="43">
        <v>5</v>
      </c>
      <c r="U150" s="42" t="s">
        <v>5537</v>
      </c>
      <c r="V150" s="42">
        <v>106.73</v>
      </c>
      <c r="W150" s="42">
        <v>106.73</v>
      </c>
      <c r="X150" s="42" t="s">
        <v>5557</v>
      </c>
      <c r="Y150" s="42" t="s">
        <v>5558</v>
      </c>
      <c r="Z150" s="43" t="s">
        <v>4743</v>
      </c>
      <c r="AA150" s="43" t="s">
        <v>4742</v>
      </c>
      <c r="AC150" s="42" t="s">
        <v>4684</v>
      </c>
      <c r="AD150" s="42" t="s">
        <v>4685</v>
      </c>
      <c r="AE150" s="42" t="s">
        <v>4686</v>
      </c>
      <c r="AF150" s="42" t="s">
        <v>259</v>
      </c>
      <c r="AG150" s="42" t="s">
        <v>4685</v>
      </c>
      <c r="AH150" t="s">
        <v>5537</v>
      </c>
      <c r="AI150" s="42" t="s">
        <v>4959</v>
      </c>
      <c r="AJ150" s="42" t="s">
        <v>5540</v>
      </c>
      <c r="AL150" s="42" t="s">
        <v>5541</v>
      </c>
      <c r="AM150" s="43">
        <v>106.73</v>
      </c>
      <c r="AN150" s="43">
        <v>106.73</v>
      </c>
      <c r="AO150" s="43" t="s">
        <v>70</v>
      </c>
      <c r="AQ150" s="43">
        <v>1</v>
      </c>
      <c r="AR150" s="42" t="s">
        <v>5559</v>
      </c>
      <c r="AU150" s="64"/>
      <c r="AV150" s="64">
        <v>62</v>
      </c>
      <c r="AW150" s="64" t="s">
        <v>4955</v>
      </c>
      <c r="AX150" s="64" t="s">
        <v>4744</v>
      </c>
      <c r="AY150" s="66" t="s">
        <v>478</v>
      </c>
      <c r="AZ150" s="66" t="s">
        <v>259</v>
      </c>
      <c r="BA150" s="64">
        <v>106.73</v>
      </c>
      <c r="BB150" s="64">
        <v>106.73</v>
      </c>
      <c r="BC150" s="64" t="s">
        <v>5557</v>
      </c>
      <c r="BD150" s="64" t="s">
        <v>5558</v>
      </c>
      <c r="BE150" s="64" t="s">
        <v>5557</v>
      </c>
      <c r="BF150" s="64" t="s">
        <v>5558</v>
      </c>
      <c r="BG150" s="64" t="s">
        <v>4963</v>
      </c>
      <c r="BH150" s="64" t="s">
        <v>5537</v>
      </c>
      <c r="BI150" s="64" t="s">
        <v>4916</v>
      </c>
      <c r="BJ150" s="64" t="s">
        <v>4954</v>
      </c>
      <c r="BK150" s="64" t="s">
        <v>474</v>
      </c>
      <c r="BL150" s="64" t="s">
        <v>474</v>
      </c>
      <c r="BM150" s="66" t="s">
        <v>1289</v>
      </c>
      <c r="BN150" s="66" t="s">
        <v>1468</v>
      </c>
      <c r="BO150" s="66" t="s">
        <v>1468</v>
      </c>
      <c r="BP150" s="66" t="s">
        <v>1474</v>
      </c>
      <c r="BQ150" s="66" t="s">
        <v>1479</v>
      </c>
      <c r="BR150" s="64">
        <v>3.9009999999999998</v>
      </c>
      <c r="BS150" s="64">
        <v>0.65700000000000003</v>
      </c>
      <c r="BT150" s="66">
        <v>120</v>
      </c>
      <c r="BU150" s="79"/>
      <c r="BV150" s="79"/>
      <c r="BW150" s="79"/>
      <c r="BX150" s="79"/>
      <c r="BY150" s="79"/>
      <c r="BZ150" s="79"/>
      <c r="CA150" s="64"/>
      <c r="CB150" s="64" t="s">
        <v>1100</v>
      </c>
      <c r="CC150" s="64" t="s">
        <v>1100</v>
      </c>
      <c r="CD150" s="79"/>
      <c r="CE150" s="79"/>
      <c r="CF150" s="64"/>
      <c r="CG150" s="79"/>
      <c r="CH150" s="64">
        <v>0.215</v>
      </c>
      <c r="CI150" s="79"/>
      <c r="CJ150" s="64">
        <v>2.5289999999999999</v>
      </c>
      <c r="CK150" s="79"/>
      <c r="CL150" s="79"/>
      <c r="CM150" s="79"/>
      <c r="CN150" s="79"/>
      <c r="CO150" s="64"/>
      <c r="CP150" s="66" t="s">
        <v>1654</v>
      </c>
      <c r="CQ150" s="79"/>
      <c r="CR150" s="79"/>
      <c r="CS150" s="79"/>
      <c r="CT150" s="79"/>
      <c r="CU150" s="79"/>
      <c r="CV150" s="79"/>
      <c r="CW150" s="79"/>
      <c r="CX150" s="79"/>
      <c r="CY150" s="79"/>
      <c r="CZ150" s="79"/>
      <c r="DA150" s="79"/>
      <c r="DB150" s="79"/>
      <c r="DC150" s="79"/>
      <c r="DD150" s="79"/>
      <c r="DE150" s="79"/>
      <c r="DF150" s="79"/>
      <c r="DG150" s="79"/>
      <c r="DH150" s="79"/>
      <c r="DI150" s="79"/>
      <c r="DJ150" s="79"/>
      <c r="DK150" s="79"/>
      <c r="DL150" s="64">
        <v>0.84</v>
      </c>
      <c r="DM150" s="79"/>
      <c r="DN150" s="79"/>
      <c r="DO150" s="79"/>
      <c r="DP150" s="79"/>
      <c r="DQ150" s="79"/>
      <c r="DR150" s="66" t="s">
        <v>1873</v>
      </c>
      <c r="DS150" s="66"/>
      <c r="DT150" s="79"/>
      <c r="DU150" s="79"/>
      <c r="DV150" s="79"/>
      <c r="DW150" s="79"/>
      <c r="DX150" s="79"/>
      <c r="DY150" s="78"/>
    </row>
    <row r="151" spans="1:129" x14ac:dyDescent="0.35">
      <c r="A151" s="42" t="s">
        <v>4743</v>
      </c>
      <c r="B151" s="42" t="s">
        <v>4919</v>
      </c>
      <c r="C151" s="42" t="s">
        <v>259</v>
      </c>
      <c r="D151" s="43" t="s">
        <v>260</v>
      </c>
      <c r="F151" s="44" t="s">
        <v>4918</v>
      </c>
      <c r="G151" s="42" t="s">
        <v>4955</v>
      </c>
      <c r="H151" s="42" t="s">
        <v>68</v>
      </c>
      <c r="I151" s="43" t="s">
        <v>68</v>
      </c>
      <c r="J151" s="43" t="s">
        <v>68</v>
      </c>
      <c r="K151" s="43"/>
      <c r="L151" s="43" t="s">
        <v>69</v>
      </c>
      <c r="M151" s="43">
        <v>3</v>
      </c>
      <c r="N151" s="43">
        <v>3</v>
      </c>
      <c r="O151" s="43" t="s">
        <v>69</v>
      </c>
      <c r="P151" s="43">
        <v>4</v>
      </c>
      <c r="Q151" s="43">
        <v>4</v>
      </c>
      <c r="R151" s="43" t="s">
        <v>69</v>
      </c>
      <c r="S151" s="43">
        <v>5</v>
      </c>
      <c r="T151" s="43">
        <v>5</v>
      </c>
      <c r="U151" s="42" t="s">
        <v>5537</v>
      </c>
      <c r="V151" s="42">
        <v>106.73</v>
      </c>
      <c r="W151" s="42">
        <v>106.73</v>
      </c>
      <c r="X151" s="42" t="s">
        <v>5560</v>
      </c>
      <c r="Y151" s="42" t="s">
        <v>5561</v>
      </c>
      <c r="Z151" s="43" t="s">
        <v>4743</v>
      </c>
      <c r="AA151" s="43" t="s">
        <v>4742</v>
      </c>
      <c r="AC151" s="42" t="s">
        <v>4684</v>
      </c>
      <c r="AD151" s="42" t="s">
        <v>4685</v>
      </c>
      <c r="AE151" s="42" t="s">
        <v>4686</v>
      </c>
      <c r="AF151" s="42" t="s">
        <v>259</v>
      </c>
      <c r="AG151" s="42" t="s">
        <v>4685</v>
      </c>
      <c r="AH151" t="s">
        <v>5537</v>
      </c>
      <c r="AI151" s="42" t="s">
        <v>4959</v>
      </c>
      <c r="AJ151" s="42" t="s">
        <v>5540</v>
      </c>
      <c r="AL151" s="42" t="s">
        <v>5541</v>
      </c>
      <c r="AM151" s="43">
        <v>106.73</v>
      </c>
      <c r="AN151" s="43">
        <v>106.73</v>
      </c>
      <c r="AO151" s="43" t="s">
        <v>70</v>
      </c>
      <c r="AQ151" s="43">
        <v>1</v>
      </c>
      <c r="AR151" s="42" t="s">
        <v>5562</v>
      </c>
      <c r="AU151" s="64"/>
      <c r="AV151" s="64">
        <v>62</v>
      </c>
      <c r="AW151" s="64" t="s">
        <v>4955</v>
      </c>
      <c r="AX151" s="64" t="s">
        <v>4744</v>
      </c>
      <c r="AY151" s="66" t="s">
        <v>478</v>
      </c>
      <c r="AZ151" s="66" t="s">
        <v>259</v>
      </c>
      <c r="BA151" s="64">
        <v>106.73</v>
      </c>
      <c r="BB151" s="64">
        <v>106.73</v>
      </c>
      <c r="BC151" s="64" t="s">
        <v>5560</v>
      </c>
      <c r="BD151" s="64" t="s">
        <v>5561</v>
      </c>
      <c r="BE151" s="64" t="s">
        <v>5560</v>
      </c>
      <c r="BF151" s="64" t="s">
        <v>5561</v>
      </c>
      <c r="BG151" s="64" t="s">
        <v>4963</v>
      </c>
      <c r="BH151" s="64" t="s">
        <v>5537</v>
      </c>
      <c r="BI151" s="64" t="s">
        <v>4918</v>
      </c>
      <c r="BJ151" s="64" t="s">
        <v>4954</v>
      </c>
      <c r="BK151" s="64" t="s">
        <v>474</v>
      </c>
      <c r="BL151" s="64" t="s">
        <v>474</v>
      </c>
      <c r="BM151" s="66" t="s">
        <v>1289</v>
      </c>
      <c r="BN151" s="66" t="s">
        <v>1468</v>
      </c>
      <c r="BO151" s="66" t="s">
        <v>1468</v>
      </c>
      <c r="BP151" s="66" t="s">
        <v>1474</v>
      </c>
      <c r="BQ151" s="66" t="s">
        <v>1479</v>
      </c>
      <c r="BR151" s="64">
        <v>3.9009999999999998</v>
      </c>
      <c r="BS151" s="64">
        <v>0.65700000000000003</v>
      </c>
      <c r="BT151" s="66">
        <v>120</v>
      </c>
      <c r="BU151" s="79"/>
      <c r="BV151" s="79"/>
      <c r="BW151" s="79"/>
      <c r="BX151" s="79"/>
      <c r="BY151" s="79"/>
      <c r="BZ151" s="79"/>
      <c r="CA151" s="64"/>
      <c r="CB151" s="64" t="s">
        <v>1100</v>
      </c>
      <c r="CC151" s="64" t="s">
        <v>1100</v>
      </c>
      <c r="CD151" s="79"/>
      <c r="CE151" s="79"/>
      <c r="CF151" s="64"/>
      <c r="CG151" s="79"/>
      <c r="CH151" s="64">
        <v>0.215</v>
      </c>
      <c r="CI151" s="79"/>
      <c r="CJ151" s="64">
        <v>2.528</v>
      </c>
      <c r="CK151" s="79"/>
      <c r="CL151" s="79"/>
      <c r="CM151" s="79"/>
      <c r="CN151" s="79"/>
      <c r="CO151" s="64"/>
      <c r="CP151" s="66" t="s">
        <v>1654</v>
      </c>
      <c r="CQ151" s="79"/>
      <c r="CR151" s="79"/>
      <c r="CS151" s="79"/>
      <c r="CT151" s="79"/>
      <c r="CU151" s="79"/>
      <c r="CV151" s="79"/>
      <c r="CW151" s="79"/>
      <c r="CX151" s="79"/>
      <c r="CY151" s="79"/>
      <c r="CZ151" s="79"/>
      <c r="DA151" s="79"/>
      <c r="DB151" s="79"/>
      <c r="DC151" s="79"/>
      <c r="DD151" s="79"/>
      <c r="DE151" s="79"/>
      <c r="DF151" s="79"/>
      <c r="DG151" s="79"/>
      <c r="DH151" s="79"/>
      <c r="DI151" s="79"/>
      <c r="DJ151" s="79"/>
      <c r="DK151" s="79"/>
      <c r="DL151" s="64">
        <v>0.84</v>
      </c>
      <c r="DM151" s="79"/>
      <c r="DN151" s="79"/>
      <c r="DO151" s="79"/>
      <c r="DP151" s="79"/>
      <c r="DQ151" s="79"/>
      <c r="DR151" s="66" t="s">
        <v>1873</v>
      </c>
      <c r="DS151" s="66"/>
      <c r="DT151" s="79"/>
      <c r="DU151" s="79"/>
      <c r="DV151" s="79"/>
      <c r="DW151" s="79"/>
      <c r="DX151" s="79"/>
      <c r="DY151" s="78"/>
    </row>
    <row r="152" spans="1:129" x14ac:dyDescent="0.35">
      <c r="A152" s="42" t="s">
        <v>4743</v>
      </c>
      <c r="B152" s="42" t="s">
        <v>4921</v>
      </c>
      <c r="C152" s="42" t="s">
        <v>259</v>
      </c>
      <c r="D152" s="43" t="s">
        <v>260</v>
      </c>
      <c r="F152" s="44" t="s">
        <v>4920</v>
      </c>
      <c r="G152" s="42" t="s">
        <v>4955</v>
      </c>
      <c r="H152" s="42" t="s">
        <v>68</v>
      </c>
      <c r="I152" s="43" t="s">
        <v>68</v>
      </c>
      <c r="J152" s="43" t="s">
        <v>68</v>
      </c>
      <c r="K152" s="43"/>
      <c r="L152" s="43" t="s">
        <v>69</v>
      </c>
      <c r="M152" s="43">
        <v>3</v>
      </c>
      <c r="N152" s="43">
        <v>3</v>
      </c>
      <c r="O152" s="43" t="s">
        <v>69</v>
      </c>
      <c r="P152" s="43">
        <v>4</v>
      </c>
      <c r="Q152" s="43">
        <v>4</v>
      </c>
      <c r="R152" s="43" t="s">
        <v>69</v>
      </c>
      <c r="S152" s="43">
        <v>5</v>
      </c>
      <c r="T152" s="43">
        <v>5</v>
      </c>
      <c r="U152" s="42" t="s">
        <v>5537</v>
      </c>
      <c r="V152" s="42">
        <v>106.75</v>
      </c>
      <c r="W152" s="42">
        <v>106.75</v>
      </c>
      <c r="X152" s="42" t="s">
        <v>5563</v>
      </c>
      <c r="Y152" s="42" t="s">
        <v>5564</v>
      </c>
      <c r="Z152" s="43" t="s">
        <v>4743</v>
      </c>
      <c r="AA152" s="43" t="s">
        <v>4742</v>
      </c>
      <c r="AC152" s="42" t="s">
        <v>4684</v>
      </c>
      <c r="AD152" s="42" t="s">
        <v>4685</v>
      </c>
      <c r="AE152" s="42" t="s">
        <v>4686</v>
      </c>
      <c r="AF152" s="42" t="s">
        <v>259</v>
      </c>
      <c r="AG152" s="42" t="s">
        <v>4685</v>
      </c>
      <c r="AH152" t="s">
        <v>5537</v>
      </c>
      <c r="AI152" s="42" t="s">
        <v>4959</v>
      </c>
      <c r="AJ152" s="42" t="s">
        <v>5540</v>
      </c>
      <c r="AL152" s="42" t="s">
        <v>5541</v>
      </c>
      <c r="AM152" s="43">
        <v>106.75</v>
      </c>
      <c r="AN152" s="43">
        <v>106.75</v>
      </c>
      <c r="AO152" s="43" t="s">
        <v>70</v>
      </c>
      <c r="AQ152" s="43">
        <v>1</v>
      </c>
      <c r="AR152" s="42" t="s">
        <v>5565</v>
      </c>
      <c r="AU152" s="64"/>
      <c r="AV152" s="64">
        <v>62</v>
      </c>
      <c r="AW152" s="64" t="s">
        <v>4955</v>
      </c>
      <c r="AX152" s="64" t="s">
        <v>4744</v>
      </c>
      <c r="AY152" s="66" t="s">
        <v>478</v>
      </c>
      <c r="AZ152" s="66" t="s">
        <v>259</v>
      </c>
      <c r="BA152" s="64">
        <v>106.75</v>
      </c>
      <c r="BB152" s="64">
        <v>106.75</v>
      </c>
      <c r="BC152" s="64" t="s">
        <v>5563</v>
      </c>
      <c r="BD152" s="64" t="s">
        <v>5564</v>
      </c>
      <c r="BE152" s="64" t="s">
        <v>5563</v>
      </c>
      <c r="BF152" s="64" t="s">
        <v>5564</v>
      </c>
      <c r="BG152" s="64" t="s">
        <v>4963</v>
      </c>
      <c r="BH152" s="64" t="s">
        <v>5537</v>
      </c>
      <c r="BI152" s="64" t="s">
        <v>4920</v>
      </c>
      <c r="BJ152" s="64" t="s">
        <v>4954</v>
      </c>
      <c r="BK152" s="64" t="s">
        <v>474</v>
      </c>
      <c r="BL152" s="64" t="s">
        <v>474</v>
      </c>
      <c r="BM152" s="66" t="s">
        <v>1211</v>
      </c>
      <c r="BN152" s="66" t="s">
        <v>1468</v>
      </c>
      <c r="BO152" s="66" t="s">
        <v>1468</v>
      </c>
      <c r="BP152" s="66" t="s">
        <v>1474</v>
      </c>
      <c r="BQ152" s="66" t="s">
        <v>1479</v>
      </c>
      <c r="BR152" s="64">
        <v>0.89800000000000002</v>
      </c>
      <c r="BS152" s="64">
        <v>0.25800000000000001</v>
      </c>
      <c r="BT152" s="66">
        <v>120</v>
      </c>
      <c r="BU152" s="79"/>
      <c r="BV152" s="79"/>
      <c r="BW152" s="79"/>
      <c r="BX152" s="79"/>
      <c r="BY152" s="79"/>
      <c r="BZ152" s="79"/>
      <c r="CA152" s="64"/>
      <c r="CB152" s="64" t="s">
        <v>1100</v>
      </c>
      <c r="CC152" s="64" t="s">
        <v>1100</v>
      </c>
      <c r="CD152" s="79"/>
      <c r="CE152" s="79"/>
      <c r="CF152" s="64"/>
      <c r="CG152" s="79"/>
      <c r="CH152" s="64">
        <v>0.18</v>
      </c>
      <c r="CI152" s="79"/>
      <c r="CJ152" s="64">
        <v>0.18</v>
      </c>
      <c r="CK152" s="79"/>
      <c r="CL152" s="79"/>
      <c r="CM152" s="79"/>
      <c r="CN152" s="79"/>
      <c r="CO152" s="64"/>
      <c r="CP152" s="66" t="s">
        <v>1654</v>
      </c>
      <c r="CQ152" s="79"/>
      <c r="CR152" s="79"/>
      <c r="CS152" s="79"/>
      <c r="CT152" s="79"/>
      <c r="CU152" s="79"/>
      <c r="CV152" s="79"/>
      <c r="CW152" s="79"/>
      <c r="CX152" s="79"/>
      <c r="CY152" s="79"/>
      <c r="CZ152" s="79"/>
      <c r="DA152" s="79"/>
      <c r="DB152" s="79"/>
      <c r="DC152" s="79"/>
      <c r="DD152" s="79"/>
      <c r="DE152" s="79"/>
      <c r="DF152" s="79"/>
      <c r="DG152" s="79"/>
      <c r="DH152" s="79"/>
      <c r="DI152" s="79"/>
      <c r="DJ152" s="79"/>
      <c r="DK152" s="79"/>
      <c r="DL152" s="64">
        <v>1.53</v>
      </c>
      <c r="DM152" s="79"/>
      <c r="DN152" s="79"/>
      <c r="DO152" s="79"/>
      <c r="DP152" s="79"/>
      <c r="DQ152" s="79"/>
      <c r="DR152" s="66" t="s">
        <v>1873</v>
      </c>
      <c r="DS152" s="66"/>
      <c r="DT152" s="79"/>
      <c r="DU152" s="79"/>
      <c r="DV152" s="79"/>
      <c r="DW152" s="79"/>
      <c r="DX152" s="79"/>
      <c r="DY152" s="78"/>
    </row>
    <row r="153" spans="1:129" x14ac:dyDescent="0.35">
      <c r="A153" s="42" t="s">
        <v>4743</v>
      </c>
      <c r="B153" s="42" t="s">
        <v>4923</v>
      </c>
      <c r="C153" s="42" t="s">
        <v>259</v>
      </c>
      <c r="D153" s="43" t="s">
        <v>260</v>
      </c>
      <c r="F153" s="44" t="s">
        <v>4922</v>
      </c>
      <c r="G153" s="42" t="s">
        <v>4955</v>
      </c>
      <c r="H153" s="42" t="s">
        <v>68</v>
      </c>
      <c r="I153" s="43" t="s">
        <v>68</v>
      </c>
      <c r="J153" s="43" t="s">
        <v>68</v>
      </c>
      <c r="K153" s="43"/>
      <c r="L153" s="43" t="s">
        <v>69</v>
      </c>
      <c r="M153" s="43">
        <v>3</v>
      </c>
      <c r="N153" s="43">
        <v>3</v>
      </c>
      <c r="O153" s="43" t="s">
        <v>69</v>
      </c>
      <c r="P153" s="43">
        <v>4</v>
      </c>
      <c r="Q153" s="43">
        <v>4</v>
      </c>
      <c r="R153" s="43" t="s">
        <v>69</v>
      </c>
      <c r="S153" s="43">
        <v>5</v>
      </c>
      <c r="T153" s="43">
        <v>5</v>
      </c>
      <c r="U153" s="42" t="s">
        <v>5537</v>
      </c>
      <c r="V153" s="42">
        <v>106.75</v>
      </c>
      <c r="W153" s="42">
        <v>106.75</v>
      </c>
      <c r="X153" s="42" t="s">
        <v>5566</v>
      </c>
      <c r="Y153" s="42" t="s">
        <v>5567</v>
      </c>
      <c r="Z153" s="43" t="s">
        <v>4743</v>
      </c>
      <c r="AA153" s="43" t="s">
        <v>4742</v>
      </c>
      <c r="AC153" s="42" t="s">
        <v>4684</v>
      </c>
      <c r="AD153" s="42" t="s">
        <v>4685</v>
      </c>
      <c r="AE153" s="42" t="s">
        <v>4686</v>
      </c>
      <c r="AF153" s="42" t="s">
        <v>259</v>
      </c>
      <c r="AG153" s="42" t="s">
        <v>4685</v>
      </c>
      <c r="AH153" t="s">
        <v>5537</v>
      </c>
      <c r="AI153" s="42" t="s">
        <v>4959</v>
      </c>
      <c r="AJ153" s="42" t="s">
        <v>5540</v>
      </c>
      <c r="AL153" s="42" t="s">
        <v>5541</v>
      </c>
      <c r="AM153" s="43">
        <v>106.75</v>
      </c>
      <c r="AN153" s="43">
        <v>106.75</v>
      </c>
      <c r="AO153" s="43" t="s">
        <v>70</v>
      </c>
      <c r="AQ153" s="43">
        <v>1</v>
      </c>
      <c r="AR153" s="42" t="s">
        <v>5568</v>
      </c>
      <c r="AU153" s="64"/>
      <c r="AV153" s="64">
        <v>62</v>
      </c>
      <c r="AW153" s="64" t="s">
        <v>4955</v>
      </c>
      <c r="AX153" s="64" t="s">
        <v>4744</v>
      </c>
      <c r="AY153" s="66" t="s">
        <v>478</v>
      </c>
      <c r="AZ153" s="66" t="s">
        <v>259</v>
      </c>
      <c r="BA153" s="64">
        <v>106.75</v>
      </c>
      <c r="BB153" s="64">
        <v>106.75</v>
      </c>
      <c r="BC153" s="64" t="s">
        <v>5566</v>
      </c>
      <c r="BD153" s="64" t="s">
        <v>5567</v>
      </c>
      <c r="BE153" s="64" t="s">
        <v>5566</v>
      </c>
      <c r="BF153" s="64" t="s">
        <v>5567</v>
      </c>
      <c r="BG153" s="64" t="s">
        <v>4963</v>
      </c>
      <c r="BH153" s="64" t="s">
        <v>5537</v>
      </c>
      <c r="BI153" s="64" t="s">
        <v>4922</v>
      </c>
      <c r="BJ153" s="64" t="s">
        <v>4954</v>
      </c>
      <c r="BK153" s="64" t="s">
        <v>474</v>
      </c>
      <c r="BL153" s="64" t="s">
        <v>474</v>
      </c>
      <c r="BM153" s="66" t="s">
        <v>1211</v>
      </c>
      <c r="BN153" s="66" t="s">
        <v>1468</v>
      </c>
      <c r="BO153" s="66" t="s">
        <v>1468</v>
      </c>
      <c r="BP153" s="66" t="s">
        <v>1474</v>
      </c>
      <c r="BQ153" s="66" t="s">
        <v>1479</v>
      </c>
      <c r="BR153" s="64">
        <v>3.9009999999999998</v>
      </c>
      <c r="BS153" s="64">
        <v>1.52</v>
      </c>
      <c r="BT153" s="66">
        <v>120</v>
      </c>
      <c r="BU153" s="79"/>
      <c r="BV153" s="79"/>
      <c r="BW153" s="79"/>
      <c r="BX153" s="79"/>
      <c r="BY153" s="79"/>
      <c r="BZ153" s="79"/>
      <c r="CA153" s="64"/>
      <c r="CB153" s="64" t="s">
        <v>1100</v>
      </c>
      <c r="CC153" s="64" t="s">
        <v>1100</v>
      </c>
      <c r="CD153" s="79"/>
      <c r="CE153" s="79"/>
      <c r="CF153" s="64"/>
      <c r="CG153" s="79"/>
      <c r="CH153" s="64">
        <v>0.35</v>
      </c>
      <c r="CI153" s="79"/>
      <c r="CJ153" s="64">
        <v>2.347</v>
      </c>
      <c r="CK153" s="79"/>
      <c r="CL153" s="79"/>
      <c r="CM153" s="79"/>
      <c r="CN153" s="79"/>
      <c r="CO153" s="64"/>
      <c r="CP153" s="66" t="s">
        <v>1654</v>
      </c>
      <c r="CQ153" s="79"/>
      <c r="CR153" s="79"/>
      <c r="CS153" s="79"/>
      <c r="CT153" s="79"/>
      <c r="CU153" s="79"/>
      <c r="CV153" s="79"/>
      <c r="CW153" s="79"/>
      <c r="CX153" s="79"/>
      <c r="CY153" s="79"/>
      <c r="CZ153" s="79"/>
      <c r="DA153" s="79"/>
      <c r="DB153" s="79"/>
      <c r="DC153" s="79"/>
      <c r="DD153" s="79"/>
      <c r="DE153" s="79"/>
      <c r="DF153" s="79"/>
      <c r="DG153" s="79"/>
      <c r="DH153" s="79"/>
      <c r="DI153" s="79"/>
      <c r="DJ153" s="79"/>
      <c r="DK153" s="79"/>
      <c r="DL153" s="64">
        <v>5.85</v>
      </c>
      <c r="DM153" s="79"/>
      <c r="DN153" s="79"/>
      <c r="DO153" s="79"/>
      <c r="DP153" s="79"/>
      <c r="DQ153" s="79"/>
      <c r="DR153" s="66" t="s">
        <v>1873</v>
      </c>
      <c r="DS153" s="66"/>
      <c r="DT153" s="79"/>
      <c r="DU153" s="79"/>
      <c r="DV153" s="79"/>
      <c r="DW153" s="79"/>
      <c r="DX153" s="79"/>
      <c r="DY153" s="78"/>
    </row>
    <row r="154" spans="1:129" x14ac:dyDescent="0.35">
      <c r="A154" s="42" t="s">
        <v>4743</v>
      </c>
      <c r="B154" s="42" t="s">
        <v>4925</v>
      </c>
      <c r="C154" s="42" t="s">
        <v>259</v>
      </c>
      <c r="D154" s="43" t="s">
        <v>260</v>
      </c>
      <c r="F154" s="44" t="s">
        <v>4924</v>
      </c>
      <c r="G154" s="42" t="s">
        <v>4955</v>
      </c>
      <c r="H154" s="42" t="s">
        <v>68</v>
      </c>
      <c r="I154" s="43" t="s">
        <v>68</v>
      </c>
      <c r="J154" s="43" t="s">
        <v>68</v>
      </c>
      <c r="K154" s="43"/>
      <c r="L154" s="43" t="s">
        <v>69</v>
      </c>
      <c r="M154" s="43">
        <v>3</v>
      </c>
      <c r="N154" s="43">
        <v>3</v>
      </c>
      <c r="O154" s="43" t="s">
        <v>69</v>
      </c>
      <c r="P154" s="43">
        <v>4</v>
      </c>
      <c r="Q154" s="43">
        <v>4</v>
      </c>
      <c r="R154" s="43" t="s">
        <v>69</v>
      </c>
      <c r="S154" s="43">
        <v>5</v>
      </c>
      <c r="T154" s="43">
        <v>5</v>
      </c>
      <c r="U154" s="42" t="s">
        <v>5537</v>
      </c>
      <c r="V154" s="42">
        <v>106.75</v>
      </c>
      <c r="W154" s="42">
        <v>106.75</v>
      </c>
      <c r="X154" s="42" t="s">
        <v>5569</v>
      </c>
      <c r="Y154" s="42" t="s">
        <v>5007</v>
      </c>
      <c r="Z154" s="43" t="s">
        <v>4743</v>
      </c>
      <c r="AA154" s="43" t="s">
        <v>4742</v>
      </c>
      <c r="AC154" s="42" t="s">
        <v>4684</v>
      </c>
      <c r="AD154" s="42" t="s">
        <v>4685</v>
      </c>
      <c r="AE154" s="42" t="s">
        <v>4686</v>
      </c>
      <c r="AF154" s="42" t="s">
        <v>259</v>
      </c>
      <c r="AG154" s="42" t="s">
        <v>4685</v>
      </c>
      <c r="AH154" t="s">
        <v>5537</v>
      </c>
      <c r="AI154" s="42" t="s">
        <v>4959</v>
      </c>
      <c r="AJ154" s="42" t="s">
        <v>5540</v>
      </c>
      <c r="AL154" s="42" t="s">
        <v>5541</v>
      </c>
      <c r="AM154" s="43">
        <v>106.75</v>
      </c>
      <c r="AN154" s="43">
        <v>106.75</v>
      </c>
      <c r="AO154" s="43" t="s">
        <v>70</v>
      </c>
      <c r="AQ154" s="43">
        <v>1</v>
      </c>
      <c r="AR154" s="42" t="s">
        <v>5570</v>
      </c>
      <c r="AU154" s="64"/>
      <c r="AV154" s="64">
        <v>62</v>
      </c>
      <c r="AW154" s="64" t="s">
        <v>4955</v>
      </c>
      <c r="AX154" s="64" t="s">
        <v>4744</v>
      </c>
      <c r="AY154" s="66" t="s">
        <v>478</v>
      </c>
      <c r="AZ154" s="66" t="s">
        <v>259</v>
      </c>
      <c r="BA154" s="64">
        <v>106.75</v>
      </c>
      <c r="BB154" s="64">
        <v>106.75</v>
      </c>
      <c r="BC154" s="64" t="s">
        <v>5569</v>
      </c>
      <c r="BD154" s="64" t="s">
        <v>5007</v>
      </c>
      <c r="BE154" s="64" t="s">
        <v>5569</v>
      </c>
      <c r="BF154" s="64" t="s">
        <v>5007</v>
      </c>
      <c r="BG154" s="64" t="s">
        <v>4963</v>
      </c>
      <c r="BH154" s="64" t="s">
        <v>5537</v>
      </c>
      <c r="BI154" s="64" t="s">
        <v>4924</v>
      </c>
      <c r="BJ154" s="64" t="s">
        <v>4954</v>
      </c>
      <c r="BK154" s="64" t="s">
        <v>474</v>
      </c>
      <c r="BL154" s="64" t="s">
        <v>474</v>
      </c>
      <c r="BM154" s="66" t="s">
        <v>1227</v>
      </c>
      <c r="BN154" s="66" t="s">
        <v>1468</v>
      </c>
      <c r="BO154" s="66" t="s">
        <v>1468</v>
      </c>
      <c r="BP154" s="66" t="s">
        <v>1474</v>
      </c>
      <c r="BQ154" s="66" t="s">
        <v>1479</v>
      </c>
      <c r="BR154" s="64">
        <v>3.9</v>
      </c>
      <c r="BS154" s="64">
        <v>0.84299999999999997</v>
      </c>
      <c r="BT154" s="66">
        <v>120</v>
      </c>
      <c r="BU154" s="79"/>
      <c r="BV154" s="79"/>
      <c r="BW154" s="79"/>
      <c r="BX154" s="79"/>
      <c r="BY154" s="79"/>
      <c r="BZ154" s="79"/>
      <c r="CA154" s="64"/>
      <c r="CB154" s="64" t="s">
        <v>1100</v>
      </c>
      <c r="CC154" s="64" t="s">
        <v>1100</v>
      </c>
      <c r="CD154" s="79"/>
      <c r="CE154" s="79"/>
      <c r="CF154" s="64"/>
      <c r="CG154" s="79"/>
      <c r="CH154" s="64">
        <v>0.46500000000000002</v>
      </c>
      <c r="CI154" s="79"/>
      <c r="CJ154" s="64">
        <v>1.97</v>
      </c>
      <c r="CK154" s="79"/>
      <c r="CL154" s="79"/>
      <c r="CM154" s="79"/>
      <c r="CN154" s="79"/>
      <c r="CO154" s="64"/>
      <c r="CP154" s="66" t="s">
        <v>1654</v>
      </c>
      <c r="CQ154" s="79"/>
      <c r="CR154" s="79"/>
      <c r="CS154" s="79"/>
      <c r="CT154" s="79"/>
      <c r="CU154" s="79"/>
      <c r="CV154" s="79"/>
      <c r="CW154" s="79"/>
      <c r="CX154" s="79"/>
      <c r="CY154" s="79"/>
      <c r="CZ154" s="79"/>
      <c r="DA154" s="79"/>
      <c r="DB154" s="79"/>
      <c r="DC154" s="79"/>
      <c r="DD154" s="79"/>
      <c r="DE154" s="79"/>
      <c r="DF154" s="79"/>
      <c r="DG154" s="79"/>
      <c r="DH154" s="79"/>
      <c r="DI154" s="79"/>
      <c r="DJ154" s="79"/>
      <c r="DK154" s="79"/>
      <c r="DL154" s="64">
        <v>2.34</v>
      </c>
      <c r="DM154" s="79"/>
      <c r="DN154" s="79"/>
      <c r="DO154" s="79"/>
      <c r="DP154" s="79"/>
      <c r="DQ154" s="79"/>
      <c r="DR154" s="66" t="s">
        <v>1873</v>
      </c>
      <c r="DS154" s="66"/>
      <c r="DT154" s="79"/>
      <c r="DU154" s="79"/>
      <c r="DV154" s="79"/>
      <c r="DW154" s="79"/>
      <c r="DX154" s="79"/>
      <c r="DY154" s="78"/>
    </row>
    <row r="155" spans="1:129" x14ac:dyDescent="0.35">
      <c r="A155" s="42" t="s">
        <v>4743</v>
      </c>
      <c r="B155" s="42" t="s">
        <v>4927</v>
      </c>
      <c r="C155" s="42" t="s">
        <v>259</v>
      </c>
      <c r="D155" s="43" t="s">
        <v>260</v>
      </c>
      <c r="F155" s="44" t="s">
        <v>4926</v>
      </c>
      <c r="G155" s="42" t="s">
        <v>4955</v>
      </c>
      <c r="H155" s="42" t="s">
        <v>68</v>
      </c>
      <c r="I155" s="43" t="s">
        <v>68</v>
      </c>
      <c r="J155" s="43" t="s">
        <v>68</v>
      </c>
      <c r="K155" s="43"/>
      <c r="L155" s="43" t="s">
        <v>69</v>
      </c>
      <c r="M155" s="43">
        <v>3</v>
      </c>
      <c r="N155" s="43">
        <v>3</v>
      </c>
      <c r="O155" s="43" t="s">
        <v>69</v>
      </c>
      <c r="P155" s="43">
        <v>4</v>
      </c>
      <c r="Q155" s="43">
        <v>4</v>
      </c>
      <c r="R155" s="43" t="s">
        <v>69</v>
      </c>
      <c r="S155" s="43">
        <v>5</v>
      </c>
      <c r="T155" s="43">
        <v>5</v>
      </c>
      <c r="U155" s="42" t="s">
        <v>5537</v>
      </c>
      <c r="V155" s="42">
        <v>106.75</v>
      </c>
      <c r="W155" s="42">
        <v>106.75</v>
      </c>
      <c r="X155" s="42" t="s">
        <v>5285</v>
      </c>
      <c r="Y155" s="42" t="s">
        <v>5406</v>
      </c>
      <c r="Z155" s="43" t="s">
        <v>4743</v>
      </c>
      <c r="AA155" s="43" t="s">
        <v>4742</v>
      </c>
      <c r="AC155" s="42" t="s">
        <v>4684</v>
      </c>
      <c r="AD155" s="42" t="s">
        <v>4685</v>
      </c>
      <c r="AE155" s="42" t="s">
        <v>4686</v>
      </c>
      <c r="AF155" s="42" t="s">
        <v>259</v>
      </c>
      <c r="AG155" s="42" t="s">
        <v>4685</v>
      </c>
      <c r="AH155" t="s">
        <v>5537</v>
      </c>
      <c r="AI155" s="42" t="s">
        <v>4959</v>
      </c>
      <c r="AJ155" s="42" t="s">
        <v>5540</v>
      </c>
      <c r="AL155" s="42" t="s">
        <v>5541</v>
      </c>
      <c r="AM155" s="43">
        <v>106.75</v>
      </c>
      <c r="AN155" s="43">
        <v>106.75</v>
      </c>
      <c r="AO155" s="43" t="s">
        <v>70</v>
      </c>
      <c r="AQ155" s="43">
        <v>1</v>
      </c>
      <c r="AR155" s="42" t="s">
        <v>5571</v>
      </c>
      <c r="AU155" s="64"/>
      <c r="AV155" s="64">
        <v>62</v>
      </c>
      <c r="AW155" s="64" t="s">
        <v>4955</v>
      </c>
      <c r="AX155" s="64" t="s">
        <v>4744</v>
      </c>
      <c r="AY155" s="66" t="s">
        <v>478</v>
      </c>
      <c r="AZ155" s="66" t="s">
        <v>259</v>
      </c>
      <c r="BA155" s="64">
        <v>106.75</v>
      </c>
      <c r="BB155" s="64">
        <v>106.75</v>
      </c>
      <c r="BC155" s="64" t="s">
        <v>5285</v>
      </c>
      <c r="BD155" s="64" t="s">
        <v>5406</v>
      </c>
      <c r="BE155" s="64" t="s">
        <v>5285</v>
      </c>
      <c r="BF155" s="64" t="s">
        <v>5406</v>
      </c>
      <c r="BG155" s="64" t="s">
        <v>4963</v>
      </c>
      <c r="BH155" s="64" t="s">
        <v>5537</v>
      </c>
      <c r="BI155" s="64" t="s">
        <v>4926</v>
      </c>
      <c r="BJ155" s="64" t="s">
        <v>4954</v>
      </c>
      <c r="BK155" s="64" t="s">
        <v>474</v>
      </c>
      <c r="BL155" s="64" t="s">
        <v>474</v>
      </c>
      <c r="BM155" s="66" t="s">
        <v>1227</v>
      </c>
      <c r="BN155" s="66" t="s">
        <v>1468</v>
      </c>
      <c r="BO155" s="66" t="s">
        <v>1468</v>
      </c>
      <c r="BP155" s="66" t="s">
        <v>1474</v>
      </c>
      <c r="BQ155" s="66" t="s">
        <v>1479</v>
      </c>
      <c r="BR155" s="64">
        <v>3.899</v>
      </c>
      <c r="BS155" s="64">
        <v>0.84299999999999997</v>
      </c>
      <c r="BT155" s="66">
        <v>120</v>
      </c>
      <c r="BU155" s="79"/>
      <c r="BV155" s="79"/>
      <c r="BW155" s="79"/>
      <c r="BX155" s="79"/>
      <c r="BY155" s="79"/>
      <c r="BZ155" s="79"/>
      <c r="CA155" s="64"/>
      <c r="CB155" s="64" t="s">
        <v>1100</v>
      </c>
      <c r="CC155" s="64" t="s">
        <v>1100</v>
      </c>
      <c r="CD155" s="79"/>
      <c r="CE155" s="79"/>
      <c r="CF155" s="64"/>
      <c r="CG155" s="79"/>
      <c r="CH155" s="64">
        <v>0.46500000000000002</v>
      </c>
      <c r="CI155" s="79"/>
      <c r="CJ155" s="64">
        <v>1.9690000000000001</v>
      </c>
      <c r="CK155" s="79"/>
      <c r="CL155" s="79"/>
      <c r="CM155" s="79"/>
      <c r="CN155" s="79"/>
      <c r="CO155" s="64"/>
      <c r="CP155" s="66" t="s">
        <v>1654</v>
      </c>
      <c r="CQ155" s="79"/>
      <c r="CR155" s="79"/>
      <c r="CS155" s="79"/>
      <c r="CT155" s="79"/>
      <c r="CU155" s="79"/>
      <c r="CV155" s="79"/>
      <c r="CW155" s="79"/>
      <c r="CX155" s="79"/>
      <c r="CY155" s="79"/>
      <c r="CZ155" s="79"/>
      <c r="DA155" s="79"/>
      <c r="DB155" s="79"/>
      <c r="DC155" s="79"/>
      <c r="DD155" s="79"/>
      <c r="DE155" s="79"/>
      <c r="DF155" s="79"/>
      <c r="DG155" s="79"/>
      <c r="DH155" s="79"/>
      <c r="DI155" s="79"/>
      <c r="DJ155" s="79"/>
      <c r="DK155" s="79"/>
      <c r="DL155" s="64">
        <v>2.34</v>
      </c>
      <c r="DM155" s="79"/>
      <c r="DN155" s="79"/>
      <c r="DO155" s="79"/>
      <c r="DP155" s="79"/>
      <c r="DQ155" s="79"/>
      <c r="DR155" s="66" t="s">
        <v>1873</v>
      </c>
      <c r="DS155" s="66"/>
      <c r="DT155" s="79"/>
      <c r="DU155" s="79"/>
      <c r="DV155" s="79"/>
      <c r="DW155" s="79"/>
      <c r="DX155" s="79"/>
      <c r="DY155" s="78"/>
    </row>
    <row r="156" spans="1:129" x14ac:dyDescent="0.35">
      <c r="A156" s="42" t="s">
        <v>4743</v>
      </c>
      <c r="B156" s="42" t="s">
        <v>4929</v>
      </c>
      <c r="C156" s="42" t="s">
        <v>259</v>
      </c>
      <c r="D156" s="43" t="s">
        <v>260</v>
      </c>
      <c r="F156" s="44" t="s">
        <v>4928</v>
      </c>
      <c r="G156" s="42" t="s">
        <v>4955</v>
      </c>
      <c r="H156" s="42" t="s">
        <v>68</v>
      </c>
      <c r="I156" s="43" t="s">
        <v>68</v>
      </c>
      <c r="J156" s="43" t="s">
        <v>68</v>
      </c>
      <c r="K156" s="43"/>
      <c r="L156" s="43" t="s">
        <v>69</v>
      </c>
      <c r="M156" s="43">
        <v>3</v>
      </c>
      <c r="N156" s="43">
        <v>3</v>
      </c>
      <c r="O156" s="43" t="s">
        <v>69</v>
      </c>
      <c r="P156" s="43">
        <v>4</v>
      </c>
      <c r="Q156" s="43">
        <v>4</v>
      </c>
      <c r="R156" s="43" t="s">
        <v>69</v>
      </c>
      <c r="S156" s="43">
        <v>5</v>
      </c>
      <c r="T156" s="43">
        <v>5</v>
      </c>
      <c r="U156" s="42" t="s">
        <v>5537</v>
      </c>
      <c r="V156" s="42">
        <v>106.75</v>
      </c>
      <c r="W156" s="42">
        <v>106.75</v>
      </c>
      <c r="X156" s="42" t="s">
        <v>5572</v>
      </c>
      <c r="Y156" s="42" t="s">
        <v>5573</v>
      </c>
      <c r="Z156" s="43" t="s">
        <v>4743</v>
      </c>
      <c r="AA156" s="43" t="s">
        <v>4742</v>
      </c>
      <c r="AC156" s="42" t="s">
        <v>4684</v>
      </c>
      <c r="AD156" s="42" t="s">
        <v>4685</v>
      </c>
      <c r="AE156" s="42" t="s">
        <v>4686</v>
      </c>
      <c r="AF156" s="42" t="s">
        <v>259</v>
      </c>
      <c r="AG156" s="42" t="s">
        <v>4685</v>
      </c>
      <c r="AH156" t="s">
        <v>5537</v>
      </c>
      <c r="AI156" s="42" t="s">
        <v>4959</v>
      </c>
      <c r="AJ156" s="42" t="s">
        <v>5540</v>
      </c>
      <c r="AL156" s="42" t="s">
        <v>5541</v>
      </c>
      <c r="AM156" s="43">
        <v>106.75</v>
      </c>
      <c r="AN156" s="43">
        <v>106.75</v>
      </c>
      <c r="AO156" s="43" t="s">
        <v>70</v>
      </c>
      <c r="AQ156" s="43">
        <v>1</v>
      </c>
      <c r="AR156" s="42" t="s">
        <v>5574</v>
      </c>
      <c r="AU156" s="64"/>
      <c r="AV156" s="64">
        <v>62</v>
      </c>
      <c r="AW156" s="64" t="s">
        <v>4955</v>
      </c>
      <c r="AX156" s="64" t="s">
        <v>4744</v>
      </c>
      <c r="AY156" s="66" t="s">
        <v>478</v>
      </c>
      <c r="AZ156" s="66" t="s">
        <v>259</v>
      </c>
      <c r="BA156" s="64">
        <v>106.75</v>
      </c>
      <c r="BB156" s="64">
        <v>106.75</v>
      </c>
      <c r="BC156" s="64" t="s">
        <v>5572</v>
      </c>
      <c r="BD156" s="64" t="s">
        <v>5573</v>
      </c>
      <c r="BE156" s="64" t="s">
        <v>5572</v>
      </c>
      <c r="BF156" s="64" t="s">
        <v>5573</v>
      </c>
      <c r="BG156" s="64" t="s">
        <v>4963</v>
      </c>
      <c r="BH156" s="64" t="s">
        <v>5537</v>
      </c>
      <c r="BI156" s="64" t="s">
        <v>4928</v>
      </c>
      <c r="BJ156" s="64" t="s">
        <v>4954</v>
      </c>
      <c r="BK156" s="64" t="s">
        <v>474</v>
      </c>
      <c r="BL156" s="64" t="s">
        <v>474</v>
      </c>
      <c r="BM156" s="66" t="s">
        <v>1289</v>
      </c>
      <c r="BN156" s="66" t="s">
        <v>1468</v>
      </c>
      <c r="BO156" s="66" t="s">
        <v>1468</v>
      </c>
      <c r="BP156" s="66" t="s">
        <v>1474</v>
      </c>
      <c r="BQ156" s="66" t="s">
        <v>1479</v>
      </c>
      <c r="BR156" s="64">
        <v>3.9009999999999998</v>
      </c>
      <c r="BS156" s="64">
        <v>0.65700000000000003</v>
      </c>
      <c r="BT156" s="66">
        <v>120</v>
      </c>
      <c r="BU156" s="79"/>
      <c r="BV156" s="79"/>
      <c r="BW156" s="79"/>
      <c r="BX156" s="79"/>
      <c r="BY156" s="79"/>
      <c r="BZ156" s="79"/>
      <c r="CA156" s="64"/>
      <c r="CB156" s="64" t="s">
        <v>1100</v>
      </c>
      <c r="CC156" s="64" t="s">
        <v>1100</v>
      </c>
      <c r="CD156" s="79"/>
      <c r="CE156" s="79"/>
      <c r="CF156" s="64"/>
      <c r="CG156" s="79"/>
      <c r="CH156" s="64">
        <v>0.215</v>
      </c>
      <c r="CI156" s="79"/>
      <c r="CJ156" s="64">
        <v>2.5289999999999999</v>
      </c>
      <c r="CK156" s="79"/>
      <c r="CL156" s="79"/>
      <c r="CM156" s="79"/>
      <c r="CN156" s="79"/>
      <c r="CO156" s="64"/>
      <c r="CP156" s="66" t="s">
        <v>1654</v>
      </c>
      <c r="CQ156" s="79"/>
      <c r="CR156" s="79"/>
      <c r="CS156" s="79"/>
      <c r="CT156" s="79"/>
      <c r="CU156" s="79"/>
      <c r="CV156" s="79"/>
      <c r="CW156" s="79"/>
      <c r="CX156" s="79"/>
      <c r="CY156" s="79"/>
      <c r="CZ156" s="79"/>
      <c r="DA156" s="79"/>
      <c r="DB156" s="79"/>
      <c r="DC156" s="79"/>
      <c r="DD156" s="79"/>
      <c r="DE156" s="79"/>
      <c r="DF156" s="79"/>
      <c r="DG156" s="79"/>
      <c r="DH156" s="79"/>
      <c r="DI156" s="79"/>
      <c r="DJ156" s="79"/>
      <c r="DK156" s="79"/>
      <c r="DL156" s="64">
        <v>0.84</v>
      </c>
      <c r="DM156" s="79"/>
      <c r="DN156" s="79"/>
      <c r="DO156" s="79"/>
      <c r="DP156" s="79"/>
      <c r="DQ156" s="79"/>
      <c r="DR156" s="66" t="s">
        <v>1873</v>
      </c>
      <c r="DS156" s="66"/>
      <c r="DT156" s="79"/>
      <c r="DU156" s="79"/>
      <c r="DV156" s="79"/>
      <c r="DW156" s="79"/>
      <c r="DX156" s="79"/>
      <c r="DY156" s="78"/>
    </row>
    <row r="157" spans="1:129" x14ac:dyDescent="0.35">
      <c r="A157" s="42" t="s">
        <v>4743</v>
      </c>
      <c r="B157" s="42" t="s">
        <v>4931</v>
      </c>
      <c r="C157" s="42" t="s">
        <v>259</v>
      </c>
      <c r="D157" s="43" t="s">
        <v>260</v>
      </c>
      <c r="F157" s="44" t="s">
        <v>4930</v>
      </c>
      <c r="G157" s="42" t="s">
        <v>4955</v>
      </c>
      <c r="H157" s="42" t="s">
        <v>68</v>
      </c>
      <c r="I157" s="43" t="s">
        <v>68</v>
      </c>
      <c r="J157" s="43" t="s">
        <v>68</v>
      </c>
      <c r="K157" s="43"/>
      <c r="L157" s="43" t="s">
        <v>69</v>
      </c>
      <c r="M157" s="43">
        <v>3</v>
      </c>
      <c r="N157" s="43">
        <v>3</v>
      </c>
      <c r="O157" s="43" t="s">
        <v>69</v>
      </c>
      <c r="P157" s="43">
        <v>4</v>
      </c>
      <c r="Q157" s="43">
        <v>4</v>
      </c>
      <c r="R157" s="43" t="s">
        <v>69</v>
      </c>
      <c r="S157" s="43">
        <v>5</v>
      </c>
      <c r="T157" s="43">
        <v>5</v>
      </c>
      <c r="U157" s="42" t="s">
        <v>5537</v>
      </c>
      <c r="V157" s="42">
        <v>106.75</v>
      </c>
      <c r="W157" s="42">
        <v>106.75</v>
      </c>
      <c r="X157" s="42" t="s">
        <v>5575</v>
      </c>
      <c r="Y157" s="42" t="s">
        <v>5576</v>
      </c>
      <c r="Z157" s="43" t="s">
        <v>4743</v>
      </c>
      <c r="AA157" s="43" t="s">
        <v>4742</v>
      </c>
      <c r="AC157" s="42" t="s">
        <v>4684</v>
      </c>
      <c r="AD157" s="42" t="s">
        <v>4685</v>
      </c>
      <c r="AE157" s="42" t="s">
        <v>4686</v>
      </c>
      <c r="AF157" s="42" t="s">
        <v>259</v>
      </c>
      <c r="AG157" s="42" t="s">
        <v>4685</v>
      </c>
      <c r="AH157" t="s">
        <v>5537</v>
      </c>
      <c r="AI157" s="42" t="s">
        <v>4959</v>
      </c>
      <c r="AJ157" s="42" t="s">
        <v>5540</v>
      </c>
      <c r="AL157" s="42" t="s">
        <v>5541</v>
      </c>
      <c r="AM157" s="43">
        <v>106.75</v>
      </c>
      <c r="AN157" s="43">
        <v>106.75</v>
      </c>
      <c r="AO157" s="43" t="s">
        <v>70</v>
      </c>
      <c r="AQ157" s="43">
        <v>1</v>
      </c>
      <c r="AR157" s="42" t="s">
        <v>5577</v>
      </c>
      <c r="AU157" s="64"/>
      <c r="AV157" s="64">
        <v>62</v>
      </c>
      <c r="AW157" s="64" t="s">
        <v>4955</v>
      </c>
      <c r="AX157" s="64" t="s">
        <v>4744</v>
      </c>
      <c r="AY157" s="66" t="s">
        <v>478</v>
      </c>
      <c r="AZ157" s="66" t="s">
        <v>259</v>
      </c>
      <c r="BA157" s="64">
        <v>106.75</v>
      </c>
      <c r="BB157" s="64">
        <v>106.75</v>
      </c>
      <c r="BC157" s="64" t="s">
        <v>5575</v>
      </c>
      <c r="BD157" s="64" t="s">
        <v>5576</v>
      </c>
      <c r="BE157" s="64" t="s">
        <v>5575</v>
      </c>
      <c r="BF157" s="64" t="s">
        <v>5576</v>
      </c>
      <c r="BG157" s="64" t="s">
        <v>4963</v>
      </c>
      <c r="BH157" s="64" t="s">
        <v>5537</v>
      </c>
      <c r="BI157" s="64" t="s">
        <v>4930</v>
      </c>
      <c r="BJ157" s="64" t="s">
        <v>4954</v>
      </c>
      <c r="BK157" s="64" t="s">
        <v>474</v>
      </c>
      <c r="BL157" s="64" t="s">
        <v>474</v>
      </c>
      <c r="BM157" s="66" t="s">
        <v>1289</v>
      </c>
      <c r="BN157" s="66" t="s">
        <v>1468</v>
      </c>
      <c r="BO157" s="66" t="s">
        <v>1468</v>
      </c>
      <c r="BP157" s="66" t="s">
        <v>1474</v>
      </c>
      <c r="BQ157" s="66" t="s">
        <v>1479</v>
      </c>
      <c r="BR157" s="64">
        <v>3.9009999999999998</v>
      </c>
      <c r="BS157" s="64">
        <v>0.65700000000000003</v>
      </c>
      <c r="BT157" s="66">
        <v>120</v>
      </c>
      <c r="BU157" s="79"/>
      <c r="BV157" s="79"/>
      <c r="BW157" s="79"/>
      <c r="BX157" s="79"/>
      <c r="BY157" s="79"/>
      <c r="BZ157" s="79"/>
      <c r="CA157" s="64"/>
      <c r="CB157" s="64" t="s">
        <v>1100</v>
      </c>
      <c r="CC157" s="64" t="s">
        <v>1100</v>
      </c>
      <c r="CD157" s="79"/>
      <c r="CE157" s="79"/>
      <c r="CF157" s="64"/>
      <c r="CG157" s="79"/>
      <c r="CH157" s="64">
        <v>0.215</v>
      </c>
      <c r="CI157" s="79"/>
      <c r="CJ157" s="64">
        <v>2.5289999999999999</v>
      </c>
      <c r="CK157" s="79"/>
      <c r="CL157" s="79"/>
      <c r="CM157" s="79"/>
      <c r="CN157" s="79"/>
      <c r="CO157" s="64"/>
      <c r="CP157" s="66" t="s">
        <v>1654</v>
      </c>
      <c r="CQ157" s="79"/>
      <c r="CR157" s="79"/>
      <c r="CS157" s="79"/>
      <c r="CT157" s="79"/>
      <c r="CU157" s="79"/>
      <c r="CV157" s="79"/>
      <c r="CW157" s="79"/>
      <c r="CX157" s="79"/>
      <c r="CY157" s="79"/>
      <c r="CZ157" s="79"/>
      <c r="DA157" s="79"/>
      <c r="DB157" s="79"/>
      <c r="DC157" s="79"/>
      <c r="DD157" s="79"/>
      <c r="DE157" s="79"/>
      <c r="DF157" s="79"/>
      <c r="DG157" s="79"/>
      <c r="DH157" s="79"/>
      <c r="DI157" s="79"/>
      <c r="DJ157" s="79"/>
      <c r="DK157" s="79"/>
      <c r="DL157" s="64">
        <v>0.84</v>
      </c>
      <c r="DM157" s="79"/>
      <c r="DN157" s="79"/>
      <c r="DO157" s="79"/>
      <c r="DP157" s="79"/>
      <c r="DQ157" s="79"/>
      <c r="DR157" s="66" t="s">
        <v>1873</v>
      </c>
      <c r="DS157" s="66"/>
      <c r="DT157" s="79"/>
      <c r="DU157" s="79"/>
      <c r="DV157" s="79"/>
      <c r="DW157" s="79"/>
      <c r="DX157" s="79"/>
      <c r="DY157" s="78"/>
    </row>
    <row r="158" spans="1:129" x14ac:dyDescent="0.35">
      <c r="A158" s="42" t="s">
        <v>4743</v>
      </c>
      <c r="B158" s="42" t="s">
        <v>4933</v>
      </c>
      <c r="C158" s="42" t="s">
        <v>261</v>
      </c>
      <c r="D158" s="43" t="s">
        <v>262</v>
      </c>
      <c r="F158" s="44" t="s">
        <v>4932</v>
      </c>
      <c r="G158" s="42" t="s">
        <v>4955</v>
      </c>
      <c r="H158" s="42" t="s">
        <v>68</v>
      </c>
      <c r="I158" s="43" t="s">
        <v>68</v>
      </c>
      <c r="J158" s="43" t="s">
        <v>68</v>
      </c>
      <c r="K158" s="43"/>
      <c r="L158" s="43" t="s">
        <v>69</v>
      </c>
      <c r="M158" s="43">
        <v>3</v>
      </c>
      <c r="N158" s="43">
        <v>3</v>
      </c>
      <c r="O158" s="43" t="s">
        <v>69</v>
      </c>
      <c r="P158" s="43">
        <v>4</v>
      </c>
      <c r="Q158" s="43">
        <v>4</v>
      </c>
      <c r="R158" s="43" t="s">
        <v>69</v>
      </c>
      <c r="S158" s="43">
        <v>5</v>
      </c>
      <c r="T158" s="43">
        <v>5</v>
      </c>
      <c r="U158" s="42" t="s">
        <v>4967</v>
      </c>
      <c r="V158" s="42">
        <v>106.73</v>
      </c>
      <c r="W158" s="42">
        <v>106.73</v>
      </c>
      <c r="X158" s="42" t="s">
        <v>5578</v>
      </c>
      <c r="Y158" s="42" t="s">
        <v>5579</v>
      </c>
      <c r="Z158" s="43" t="s">
        <v>4743</v>
      </c>
      <c r="AA158" s="43" t="s">
        <v>4742</v>
      </c>
      <c r="AC158" s="42" t="s">
        <v>4684</v>
      </c>
      <c r="AD158" s="42" t="s">
        <v>4685</v>
      </c>
      <c r="AE158" s="42" t="s">
        <v>4686</v>
      </c>
      <c r="AF158" s="42" t="s">
        <v>261</v>
      </c>
      <c r="AG158" s="42" t="s">
        <v>4685</v>
      </c>
      <c r="AH158" t="s">
        <v>4967</v>
      </c>
      <c r="AI158" s="42" t="s">
        <v>4959</v>
      </c>
      <c r="AJ158" s="42" t="s">
        <v>4970</v>
      </c>
      <c r="AL158" s="42" t="s">
        <v>4971</v>
      </c>
      <c r="AM158" s="43">
        <v>106.73</v>
      </c>
      <c r="AN158" s="43">
        <v>106.73</v>
      </c>
      <c r="AO158" s="43" t="s">
        <v>70</v>
      </c>
      <c r="AQ158" s="43">
        <v>1</v>
      </c>
      <c r="AR158" s="42" t="s">
        <v>5580</v>
      </c>
      <c r="AU158" s="64"/>
      <c r="AV158" s="64">
        <v>62</v>
      </c>
      <c r="AW158" s="64" t="s">
        <v>4955</v>
      </c>
      <c r="AX158" s="64" t="s">
        <v>4744</v>
      </c>
      <c r="AY158" s="66" t="s">
        <v>478</v>
      </c>
      <c r="AZ158" s="66" t="s">
        <v>261</v>
      </c>
      <c r="BA158" s="64">
        <v>106.73</v>
      </c>
      <c r="BB158" s="64">
        <v>106.73</v>
      </c>
      <c r="BC158" s="64" t="s">
        <v>5578</v>
      </c>
      <c r="BD158" s="64" t="s">
        <v>5579</v>
      </c>
      <c r="BE158" s="64" t="s">
        <v>5578</v>
      </c>
      <c r="BF158" s="64" t="s">
        <v>5579</v>
      </c>
      <c r="BG158" s="64" t="s">
        <v>4963</v>
      </c>
      <c r="BH158" s="64" t="s">
        <v>4967</v>
      </c>
      <c r="BI158" s="64" t="s">
        <v>4932</v>
      </c>
      <c r="BJ158" s="64" t="s">
        <v>4954</v>
      </c>
      <c r="BK158" s="64" t="s">
        <v>474</v>
      </c>
      <c r="BL158" s="64" t="s">
        <v>474</v>
      </c>
      <c r="BM158" s="66" t="s">
        <v>1219</v>
      </c>
      <c r="BN158" s="66" t="s">
        <v>1468</v>
      </c>
      <c r="BO158" s="66" t="s">
        <v>1468</v>
      </c>
      <c r="BP158" s="66" t="s">
        <v>1474</v>
      </c>
      <c r="BQ158" s="66" t="s">
        <v>1479</v>
      </c>
      <c r="BR158" s="64">
        <v>3</v>
      </c>
      <c r="BS158" s="64">
        <v>2.41</v>
      </c>
      <c r="BT158" s="66">
        <v>120</v>
      </c>
      <c r="BU158" s="79"/>
      <c r="BV158" s="79"/>
      <c r="BW158" s="79"/>
      <c r="BX158" s="79"/>
      <c r="BY158" s="64">
        <v>2.1139999999999999</v>
      </c>
      <c r="BZ158" s="79"/>
      <c r="CA158" s="79"/>
      <c r="CB158" s="64">
        <v>136.65560165975103</v>
      </c>
      <c r="CC158" s="64">
        <v>4.1954140127388531E-2</v>
      </c>
      <c r="CD158" s="79"/>
      <c r="CE158" s="79"/>
      <c r="CF158" s="64"/>
      <c r="CG158" s="79"/>
      <c r="CH158" s="79"/>
      <c r="CI158" s="79"/>
      <c r="CJ158" s="79"/>
      <c r="CK158" s="79"/>
      <c r="CL158" s="79"/>
      <c r="CM158" s="79"/>
      <c r="CN158" s="79"/>
      <c r="CO158" s="79"/>
      <c r="CP158" s="79"/>
      <c r="CQ158" s="79"/>
      <c r="CR158" s="79"/>
      <c r="CS158" s="79"/>
      <c r="CT158" s="79"/>
      <c r="CU158" s="79"/>
      <c r="CV158" s="79"/>
      <c r="CW158" s="79"/>
      <c r="CX158" s="79"/>
      <c r="CY158" s="79"/>
      <c r="CZ158" s="79"/>
      <c r="DA158" s="79"/>
      <c r="DB158" s="79"/>
      <c r="DC158" s="79"/>
      <c r="DD158" s="79"/>
      <c r="DE158" s="79"/>
      <c r="DF158" s="79"/>
      <c r="DG158" s="79"/>
      <c r="DH158" s="79"/>
      <c r="DI158" s="79"/>
      <c r="DJ158" s="79"/>
      <c r="DK158" s="79"/>
      <c r="DL158" s="79"/>
      <c r="DM158" s="79"/>
      <c r="DN158" s="79"/>
      <c r="DO158" s="79"/>
      <c r="DP158" s="79"/>
      <c r="DQ158" s="79"/>
      <c r="DR158" s="66" t="s">
        <v>1873</v>
      </c>
      <c r="DS158" s="66"/>
      <c r="DT158" s="79"/>
      <c r="DU158" s="79"/>
      <c r="DV158" s="79"/>
      <c r="DW158" s="64">
        <v>16.579999999999998</v>
      </c>
      <c r="DX158" s="79"/>
      <c r="DY158" s="78"/>
    </row>
    <row r="159" spans="1:129" x14ac:dyDescent="0.35">
      <c r="A159" s="42" t="s">
        <v>4743</v>
      </c>
      <c r="B159" s="42" t="s">
        <v>4935</v>
      </c>
      <c r="C159" s="42" t="s">
        <v>261</v>
      </c>
      <c r="D159" s="43" t="s">
        <v>262</v>
      </c>
      <c r="F159" s="44" t="s">
        <v>4934</v>
      </c>
      <c r="G159" s="42" t="s">
        <v>4955</v>
      </c>
      <c r="H159" s="42" t="s">
        <v>68</v>
      </c>
      <c r="I159" s="43" t="s">
        <v>68</v>
      </c>
      <c r="J159" s="43" t="s">
        <v>68</v>
      </c>
      <c r="K159" s="43"/>
      <c r="L159" s="43" t="s">
        <v>69</v>
      </c>
      <c r="M159" s="43">
        <v>3</v>
      </c>
      <c r="N159" s="43">
        <v>3</v>
      </c>
      <c r="O159" s="43" t="s">
        <v>69</v>
      </c>
      <c r="P159" s="43">
        <v>4</v>
      </c>
      <c r="Q159" s="43">
        <v>4</v>
      </c>
      <c r="R159" s="43" t="s">
        <v>69</v>
      </c>
      <c r="S159" s="43">
        <v>5</v>
      </c>
      <c r="T159" s="43">
        <v>5</v>
      </c>
      <c r="U159" s="42" t="s">
        <v>4967</v>
      </c>
      <c r="V159" s="42">
        <v>106.73</v>
      </c>
      <c r="W159" s="42">
        <v>106.73</v>
      </c>
      <c r="X159" s="42" t="s">
        <v>5581</v>
      </c>
      <c r="Y159" s="42" t="s">
        <v>5413</v>
      </c>
      <c r="Z159" s="43" t="s">
        <v>4743</v>
      </c>
      <c r="AA159" s="43" t="s">
        <v>4742</v>
      </c>
      <c r="AC159" s="42" t="s">
        <v>4684</v>
      </c>
      <c r="AD159" s="42" t="s">
        <v>4685</v>
      </c>
      <c r="AE159" s="42" t="s">
        <v>4686</v>
      </c>
      <c r="AF159" s="42" t="s">
        <v>261</v>
      </c>
      <c r="AG159" s="42" t="s">
        <v>4685</v>
      </c>
      <c r="AH159" t="s">
        <v>4967</v>
      </c>
      <c r="AI159" s="42" t="s">
        <v>4959</v>
      </c>
      <c r="AJ159" s="42" t="s">
        <v>4970</v>
      </c>
      <c r="AL159" s="42" t="s">
        <v>4971</v>
      </c>
      <c r="AM159" s="43">
        <v>106.73</v>
      </c>
      <c r="AN159" s="43">
        <v>106.73</v>
      </c>
      <c r="AO159" s="43" t="s">
        <v>70</v>
      </c>
      <c r="AQ159" s="43">
        <v>1</v>
      </c>
      <c r="AR159" s="42" t="s">
        <v>5582</v>
      </c>
      <c r="AU159" s="64"/>
      <c r="AV159" s="64">
        <v>62</v>
      </c>
      <c r="AW159" s="64" t="s">
        <v>4955</v>
      </c>
      <c r="AX159" s="64" t="s">
        <v>4744</v>
      </c>
      <c r="AY159" s="66" t="s">
        <v>478</v>
      </c>
      <c r="AZ159" s="66" t="s">
        <v>261</v>
      </c>
      <c r="BA159" s="64">
        <v>106.73</v>
      </c>
      <c r="BB159" s="64">
        <v>106.73</v>
      </c>
      <c r="BC159" s="64" t="s">
        <v>5581</v>
      </c>
      <c r="BD159" s="64" t="s">
        <v>5413</v>
      </c>
      <c r="BE159" s="64" t="s">
        <v>5581</v>
      </c>
      <c r="BF159" s="64" t="s">
        <v>5413</v>
      </c>
      <c r="BG159" s="64" t="s">
        <v>4963</v>
      </c>
      <c r="BH159" s="64" t="s">
        <v>4967</v>
      </c>
      <c r="BI159" s="64" t="s">
        <v>4934</v>
      </c>
      <c r="BJ159" s="64" t="s">
        <v>4954</v>
      </c>
      <c r="BK159" s="64" t="s">
        <v>474</v>
      </c>
      <c r="BL159" s="64" t="s">
        <v>474</v>
      </c>
      <c r="BM159" s="66" t="s">
        <v>1219</v>
      </c>
      <c r="BN159" s="66" t="s">
        <v>1468</v>
      </c>
      <c r="BO159" s="66" t="s">
        <v>1468</v>
      </c>
      <c r="BP159" s="66" t="s">
        <v>1474</v>
      </c>
      <c r="BQ159" s="66" t="s">
        <v>1479</v>
      </c>
      <c r="BR159" s="64">
        <v>3</v>
      </c>
      <c r="BS159" s="64">
        <v>2.41</v>
      </c>
      <c r="BT159" s="66">
        <v>120</v>
      </c>
      <c r="BU159" s="79"/>
      <c r="BV159" s="79"/>
      <c r="BW159" s="79"/>
      <c r="BX159" s="79"/>
      <c r="BY159" s="64">
        <v>2.1139999999999999</v>
      </c>
      <c r="BZ159" s="79"/>
      <c r="CA159" s="79"/>
      <c r="CB159" s="64">
        <v>136.65560165975103</v>
      </c>
      <c r="CC159" s="64">
        <v>4.1954140127388531E-2</v>
      </c>
      <c r="CD159" s="79"/>
      <c r="CE159" s="79"/>
      <c r="CF159" s="64"/>
      <c r="CG159" s="79"/>
      <c r="CH159" s="79"/>
      <c r="CI159" s="79"/>
      <c r="CJ159" s="79"/>
      <c r="CK159" s="79"/>
      <c r="CL159" s="79"/>
      <c r="CM159" s="79"/>
      <c r="CN159" s="79"/>
      <c r="CO159" s="79"/>
      <c r="CP159" s="79"/>
      <c r="CQ159" s="79"/>
      <c r="CR159" s="79"/>
      <c r="CS159" s="79"/>
      <c r="CT159" s="79"/>
      <c r="CU159" s="79"/>
      <c r="CV159" s="79"/>
      <c r="CW159" s="79"/>
      <c r="CX159" s="79"/>
      <c r="CY159" s="79"/>
      <c r="CZ159" s="79"/>
      <c r="DA159" s="79"/>
      <c r="DB159" s="79"/>
      <c r="DC159" s="79"/>
      <c r="DD159" s="79"/>
      <c r="DE159" s="79"/>
      <c r="DF159" s="79"/>
      <c r="DG159" s="79"/>
      <c r="DH159" s="79"/>
      <c r="DI159" s="79"/>
      <c r="DJ159" s="79"/>
      <c r="DK159" s="79"/>
      <c r="DL159" s="79"/>
      <c r="DM159" s="79"/>
      <c r="DN159" s="79"/>
      <c r="DO159" s="79"/>
      <c r="DP159" s="79"/>
      <c r="DQ159" s="79"/>
      <c r="DR159" s="66" t="s">
        <v>1873</v>
      </c>
      <c r="DS159" s="66"/>
      <c r="DT159" s="79"/>
      <c r="DU159" s="79"/>
      <c r="DV159" s="79"/>
      <c r="DW159" s="64">
        <v>16.579999999999998</v>
      </c>
      <c r="DX159" s="79"/>
      <c r="DY159" s="78"/>
    </row>
    <row r="160" spans="1:129" x14ac:dyDescent="0.35">
      <c r="A160" s="42" t="s">
        <v>4743</v>
      </c>
      <c r="B160" s="42" t="s">
        <v>4937</v>
      </c>
      <c r="C160" s="42" t="s">
        <v>261</v>
      </c>
      <c r="D160" s="43" t="s">
        <v>262</v>
      </c>
      <c r="F160" s="44" t="s">
        <v>4936</v>
      </c>
      <c r="G160" s="42" t="s">
        <v>4955</v>
      </c>
      <c r="H160" s="42" t="s">
        <v>68</v>
      </c>
      <c r="I160" s="43" t="s">
        <v>68</v>
      </c>
      <c r="J160" s="43" t="s">
        <v>68</v>
      </c>
      <c r="K160" s="43"/>
      <c r="L160" s="43" t="s">
        <v>69</v>
      </c>
      <c r="M160" s="43">
        <v>3</v>
      </c>
      <c r="N160" s="43">
        <v>3</v>
      </c>
      <c r="O160" s="43" t="s">
        <v>69</v>
      </c>
      <c r="P160" s="43">
        <v>4</v>
      </c>
      <c r="Q160" s="43">
        <v>4</v>
      </c>
      <c r="R160" s="43" t="s">
        <v>69</v>
      </c>
      <c r="S160" s="43">
        <v>5</v>
      </c>
      <c r="T160" s="43">
        <v>5</v>
      </c>
      <c r="U160" s="42" t="s">
        <v>4967</v>
      </c>
      <c r="V160" s="42">
        <v>106.72</v>
      </c>
      <c r="W160" s="42">
        <v>106.73</v>
      </c>
      <c r="X160" s="42" t="s">
        <v>5583</v>
      </c>
      <c r="Y160" s="42" t="s">
        <v>5584</v>
      </c>
      <c r="Z160" s="43" t="s">
        <v>4743</v>
      </c>
      <c r="AA160" s="43" t="s">
        <v>4742</v>
      </c>
      <c r="AC160" s="42" t="s">
        <v>4684</v>
      </c>
      <c r="AD160" s="42" t="s">
        <v>4685</v>
      </c>
      <c r="AE160" s="42" t="s">
        <v>4686</v>
      </c>
      <c r="AF160" s="42" t="s">
        <v>261</v>
      </c>
      <c r="AG160" s="42" t="s">
        <v>4685</v>
      </c>
      <c r="AH160" t="s">
        <v>4967</v>
      </c>
      <c r="AI160" s="42" t="s">
        <v>4959</v>
      </c>
      <c r="AJ160" s="42" t="s">
        <v>4970</v>
      </c>
      <c r="AL160" s="42" t="s">
        <v>4971</v>
      </c>
      <c r="AM160" s="43">
        <v>106.72</v>
      </c>
      <c r="AN160" s="43">
        <v>106.73</v>
      </c>
      <c r="AO160" s="43" t="s">
        <v>70</v>
      </c>
      <c r="AQ160" s="43">
        <v>1</v>
      </c>
      <c r="AR160" s="42" t="s">
        <v>5585</v>
      </c>
      <c r="AU160" s="64"/>
      <c r="AV160" s="64">
        <v>62</v>
      </c>
      <c r="AW160" s="64" t="s">
        <v>4955</v>
      </c>
      <c r="AX160" s="64" t="s">
        <v>4744</v>
      </c>
      <c r="AY160" s="66" t="s">
        <v>478</v>
      </c>
      <c r="AZ160" s="66" t="s">
        <v>261</v>
      </c>
      <c r="BA160" s="64">
        <v>106.72</v>
      </c>
      <c r="BB160" s="64">
        <v>106.73</v>
      </c>
      <c r="BC160" s="64" t="s">
        <v>5583</v>
      </c>
      <c r="BD160" s="64" t="s">
        <v>5584</v>
      </c>
      <c r="BE160" s="64" t="s">
        <v>5583</v>
      </c>
      <c r="BF160" s="64" t="s">
        <v>5584</v>
      </c>
      <c r="BG160" s="64" t="s">
        <v>4963</v>
      </c>
      <c r="BH160" s="64" t="s">
        <v>4967</v>
      </c>
      <c r="BI160" s="64" t="s">
        <v>4936</v>
      </c>
      <c r="BJ160" s="64" t="s">
        <v>4954</v>
      </c>
      <c r="BK160" s="64" t="s">
        <v>474</v>
      </c>
      <c r="BL160" s="64" t="s">
        <v>474</v>
      </c>
      <c r="BM160" s="66" t="s">
        <v>1219</v>
      </c>
      <c r="BN160" s="66" t="s">
        <v>1468</v>
      </c>
      <c r="BO160" s="66" t="s">
        <v>1468</v>
      </c>
      <c r="BP160" s="66" t="s">
        <v>1474</v>
      </c>
      <c r="BQ160" s="66" t="s">
        <v>1479</v>
      </c>
      <c r="BR160" s="64">
        <v>3</v>
      </c>
      <c r="BS160" s="64">
        <v>2.41</v>
      </c>
      <c r="BT160" s="66">
        <v>120</v>
      </c>
      <c r="BU160" s="79"/>
      <c r="BV160" s="79"/>
      <c r="BW160" s="79"/>
      <c r="BX160" s="79"/>
      <c r="BY160" s="64">
        <v>2.1139999999999999</v>
      </c>
      <c r="BZ160" s="79"/>
      <c r="CA160" s="79"/>
      <c r="CB160" s="64">
        <v>136.65560165975103</v>
      </c>
      <c r="CC160" s="64">
        <v>4.1954140127388531E-2</v>
      </c>
      <c r="CD160" s="79"/>
      <c r="CE160" s="79"/>
      <c r="CF160" s="64"/>
      <c r="CG160" s="79"/>
      <c r="CH160" s="79"/>
      <c r="CI160" s="79"/>
      <c r="CJ160" s="79"/>
      <c r="CK160" s="79"/>
      <c r="CL160" s="79"/>
      <c r="CM160" s="79"/>
      <c r="CN160" s="79"/>
      <c r="CO160" s="79"/>
      <c r="CP160" s="79"/>
      <c r="CQ160" s="79"/>
      <c r="CR160" s="79"/>
      <c r="CS160" s="79"/>
      <c r="CT160" s="79"/>
      <c r="CU160" s="79"/>
      <c r="CV160" s="79"/>
      <c r="CW160" s="79"/>
      <c r="CX160" s="79"/>
      <c r="CY160" s="79"/>
      <c r="CZ160" s="79"/>
      <c r="DA160" s="79"/>
      <c r="DB160" s="79"/>
      <c r="DC160" s="79"/>
      <c r="DD160" s="79"/>
      <c r="DE160" s="79"/>
      <c r="DF160" s="79"/>
      <c r="DG160" s="79"/>
      <c r="DH160" s="79"/>
      <c r="DI160" s="79"/>
      <c r="DJ160" s="79"/>
      <c r="DK160" s="79"/>
      <c r="DL160" s="79"/>
      <c r="DM160" s="79"/>
      <c r="DN160" s="79"/>
      <c r="DO160" s="79"/>
      <c r="DP160" s="79"/>
      <c r="DQ160" s="79"/>
      <c r="DR160" s="66" t="s">
        <v>1873</v>
      </c>
      <c r="DS160" s="66"/>
      <c r="DT160" s="79"/>
      <c r="DU160" s="79"/>
      <c r="DV160" s="79"/>
      <c r="DW160" s="64">
        <v>16.579999999999998</v>
      </c>
      <c r="DX160" s="79"/>
      <c r="DY160" s="78"/>
    </row>
    <row r="161" spans="1:129" x14ac:dyDescent="0.35">
      <c r="A161" s="42" t="s">
        <v>4743</v>
      </c>
      <c r="B161" s="42" t="s">
        <v>4939</v>
      </c>
      <c r="C161" s="42" t="s">
        <v>261</v>
      </c>
      <c r="D161" s="43" t="s">
        <v>262</v>
      </c>
      <c r="F161" s="44" t="s">
        <v>4938</v>
      </c>
      <c r="G161" s="42" t="s">
        <v>4955</v>
      </c>
      <c r="H161" s="42" t="s">
        <v>68</v>
      </c>
      <c r="I161" s="43" t="s">
        <v>68</v>
      </c>
      <c r="J161" s="43" t="s">
        <v>68</v>
      </c>
      <c r="K161" s="43"/>
      <c r="L161" s="43" t="s">
        <v>69</v>
      </c>
      <c r="M161" s="43">
        <v>3</v>
      </c>
      <c r="N161" s="43">
        <v>3</v>
      </c>
      <c r="O161" s="43" t="s">
        <v>69</v>
      </c>
      <c r="P161" s="43">
        <v>4</v>
      </c>
      <c r="Q161" s="43">
        <v>4</v>
      </c>
      <c r="R161" s="43" t="s">
        <v>69</v>
      </c>
      <c r="S161" s="43">
        <v>5</v>
      </c>
      <c r="T161" s="43">
        <v>5</v>
      </c>
      <c r="U161" s="42" t="s">
        <v>4967</v>
      </c>
      <c r="V161" s="42">
        <v>106.72</v>
      </c>
      <c r="W161" s="42">
        <v>106.72</v>
      </c>
      <c r="X161" s="42" t="s">
        <v>5586</v>
      </c>
      <c r="Y161" s="42" t="s">
        <v>5587</v>
      </c>
      <c r="Z161" s="43" t="s">
        <v>4743</v>
      </c>
      <c r="AA161" s="43" t="s">
        <v>4742</v>
      </c>
      <c r="AC161" s="42" t="s">
        <v>4684</v>
      </c>
      <c r="AD161" s="42" t="s">
        <v>4685</v>
      </c>
      <c r="AE161" s="42" t="s">
        <v>4686</v>
      </c>
      <c r="AF161" s="42" t="s">
        <v>261</v>
      </c>
      <c r="AG161" s="42" t="s">
        <v>4685</v>
      </c>
      <c r="AH161" t="s">
        <v>4967</v>
      </c>
      <c r="AI161" s="42" t="s">
        <v>4959</v>
      </c>
      <c r="AJ161" s="42" t="s">
        <v>4970</v>
      </c>
      <c r="AL161" s="42" t="s">
        <v>4971</v>
      </c>
      <c r="AM161" s="43">
        <v>106.72</v>
      </c>
      <c r="AN161" s="43">
        <v>106.72</v>
      </c>
      <c r="AO161" s="43" t="s">
        <v>70</v>
      </c>
      <c r="AQ161" s="43">
        <v>1</v>
      </c>
      <c r="AR161" s="42" t="s">
        <v>5588</v>
      </c>
      <c r="AU161" s="64"/>
      <c r="AV161" s="64">
        <v>62</v>
      </c>
      <c r="AW161" s="64" t="s">
        <v>4955</v>
      </c>
      <c r="AX161" s="64" t="s">
        <v>4744</v>
      </c>
      <c r="AY161" s="66" t="s">
        <v>478</v>
      </c>
      <c r="AZ161" s="66" t="s">
        <v>261</v>
      </c>
      <c r="BA161" s="64">
        <v>106.72</v>
      </c>
      <c r="BB161" s="64">
        <v>106.72</v>
      </c>
      <c r="BC161" s="64" t="s">
        <v>5586</v>
      </c>
      <c r="BD161" s="64" t="s">
        <v>5587</v>
      </c>
      <c r="BE161" s="64" t="s">
        <v>5586</v>
      </c>
      <c r="BF161" s="64" t="s">
        <v>5587</v>
      </c>
      <c r="BG161" s="64" t="s">
        <v>4963</v>
      </c>
      <c r="BH161" s="64" t="s">
        <v>4967</v>
      </c>
      <c r="BI161" s="64" t="s">
        <v>4938</v>
      </c>
      <c r="BJ161" s="64" t="s">
        <v>4954</v>
      </c>
      <c r="BK161" s="64" t="s">
        <v>474</v>
      </c>
      <c r="BL161" s="64" t="s">
        <v>474</v>
      </c>
      <c r="BM161" s="66" t="s">
        <v>1219</v>
      </c>
      <c r="BN161" s="66" t="s">
        <v>1468</v>
      </c>
      <c r="BO161" s="66" t="s">
        <v>1468</v>
      </c>
      <c r="BP161" s="66" t="s">
        <v>1474</v>
      </c>
      <c r="BQ161" s="66" t="s">
        <v>1479</v>
      </c>
      <c r="BR161" s="64">
        <v>3</v>
      </c>
      <c r="BS161" s="64">
        <v>2.41</v>
      </c>
      <c r="BT161" s="66">
        <v>120</v>
      </c>
      <c r="BU161" s="79"/>
      <c r="BV161" s="79"/>
      <c r="BW161" s="79"/>
      <c r="BX161" s="79"/>
      <c r="BY161" s="64">
        <v>2.1139999999999999</v>
      </c>
      <c r="BZ161" s="79"/>
      <c r="CA161" s="79"/>
      <c r="CB161" s="64">
        <v>136.65560165975103</v>
      </c>
      <c r="CC161" s="64">
        <v>4.1954140127388531E-2</v>
      </c>
      <c r="CD161" s="79"/>
      <c r="CE161" s="79"/>
      <c r="CF161" s="64"/>
      <c r="CG161" s="79"/>
      <c r="CH161" s="79"/>
      <c r="CI161" s="79"/>
      <c r="CJ161" s="79"/>
      <c r="CK161" s="79"/>
      <c r="CL161" s="79"/>
      <c r="CM161" s="79"/>
      <c r="CN161" s="79"/>
      <c r="CO161" s="79"/>
      <c r="CP161" s="79"/>
      <c r="CQ161" s="79"/>
      <c r="CR161" s="79"/>
      <c r="CS161" s="79"/>
      <c r="CT161" s="79"/>
      <c r="CU161" s="79"/>
      <c r="CV161" s="79"/>
      <c r="CW161" s="79"/>
      <c r="CX161" s="79"/>
      <c r="CY161" s="79"/>
      <c r="CZ161" s="79"/>
      <c r="DA161" s="79"/>
      <c r="DB161" s="79"/>
      <c r="DC161" s="79"/>
      <c r="DD161" s="79"/>
      <c r="DE161" s="79"/>
      <c r="DF161" s="79"/>
      <c r="DG161" s="79"/>
      <c r="DH161" s="79"/>
      <c r="DI161" s="79"/>
      <c r="DJ161" s="79"/>
      <c r="DK161" s="79"/>
      <c r="DL161" s="79"/>
      <c r="DM161" s="79"/>
      <c r="DN161" s="79"/>
      <c r="DO161" s="79"/>
      <c r="DP161" s="79"/>
      <c r="DQ161" s="79"/>
      <c r="DR161" s="66" t="s">
        <v>1873</v>
      </c>
      <c r="DS161" s="66"/>
      <c r="DT161" s="79"/>
      <c r="DU161" s="79"/>
      <c r="DV161" s="79"/>
      <c r="DW161" s="64">
        <v>16.579999999999998</v>
      </c>
      <c r="DX161" s="79"/>
      <c r="DY161" s="78"/>
    </row>
    <row r="162" spans="1:129" x14ac:dyDescent="0.35">
      <c r="A162" s="42" t="s">
        <v>4743</v>
      </c>
      <c r="B162" s="42" t="s">
        <v>4941</v>
      </c>
      <c r="C162" s="42" t="s">
        <v>261</v>
      </c>
      <c r="D162" s="43" t="s">
        <v>262</v>
      </c>
      <c r="F162" s="44" t="s">
        <v>4940</v>
      </c>
      <c r="G162" s="42" t="s">
        <v>4955</v>
      </c>
      <c r="H162" s="42" t="s">
        <v>68</v>
      </c>
      <c r="I162" s="43" t="s">
        <v>68</v>
      </c>
      <c r="J162" s="43" t="s">
        <v>68</v>
      </c>
      <c r="K162" s="43"/>
      <c r="L162" s="43" t="s">
        <v>69</v>
      </c>
      <c r="M162" s="43">
        <v>3</v>
      </c>
      <c r="N162" s="43">
        <v>3</v>
      </c>
      <c r="O162" s="43" t="s">
        <v>69</v>
      </c>
      <c r="P162" s="43">
        <v>4</v>
      </c>
      <c r="Q162" s="43">
        <v>4</v>
      </c>
      <c r="R162" s="43" t="s">
        <v>69</v>
      </c>
      <c r="S162" s="43">
        <v>5</v>
      </c>
      <c r="T162" s="43">
        <v>5</v>
      </c>
      <c r="U162" s="42" t="s">
        <v>4967</v>
      </c>
      <c r="V162" s="42">
        <v>106.75</v>
      </c>
      <c r="W162" s="42">
        <v>106.76</v>
      </c>
      <c r="X162" s="42" t="s">
        <v>5589</v>
      </c>
      <c r="Y162" s="42" t="s">
        <v>5590</v>
      </c>
      <c r="Z162" s="43" t="s">
        <v>4743</v>
      </c>
      <c r="AA162" s="43" t="s">
        <v>4742</v>
      </c>
      <c r="AC162" s="42" t="s">
        <v>4684</v>
      </c>
      <c r="AD162" s="42" t="s">
        <v>4685</v>
      </c>
      <c r="AE162" s="42" t="s">
        <v>4686</v>
      </c>
      <c r="AF162" s="42" t="s">
        <v>261</v>
      </c>
      <c r="AG162" s="42" t="s">
        <v>4685</v>
      </c>
      <c r="AH162" t="s">
        <v>4967</v>
      </c>
      <c r="AI162" s="42" t="s">
        <v>4959</v>
      </c>
      <c r="AJ162" s="42" t="s">
        <v>4970</v>
      </c>
      <c r="AL162" s="42" t="s">
        <v>4971</v>
      </c>
      <c r="AM162" s="43">
        <v>106.75</v>
      </c>
      <c r="AN162" s="43">
        <v>106.76</v>
      </c>
      <c r="AO162" s="43" t="s">
        <v>70</v>
      </c>
      <c r="AQ162" s="43">
        <v>1</v>
      </c>
      <c r="AR162" s="42" t="s">
        <v>5591</v>
      </c>
      <c r="AU162" s="64"/>
      <c r="AV162" s="64">
        <v>62</v>
      </c>
      <c r="AW162" s="64" t="s">
        <v>4955</v>
      </c>
      <c r="AX162" s="64" t="s">
        <v>4744</v>
      </c>
      <c r="AY162" s="66" t="s">
        <v>478</v>
      </c>
      <c r="AZ162" s="66" t="s">
        <v>261</v>
      </c>
      <c r="BA162" s="64">
        <v>106.75</v>
      </c>
      <c r="BB162" s="64">
        <v>106.76</v>
      </c>
      <c r="BC162" s="64" t="s">
        <v>5589</v>
      </c>
      <c r="BD162" s="64" t="s">
        <v>5590</v>
      </c>
      <c r="BE162" s="64" t="s">
        <v>5589</v>
      </c>
      <c r="BF162" s="64" t="s">
        <v>5590</v>
      </c>
      <c r="BG162" s="64" t="s">
        <v>4963</v>
      </c>
      <c r="BH162" s="64" t="s">
        <v>4967</v>
      </c>
      <c r="BI162" s="64" t="s">
        <v>4940</v>
      </c>
      <c r="BJ162" s="64" t="s">
        <v>4954</v>
      </c>
      <c r="BK162" s="64" t="s">
        <v>474</v>
      </c>
      <c r="BL162" s="64" t="s">
        <v>474</v>
      </c>
      <c r="BM162" s="66" t="s">
        <v>1219</v>
      </c>
      <c r="BN162" s="66" t="s">
        <v>1468</v>
      </c>
      <c r="BO162" s="66" t="s">
        <v>1468</v>
      </c>
      <c r="BP162" s="66" t="s">
        <v>1474</v>
      </c>
      <c r="BQ162" s="66" t="s">
        <v>1479</v>
      </c>
      <c r="BR162" s="64">
        <v>3</v>
      </c>
      <c r="BS162" s="64">
        <v>2.41</v>
      </c>
      <c r="BT162" s="66">
        <v>120</v>
      </c>
      <c r="BU162" s="79"/>
      <c r="BV162" s="79"/>
      <c r="BW162" s="79"/>
      <c r="BX162" s="79"/>
      <c r="BY162" s="64">
        <v>2.1139999999999999</v>
      </c>
      <c r="BZ162" s="79"/>
      <c r="CA162" s="79"/>
      <c r="CB162" s="64">
        <v>136.65560165975103</v>
      </c>
      <c r="CC162" s="64">
        <v>4.1954140127388531E-2</v>
      </c>
      <c r="CD162" s="79"/>
      <c r="CE162" s="79"/>
      <c r="CF162" s="64"/>
      <c r="CG162" s="79"/>
      <c r="CH162" s="79"/>
      <c r="CI162" s="79"/>
      <c r="CJ162" s="79"/>
      <c r="CK162" s="79"/>
      <c r="CL162" s="79"/>
      <c r="CM162" s="79"/>
      <c r="CN162" s="79"/>
      <c r="CO162" s="79"/>
      <c r="CP162" s="79"/>
      <c r="CQ162" s="79"/>
      <c r="CR162" s="79"/>
      <c r="CS162" s="79"/>
      <c r="CT162" s="79"/>
      <c r="CU162" s="79"/>
      <c r="CV162" s="79"/>
      <c r="CW162" s="79"/>
      <c r="CX162" s="79"/>
      <c r="CY162" s="79"/>
      <c r="CZ162" s="79"/>
      <c r="DA162" s="79"/>
      <c r="DB162" s="79"/>
      <c r="DC162" s="79"/>
      <c r="DD162" s="79"/>
      <c r="DE162" s="79"/>
      <c r="DF162" s="79"/>
      <c r="DG162" s="79"/>
      <c r="DH162" s="79"/>
      <c r="DI162" s="79"/>
      <c r="DJ162" s="79"/>
      <c r="DK162" s="79"/>
      <c r="DL162" s="79"/>
      <c r="DM162" s="79"/>
      <c r="DN162" s="79"/>
      <c r="DO162" s="79"/>
      <c r="DP162" s="79"/>
      <c r="DQ162" s="79"/>
      <c r="DR162" s="66" t="s">
        <v>1873</v>
      </c>
      <c r="DS162" s="66"/>
      <c r="DT162" s="79"/>
      <c r="DU162" s="79"/>
      <c r="DV162" s="79"/>
      <c r="DW162" s="64">
        <v>16.579999999999998</v>
      </c>
      <c r="DX162" s="79"/>
      <c r="DY162" s="78"/>
    </row>
    <row r="163" spans="1:129" x14ac:dyDescent="0.35">
      <c r="A163" s="42" t="s">
        <v>4743</v>
      </c>
      <c r="B163" s="42" t="s">
        <v>4943</v>
      </c>
      <c r="C163" s="42" t="s">
        <v>261</v>
      </c>
      <c r="D163" s="43" t="s">
        <v>262</v>
      </c>
      <c r="F163" s="44" t="s">
        <v>4942</v>
      </c>
      <c r="G163" s="42" t="s">
        <v>4955</v>
      </c>
      <c r="H163" s="42" t="s">
        <v>68</v>
      </c>
      <c r="I163" s="43" t="s">
        <v>68</v>
      </c>
      <c r="J163" s="43" t="s">
        <v>68</v>
      </c>
      <c r="K163" s="43"/>
      <c r="L163" s="43" t="s">
        <v>69</v>
      </c>
      <c r="M163" s="43">
        <v>3</v>
      </c>
      <c r="N163" s="43">
        <v>3</v>
      </c>
      <c r="O163" s="43" t="s">
        <v>69</v>
      </c>
      <c r="P163" s="43">
        <v>4</v>
      </c>
      <c r="Q163" s="43">
        <v>4</v>
      </c>
      <c r="R163" s="43" t="s">
        <v>69</v>
      </c>
      <c r="S163" s="43">
        <v>5</v>
      </c>
      <c r="T163" s="43">
        <v>5</v>
      </c>
      <c r="U163" s="42" t="s">
        <v>4967</v>
      </c>
      <c r="V163" s="42">
        <v>106.75</v>
      </c>
      <c r="W163" s="42">
        <v>106.75</v>
      </c>
      <c r="X163" s="42" t="s">
        <v>5592</v>
      </c>
      <c r="Y163" s="42" t="s">
        <v>5417</v>
      </c>
      <c r="Z163" s="43" t="s">
        <v>4743</v>
      </c>
      <c r="AA163" s="43" t="s">
        <v>4742</v>
      </c>
      <c r="AC163" s="42" t="s">
        <v>4684</v>
      </c>
      <c r="AD163" s="42" t="s">
        <v>4685</v>
      </c>
      <c r="AE163" s="42" t="s">
        <v>4686</v>
      </c>
      <c r="AF163" s="42" t="s">
        <v>261</v>
      </c>
      <c r="AG163" s="42" t="s">
        <v>4685</v>
      </c>
      <c r="AH163" t="s">
        <v>4967</v>
      </c>
      <c r="AI163" s="42" t="s">
        <v>4959</v>
      </c>
      <c r="AJ163" s="42" t="s">
        <v>4970</v>
      </c>
      <c r="AL163" s="42" t="s">
        <v>4971</v>
      </c>
      <c r="AM163" s="43">
        <v>106.75</v>
      </c>
      <c r="AN163" s="43">
        <v>106.75</v>
      </c>
      <c r="AO163" s="43" t="s">
        <v>70</v>
      </c>
      <c r="AQ163" s="43">
        <v>1</v>
      </c>
      <c r="AR163" s="42" t="s">
        <v>5593</v>
      </c>
      <c r="AU163" s="64"/>
      <c r="AV163" s="64">
        <v>62</v>
      </c>
      <c r="AW163" s="64" t="s">
        <v>4955</v>
      </c>
      <c r="AX163" s="64" t="s">
        <v>4744</v>
      </c>
      <c r="AY163" s="66" t="s">
        <v>478</v>
      </c>
      <c r="AZ163" s="66" t="s">
        <v>261</v>
      </c>
      <c r="BA163" s="64">
        <v>106.75</v>
      </c>
      <c r="BB163" s="64">
        <v>106.75</v>
      </c>
      <c r="BC163" s="64" t="s">
        <v>5592</v>
      </c>
      <c r="BD163" s="64" t="s">
        <v>5417</v>
      </c>
      <c r="BE163" s="64" t="s">
        <v>5592</v>
      </c>
      <c r="BF163" s="64" t="s">
        <v>5417</v>
      </c>
      <c r="BG163" s="64" t="s">
        <v>4963</v>
      </c>
      <c r="BH163" s="64" t="s">
        <v>4967</v>
      </c>
      <c r="BI163" s="64" t="s">
        <v>4942</v>
      </c>
      <c r="BJ163" s="64" t="s">
        <v>4954</v>
      </c>
      <c r="BK163" s="64" t="s">
        <v>474</v>
      </c>
      <c r="BL163" s="64" t="s">
        <v>474</v>
      </c>
      <c r="BM163" s="66" t="s">
        <v>1219</v>
      </c>
      <c r="BN163" s="66" t="s">
        <v>1468</v>
      </c>
      <c r="BO163" s="66" t="s">
        <v>1468</v>
      </c>
      <c r="BP163" s="66" t="s">
        <v>1474</v>
      </c>
      <c r="BQ163" s="66" t="s">
        <v>1479</v>
      </c>
      <c r="BR163" s="64">
        <v>3</v>
      </c>
      <c r="BS163" s="64">
        <v>2.41</v>
      </c>
      <c r="BT163" s="66">
        <v>120</v>
      </c>
      <c r="BU163" s="79"/>
      <c r="BV163" s="79"/>
      <c r="BW163" s="79"/>
      <c r="BX163" s="79"/>
      <c r="BY163" s="64">
        <v>2.1139999999999999</v>
      </c>
      <c r="BZ163" s="79"/>
      <c r="CA163" s="79"/>
      <c r="CB163" s="64">
        <v>136.65560165975103</v>
      </c>
      <c r="CC163" s="64">
        <v>4.1954140127388531E-2</v>
      </c>
      <c r="CD163" s="79"/>
      <c r="CE163" s="79"/>
      <c r="CF163" s="64"/>
      <c r="CG163" s="79"/>
      <c r="CH163" s="79"/>
      <c r="CI163" s="79"/>
      <c r="CJ163" s="79"/>
      <c r="CK163" s="79"/>
      <c r="CL163" s="79"/>
      <c r="CM163" s="79"/>
      <c r="CN163" s="79"/>
      <c r="CO163" s="79"/>
      <c r="CP163" s="79"/>
      <c r="CQ163" s="79"/>
      <c r="CR163" s="79"/>
      <c r="CS163" s="79"/>
      <c r="CT163" s="79"/>
      <c r="CU163" s="79"/>
      <c r="CV163" s="79"/>
      <c r="CW163" s="79"/>
      <c r="CX163" s="79"/>
      <c r="CY163" s="79"/>
      <c r="CZ163" s="79"/>
      <c r="DA163" s="79"/>
      <c r="DB163" s="79"/>
      <c r="DC163" s="79"/>
      <c r="DD163" s="79"/>
      <c r="DE163" s="79"/>
      <c r="DF163" s="79"/>
      <c r="DG163" s="79"/>
      <c r="DH163" s="79"/>
      <c r="DI163" s="79"/>
      <c r="DJ163" s="79"/>
      <c r="DK163" s="79"/>
      <c r="DL163" s="79"/>
      <c r="DM163" s="79"/>
      <c r="DN163" s="79"/>
      <c r="DO163" s="79"/>
      <c r="DP163" s="79"/>
      <c r="DQ163" s="79"/>
      <c r="DR163" s="66" t="s">
        <v>1873</v>
      </c>
      <c r="DS163" s="66"/>
      <c r="DT163" s="79"/>
      <c r="DU163" s="79"/>
      <c r="DV163" s="79"/>
      <c r="DW163" s="64">
        <v>16.579999999999998</v>
      </c>
      <c r="DX163" s="79"/>
      <c r="DY163" s="78"/>
    </row>
    <row r="164" spans="1:129" x14ac:dyDescent="0.35">
      <c r="A164" s="42" t="s">
        <v>4743</v>
      </c>
      <c r="B164" s="42" t="s">
        <v>4945</v>
      </c>
      <c r="C164" s="42" t="s">
        <v>261</v>
      </c>
      <c r="D164" s="43" t="s">
        <v>262</v>
      </c>
      <c r="F164" s="44" t="s">
        <v>4944</v>
      </c>
      <c r="G164" s="42" t="s">
        <v>4955</v>
      </c>
      <c r="H164" s="42" t="s">
        <v>68</v>
      </c>
      <c r="I164" s="43" t="s">
        <v>68</v>
      </c>
      <c r="J164" s="43" t="s">
        <v>68</v>
      </c>
      <c r="K164" s="43"/>
      <c r="L164" s="43" t="s">
        <v>69</v>
      </c>
      <c r="M164" s="43">
        <v>3</v>
      </c>
      <c r="N164" s="43">
        <v>3</v>
      </c>
      <c r="O164" s="43" t="s">
        <v>69</v>
      </c>
      <c r="P164" s="43">
        <v>4</v>
      </c>
      <c r="Q164" s="43">
        <v>4</v>
      </c>
      <c r="R164" s="43" t="s">
        <v>69</v>
      </c>
      <c r="S164" s="43">
        <v>5</v>
      </c>
      <c r="T164" s="43">
        <v>5</v>
      </c>
      <c r="U164" s="42" t="s">
        <v>4967</v>
      </c>
      <c r="V164" s="42">
        <v>106.76</v>
      </c>
      <c r="W164" s="42">
        <v>106.76</v>
      </c>
      <c r="X164" s="42" t="s">
        <v>5594</v>
      </c>
      <c r="Y164" s="42" t="s">
        <v>5595</v>
      </c>
      <c r="Z164" s="43" t="s">
        <v>4743</v>
      </c>
      <c r="AA164" s="43" t="s">
        <v>4742</v>
      </c>
      <c r="AC164" s="42" t="s">
        <v>4684</v>
      </c>
      <c r="AD164" s="42" t="s">
        <v>4685</v>
      </c>
      <c r="AE164" s="42" t="s">
        <v>4686</v>
      </c>
      <c r="AF164" s="42" t="s">
        <v>261</v>
      </c>
      <c r="AG164" s="42" t="s">
        <v>4685</v>
      </c>
      <c r="AH164" t="s">
        <v>4967</v>
      </c>
      <c r="AI164" s="42" t="s">
        <v>4959</v>
      </c>
      <c r="AJ164" s="42" t="s">
        <v>4970</v>
      </c>
      <c r="AL164" s="42" t="s">
        <v>4971</v>
      </c>
      <c r="AM164" s="43">
        <v>106.76</v>
      </c>
      <c r="AN164" s="43">
        <v>106.76</v>
      </c>
      <c r="AO164" s="43" t="s">
        <v>70</v>
      </c>
      <c r="AQ164" s="43">
        <v>1</v>
      </c>
      <c r="AR164" s="42" t="s">
        <v>5596</v>
      </c>
      <c r="AU164" s="64"/>
      <c r="AV164" s="64">
        <v>62</v>
      </c>
      <c r="AW164" s="64" t="s">
        <v>4955</v>
      </c>
      <c r="AX164" s="64" t="s">
        <v>4744</v>
      </c>
      <c r="AY164" s="66" t="s">
        <v>478</v>
      </c>
      <c r="AZ164" s="66" t="s">
        <v>261</v>
      </c>
      <c r="BA164" s="64">
        <v>106.76</v>
      </c>
      <c r="BB164" s="64">
        <v>106.76</v>
      </c>
      <c r="BC164" s="64" t="s">
        <v>5594</v>
      </c>
      <c r="BD164" s="64" t="s">
        <v>5595</v>
      </c>
      <c r="BE164" s="64" t="s">
        <v>5594</v>
      </c>
      <c r="BF164" s="64" t="s">
        <v>5595</v>
      </c>
      <c r="BG164" s="64" t="s">
        <v>4963</v>
      </c>
      <c r="BH164" s="64" t="s">
        <v>4967</v>
      </c>
      <c r="BI164" s="64" t="s">
        <v>4944</v>
      </c>
      <c r="BJ164" s="64" t="s">
        <v>4954</v>
      </c>
      <c r="BK164" s="64" t="s">
        <v>474</v>
      </c>
      <c r="BL164" s="64" t="s">
        <v>474</v>
      </c>
      <c r="BM164" s="66" t="s">
        <v>1219</v>
      </c>
      <c r="BN164" s="66" t="s">
        <v>1468</v>
      </c>
      <c r="BO164" s="66" t="s">
        <v>1468</v>
      </c>
      <c r="BP164" s="66" t="s">
        <v>1474</v>
      </c>
      <c r="BQ164" s="66" t="s">
        <v>1479</v>
      </c>
      <c r="BR164" s="64">
        <v>3</v>
      </c>
      <c r="BS164" s="64">
        <v>2.41</v>
      </c>
      <c r="BT164" s="66">
        <v>120</v>
      </c>
      <c r="BU164" s="79"/>
      <c r="BV164" s="79"/>
      <c r="BW164" s="79"/>
      <c r="BX164" s="79"/>
      <c r="BY164" s="64">
        <v>2.1139999999999999</v>
      </c>
      <c r="BZ164" s="79"/>
      <c r="CA164" s="79"/>
      <c r="CB164" s="64">
        <v>136.65560165975103</v>
      </c>
      <c r="CC164" s="64">
        <v>4.1954140127388531E-2</v>
      </c>
      <c r="CD164" s="79"/>
      <c r="CE164" s="79"/>
      <c r="CF164" s="64"/>
      <c r="CG164" s="79"/>
      <c r="CH164" s="79"/>
      <c r="CI164" s="79"/>
      <c r="CJ164" s="79"/>
      <c r="CK164" s="79"/>
      <c r="CL164" s="79"/>
      <c r="CM164" s="79"/>
      <c r="CN164" s="79"/>
      <c r="CO164" s="79"/>
      <c r="CP164" s="79"/>
      <c r="CQ164" s="79"/>
      <c r="CR164" s="79"/>
      <c r="CS164" s="79"/>
      <c r="CT164" s="79"/>
      <c r="CU164" s="79"/>
      <c r="CV164" s="79"/>
      <c r="CW164" s="79"/>
      <c r="CX164" s="79"/>
      <c r="CY164" s="79"/>
      <c r="CZ164" s="79"/>
      <c r="DA164" s="79"/>
      <c r="DB164" s="79"/>
      <c r="DC164" s="79"/>
      <c r="DD164" s="79"/>
      <c r="DE164" s="79"/>
      <c r="DF164" s="79"/>
      <c r="DG164" s="79"/>
      <c r="DH164" s="79"/>
      <c r="DI164" s="79"/>
      <c r="DJ164" s="79"/>
      <c r="DK164" s="79"/>
      <c r="DL164" s="79"/>
      <c r="DM164" s="79"/>
      <c r="DN164" s="79"/>
      <c r="DO164" s="79"/>
      <c r="DP164" s="79"/>
      <c r="DQ164" s="79"/>
      <c r="DR164" s="66" t="s">
        <v>1873</v>
      </c>
      <c r="DS164" s="66"/>
      <c r="DT164" s="79"/>
      <c r="DU164" s="79"/>
      <c r="DV164" s="79"/>
      <c r="DW164" s="64">
        <v>16.579999999999998</v>
      </c>
      <c r="DX164" s="79"/>
      <c r="DY164" s="78"/>
    </row>
    <row r="165" spans="1:129" x14ac:dyDescent="0.35">
      <c r="A165" s="42" t="s">
        <v>4743</v>
      </c>
      <c r="B165" s="42" t="s">
        <v>4947</v>
      </c>
      <c r="C165" s="42" t="s">
        <v>261</v>
      </c>
      <c r="D165" s="43" t="s">
        <v>262</v>
      </c>
      <c r="F165" s="44" t="s">
        <v>4946</v>
      </c>
      <c r="G165" s="42" t="s">
        <v>4955</v>
      </c>
      <c r="H165" s="42" t="s">
        <v>68</v>
      </c>
      <c r="I165" s="43" t="s">
        <v>68</v>
      </c>
      <c r="J165" s="43" t="s">
        <v>68</v>
      </c>
      <c r="K165" s="43"/>
      <c r="L165" s="43" t="s">
        <v>69</v>
      </c>
      <c r="M165" s="43">
        <v>3</v>
      </c>
      <c r="N165" s="43">
        <v>3</v>
      </c>
      <c r="O165" s="43" t="s">
        <v>69</v>
      </c>
      <c r="P165" s="43">
        <v>4</v>
      </c>
      <c r="Q165" s="43">
        <v>4</v>
      </c>
      <c r="R165" s="43" t="s">
        <v>69</v>
      </c>
      <c r="S165" s="43">
        <v>5</v>
      </c>
      <c r="T165" s="43">
        <v>5</v>
      </c>
      <c r="U165" s="42" t="s">
        <v>4967</v>
      </c>
      <c r="V165" s="42">
        <v>106.76</v>
      </c>
      <c r="W165" s="42">
        <v>106.76</v>
      </c>
      <c r="X165" s="42" t="s">
        <v>5597</v>
      </c>
      <c r="Y165" s="42" t="s">
        <v>5598</v>
      </c>
      <c r="Z165" s="43" t="s">
        <v>4743</v>
      </c>
      <c r="AA165" s="43" t="s">
        <v>4742</v>
      </c>
      <c r="AC165" s="42" t="s">
        <v>4684</v>
      </c>
      <c r="AD165" s="42" t="s">
        <v>4685</v>
      </c>
      <c r="AE165" s="42" t="s">
        <v>4686</v>
      </c>
      <c r="AF165" s="42" t="s">
        <v>261</v>
      </c>
      <c r="AG165" s="42" t="s">
        <v>4685</v>
      </c>
      <c r="AH165" t="s">
        <v>4967</v>
      </c>
      <c r="AI165" s="42" t="s">
        <v>4959</v>
      </c>
      <c r="AJ165" s="42" t="s">
        <v>4970</v>
      </c>
      <c r="AL165" s="42" t="s">
        <v>4971</v>
      </c>
      <c r="AM165" s="43">
        <v>106.76</v>
      </c>
      <c r="AN165" s="43">
        <v>106.76</v>
      </c>
      <c r="AO165" s="43" t="s">
        <v>70</v>
      </c>
      <c r="AQ165" s="43">
        <v>1</v>
      </c>
      <c r="AR165" s="42" t="s">
        <v>5599</v>
      </c>
      <c r="AU165" s="64"/>
      <c r="AV165" s="64">
        <v>62</v>
      </c>
      <c r="AW165" s="64" t="s">
        <v>4955</v>
      </c>
      <c r="AX165" s="64" t="s">
        <v>4744</v>
      </c>
      <c r="AY165" s="66" t="s">
        <v>478</v>
      </c>
      <c r="AZ165" s="66" t="s">
        <v>261</v>
      </c>
      <c r="BA165" s="64">
        <v>106.76</v>
      </c>
      <c r="BB165" s="64">
        <v>106.76</v>
      </c>
      <c r="BC165" s="64" t="s">
        <v>5597</v>
      </c>
      <c r="BD165" s="64" t="s">
        <v>5598</v>
      </c>
      <c r="BE165" s="64" t="s">
        <v>5597</v>
      </c>
      <c r="BF165" s="64" t="s">
        <v>5598</v>
      </c>
      <c r="BG165" s="64" t="s">
        <v>4963</v>
      </c>
      <c r="BH165" s="64" t="s">
        <v>4967</v>
      </c>
      <c r="BI165" s="64" t="s">
        <v>4946</v>
      </c>
      <c r="BJ165" s="64" t="s">
        <v>4954</v>
      </c>
      <c r="BK165" s="64" t="s">
        <v>474</v>
      </c>
      <c r="BL165" s="64" t="s">
        <v>474</v>
      </c>
      <c r="BM165" s="66" t="s">
        <v>1219</v>
      </c>
      <c r="BN165" s="66" t="s">
        <v>1468</v>
      </c>
      <c r="BO165" s="66" t="s">
        <v>1468</v>
      </c>
      <c r="BP165" s="66" t="s">
        <v>1474</v>
      </c>
      <c r="BQ165" s="66" t="s">
        <v>1479</v>
      </c>
      <c r="BR165" s="64">
        <v>3</v>
      </c>
      <c r="BS165" s="64">
        <v>2.41</v>
      </c>
      <c r="BT165" s="66">
        <v>120</v>
      </c>
      <c r="BU165" s="79"/>
      <c r="BV165" s="79"/>
      <c r="BW165" s="79"/>
      <c r="BX165" s="79"/>
      <c r="BY165" s="64">
        <v>2.1139999999999999</v>
      </c>
      <c r="BZ165" s="79"/>
      <c r="CA165" s="79"/>
      <c r="CB165" s="64">
        <v>136.65560165975103</v>
      </c>
      <c r="CC165" s="64">
        <v>4.1954140127388531E-2</v>
      </c>
      <c r="CD165" s="79"/>
      <c r="CE165" s="79"/>
      <c r="CF165" s="64"/>
      <c r="CG165" s="79"/>
      <c r="CH165" s="79"/>
      <c r="CI165" s="79"/>
      <c r="CJ165" s="79"/>
      <c r="CK165" s="79"/>
      <c r="CL165" s="79"/>
      <c r="CM165" s="79"/>
      <c r="CN165" s="79"/>
      <c r="CO165" s="79"/>
      <c r="CP165" s="79"/>
      <c r="CQ165" s="79"/>
      <c r="CR165" s="79"/>
      <c r="CS165" s="79"/>
      <c r="CT165" s="79"/>
      <c r="CU165" s="79"/>
      <c r="CV165" s="79"/>
      <c r="CW165" s="79"/>
      <c r="CX165" s="79"/>
      <c r="CY165" s="79"/>
      <c r="CZ165" s="79"/>
      <c r="DA165" s="79"/>
      <c r="DB165" s="79"/>
      <c r="DC165" s="79"/>
      <c r="DD165" s="79"/>
      <c r="DE165" s="79"/>
      <c r="DF165" s="79"/>
      <c r="DG165" s="79"/>
      <c r="DH165" s="79"/>
      <c r="DI165" s="79"/>
      <c r="DJ165" s="79"/>
      <c r="DK165" s="79"/>
      <c r="DL165" s="79"/>
      <c r="DM165" s="79"/>
      <c r="DN165" s="79"/>
      <c r="DO165" s="79"/>
      <c r="DP165" s="79"/>
      <c r="DQ165" s="79"/>
      <c r="DR165" s="66" t="s">
        <v>1873</v>
      </c>
      <c r="DS165" s="66"/>
      <c r="DT165" s="79"/>
      <c r="DU165" s="79"/>
      <c r="DV165" s="79"/>
      <c r="DW165" s="64">
        <v>16.579999999999998</v>
      </c>
      <c r="DX165" s="79"/>
      <c r="DY165" s="78"/>
    </row>
    <row r="166" spans="1:129" x14ac:dyDescent="0.35">
      <c r="A166" s="42" t="s">
        <v>4743</v>
      </c>
      <c r="B166" s="42" t="s">
        <v>4949</v>
      </c>
      <c r="C166" s="42" t="s">
        <v>291</v>
      </c>
      <c r="D166" s="43" t="s">
        <v>292</v>
      </c>
      <c r="F166" s="44" t="s">
        <v>4948</v>
      </c>
      <c r="G166" s="42" t="s">
        <v>4955</v>
      </c>
      <c r="H166" s="42" t="s">
        <v>68</v>
      </c>
      <c r="I166" s="43" t="s">
        <v>68</v>
      </c>
      <c r="J166" s="43" t="s">
        <v>68</v>
      </c>
      <c r="K166" s="43"/>
      <c r="L166" s="43" t="s">
        <v>69</v>
      </c>
      <c r="M166" s="43">
        <v>3</v>
      </c>
      <c r="N166" s="43">
        <v>3</v>
      </c>
      <c r="O166" s="43" t="s">
        <v>69</v>
      </c>
      <c r="P166" s="43">
        <v>4</v>
      </c>
      <c r="Q166" s="43">
        <v>4</v>
      </c>
      <c r="R166" s="43" t="s">
        <v>69</v>
      </c>
      <c r="S166" s="43">
        <v>5</v>
      </c>
      <c r="T166" s="43">
        <v>5</v>
      </c>
      <c r="U166" s="42" t="s">
        <v>5537</v>
      </c>
      <c r="V166" s="42">
        <v>106.73</v>
      </c>
      <c r="W166" s="42">
        <v>106.73</v>
      </c>
      <c r="X166" s="42" t="s">
        <v>5600</v>
      </c>
      <c r="Y166" s="42" t="s">
        <v>5121</v>
      </c>
      <c r="Z166" s="43" t="s">
        <v>4743</v>
      </c>
      <c r="AA166" s="43" t="s">
        <v>4742</v>
      </c>
      <c r="AC166" s="42" t="s">
        <v>4684</v>
      </c>
      <c r="AD166" s="42" t="s">
        <v>4685</v>
      </c>
      <c r="AE166" s="42" t="s">
        <v>4686</v>
      </c>
      <c r="AF166" s="42" t="s">
        <v>291</v>
      </c>
      <c r="AG166" s="42" t="s">
        <v>4685</v>
      </c>
      <c r="AH166" t="s">
        <v>5537</v>
      </c>
      <c r="AI166" s="42" t="s">
        <v>4959</v>
      </c>
      <c r="AJ166" s="42" t="s">
        <v>5540</v>
      </c>
      <c r="AL166" s="42" t="s">
        <v>5541</v>
      </c>
      <c r="AM166" s="43">
        <v>106.73</v>
      </c>
      <c r="AN166" s="43">
        <v>106.73</v>
      </c>
      <c r="AO166" s="43" t="s">
        <v>70</v>
      </c>
      <c r="AQ166" s="43">
        <v>1</v>
      </c>
      <c r="AR166" s="42" t="s">
        <v>5601</v>
      </c>
      <c r="AU166" s="64"/>
      <c r="AV166" s="64">
        <v>62</v>
      </c>
      <c r="AW166" s="64" t="s">
        <v>4955</v>
      </c>
      <c r="AX166" s="64" t="s">
        <v>4744</v>
      </c>
      <c r="AY166" s="66" t="s">
        <v>478</v>
      </c>
      <c r="AZ166" s="66" t="s">
        <v>291</v>
      </c>
      <c r="BA166" s="64">
        <v>106.73</v>
      </c>
      <c r="BB166" s="64">
        <v>106.73</v>
      </c>
      <c r="BC166" s="64" t="s">
        <v>5600</v>
      </c>
      <c r="BD166" s="64" t="s">
        <v>5121</v>
      </c>
      <c r="BE166" s="64" t="s">
        <v>5600</v>
      </c>
      <c r="BF166" s="64" t="s">
        <v>5121</v>
      </c>
      <c r="BG166" s="64" t="s">
        <v>4963</v>
      </c>
      <c r="BH166" s="64" t="s">
        <v>5537</v>
      </c>
      <c r="BI166" s="64" t="s">
        <v>4948</v>
      </c>
      <c r="BJ166" s="64" t="s">
        <v>4954</v>
      </c>
      <c r="BK166" s="64" t="s">
        <v>474</v>
      </c>
      <c r="BL166" s="64" t="s">
        <v>474</v>
      </c>
      <c r="BM166" s="66" t="s">
        <v>1210</v>
      </c>
      <c r="BN166" s="66" t="s">
        <v>1468</v>
      </c>
      <c r="BO166" s="66" t="s">
        <v>1468</v>
      </c>
      <c r="BP166" s="66" t="s">
        <v>1474</v>
      </c>
      <c r="BQ166" s="66" t="s">
        <v>1479</v>
      </c>
      <c r="BR166" s="64">
        <v>1</v>
      </c>
      <c r="BS166" s="64">
        <v>1.431</v>
      </c>
      <c r="BT166" s="66">
        <v>120</v>
      </c>
      <c r="BU166" s="64">
        <v>1</v>
      </c>
      <c r="BV166" s="79"/>
      <c r="BW166" s="79"/>
      <c r="BX166" s="79"/>
      <c r="BY166" s="79"/>
      <c r="BZ166" s="64">
        <v>0.2</v>
      </c>
      <c r="CA166" s="79"/>
      <c r="CB166" s="64" t="s">
        <v>1100</v>
      </c>
      <c r="CC166" s="64" t="s">
        <v>1100</v>
      </c>
      <c r="CD166" s="79"/>
      <c r="CE166" s="79"/>
      <c r="CF166" s="64"/>
      <c r="CG166" s="79"/>
      <c r="CH166" s="79"/>
      <c r="CI166" s="79"/>
      <c r="CJ166" s="79"/>
      <c r="CK166" s="79"/>
      <c r="CL166" s="79"/>
      <c r="CM166" s="79"/>
      <c r="CN166" s="79"/>
      <c r="CO166" s="64"/>
      <c r="CP166" s="66" t="s">
        <v>1654</v>
      </c>
      <c r="CQ166" s="79"/>
      <c r="CR166" s="79"/>
      <c r="CS166" s="79"/>
      <c r="CT166" s="79"/>
      <c r="CU166" s="79"/>
      <c r="CV166" s="79"/>
      <c r="CW166" s="79"/>
      <c r="CX166" s="79"/>
      <c r="CY166" s="79"/>
      <c r="CZ166" s="79"/>
      <c r="DA166" s="79"/>
      <c r="DB166" s="79"/>
      <c r="DC166" s="79"/>
      <c r="DD166" s="79"/>
      <c r="DE166" s="79"/>
      <c r="DF166" s="79"/>
      <c r="DG166" s="79"/>
      <c r="DH166" s="79"/>
      <c r="DI166" s="79"/>
      <c r="DJ166" s="79"/>
      <c r="DK166" s="79"/>
      <c r="DL166" s="79"/>
      <c r="DM166" s="79"/>
      <c r="DN166" s="79"/>
      <c r="DO166" s="79"/>
      <c r="DP166" s="79"/>
      <c r="DQ166" s="79"/>
      <c r="DR166" s="79"/>
      <c r="DS166" s="79"/>
      <c r="DT166" s="79"/>
      <c r="DU166" s="64">
        <v>7.1550000000000002</v>
      </c>
      <c r="DV166" s="79"/>
      <c r="DW166" s="79"/>
      <c r="DX166" s="79"/>
      <c r="DY166" s="78"/>
    </row>
    <row r="167" spans="1:129" x14ac:dyDescent="0.35">
      <c r="A167" s="42" t="s">
        <v>4743</v>
      </c>
      <c r="B167" s="42" t="s">
        <v>4951</v>
      </c>
      <c r="C167" s="42" t="s">
        <v>291</v>
      </c>
      <c r="D167" s="43" t="s">
        <v>292</v>
      </c>
      <c r="F167" s="44" t="s">
        <v>4950</v>
      </c>
      <c r="G167" s="42" t="s">
        <v>4955</v>
      </c>
      <c r="H167" s="42" t="s">
        <v>68</v>
      </c>
      <c r="I167" s="43" t="s">
        <v>68</v>
      </c>
      <c r="J167" s="43" t="s">
        <v>68</v>
      </c>
      <c r="K167" s="43"/>
      <c r="L167" s="43" t="s">
        <v>69</v>
      </c>
      <c r="M167" s="43">
        <v>3</v>
      </c>
      <c r="N167" s="43">
        <v>3</v>
      </c>
      <c r="O167" s="43" t="s">
        <v>69</v>
      </c>
      <c r="P167" s="43">
        <v>4</v>
      </c>
      <c r="Q167" s="43">
        <v>4</v>
      </c>
      <c r="R167" s="43" t="s">
        <v>69</v>
      </c>
      <c r="S167" s="43">
        <v>5</v>
      </c>
      <c r="T167" s="43">
        <v>5</v>
      </c>
      <c r="U167" s="42" t="s">
        <v>5537</v>
      </c>
      <c r="V167" s="42">
        <v>106.75</v>
      </c>
      <c r="W167" s="42">
        <v>106.75</v>
      </c>
      <c r="X167" s="42" t="s">
        <v>5602</v>
      </c>
      <c r="Y167" s="42" t="s">
        <v>5603</v>
      </c>
      <c r="Z167" s="43" t="s">
        <v>4743</v>
      </c>
      <c r="AA167" s="43" t="s">
        <v>4742</v>
      </c>
      <c r="AC167" s="42" t="s">
        <v>4684</v>
      </c>
      <c r="AD167" s="42" t="s">
        <v>4685</v>
      </c>
      <c r="AE167" s="42" t="s">
        <v>4686</v>
      </c>
      <c r="AF167" s="42" t="s">
        <v>291</v>
      </c>
      <c r="AG167" s="42" t="s">
        <v>4685</v>
      </c>
      <c r="AH167" t="s">
        <v>5537</v>
      </c>
      <c r="AI167" s="42" t="s">
        <v>4959</v>
      </c>
      <c r="AJ167" s="42" t="s">
        <v>5540</v>
      </c>
      <c r="AL167" s="42" t="s">
        <v>5541</v>
      </c>
      <c r="AM167" s="43">
        <v>106.75</v>
      </c>
      <c r="AN167" s="43">
        <v>106.75</v>
      </c>
      <c r="AO167" s="43" t="s">
        <v>70</v>
      </c>
      <c r="AQ167" s="43">
        <v>1</v>
      </c>
      <c r="AR167" s="42" t="s">
        <v>5604</v>
      </c>
      <c r="AU167" s="64"/>
      <c r="AV167" s="64">
        <v>62</v>
      </c>
      <c r="AW167" s="64" t="s">
        <v>4955</v>
      </c>
      <c r="AX167" s="64" t="s">
        <v>4744</v>
      </c>
      <c r="AY167" s="66" t="s">
        <v>478</v>
      </c>
      <c r="AZ167" s="66" t="s">
        <v>291</v>
      </c>
      <c r="BA167" s="64">
        <v>106.75</v>
      </c>
      <c r="BB167" s="64">
        <v>106.75</v>
      </c>
      <c r="BC167" s="64" t="s">
        <v>5602</v>
      </c>
      <c r="BD167" s="64" t="s">
        <v>5603</v>
      </c>
      <c r="BE167" s="64" t="s">
        <v>5602</v>
      </c>
      <c r="BF167" s="64" t="s">
        <v>5603</v>
      </c>
      <c r="BG167" s="64" t="s">
        <v>4963</v>
      </c>
      <c r="BH167" s="64" t="s">
        <v>5537</v>
      </c>
      <c r="BI167" s="64" t="s">
        <v>4950</v>
      </c>
      <c r="BJ167" s="64" t="s">
        <v>4954</v>
      </c>
      <c r="BK167" s="64" t="s">
        <v>474</v>
      </c>
      <c r="BL167" s="64" t="s">
        <v>474</v>
      </c>
      <c r="BM167" s="66" t="s">
        <v>1210</v>
      </c>
      <c r="BN167" s="66" t="s">
        <v>1468</v>
      </c>
      <c r="BO167" s="66" t="s">
        <v>1468</v>
      </c>
      <c r="BP167" s="66" t="s">
        <v>1474</v>
      </c>
      <c r="BQ167" s="66" t="s">
        <v>1479</v>
      </c>
      <c r="BR167" s="64">
        <v>1</v>
      </c>
      <c r="BS167" s="64">
        <v>1.431</v>
      </c>
      <c r="BT167" s="66">
        <v>120</v>
      </c>
      <c r="BU167" s="64">
        <v>1</v>
      </c>
      <c r="BV167" s="79"/>
      <c r="BW167" s="79"/>
      <c r="BX167" s="79"/>
      <c r="BY167" s="79"/>
      <c r="BZ167" s="64">
        <v>0.2</v>
      </c>
      <c r="CA167" s="79"/>
      <c r="CB167" s="64" t="s">
        <v>1100</v>
      </c>
      <c r="CC167" s="64" t="s">
        <v>1100</v>
      </c>
      <c r="CD167" s="79"/>
      <c r="CE167" s="79"/>
      <c r="CF167" s="64"/>
      <c r="CG167" s="79"/>
      <c r="CH167" s="79"/>
      <c r="CI167" s="79"/>
      <c r="CJ167" s="79"/>
      <c r="CK167" s="79"/>
      <c r="CL167" s="79"/>
      <c r="CM167" s="79"/>
      <c r="CN167" s="79"/>
      <c r="CO167" s="64"/>
      <c r="CP167" s="66" t="s">
        <v>1654</v>
      </c>
      <c r="CQ167" s="79"/>
      <c r="CR167" s="79"/>
      <c r="CS167" s="79"/>
      <c r="CT167" s="79"/>
      <c r="CU167" s="79"/>
      <c r="CV167" s="79"/>
      <c r="CW167" s="79"/>
      <c r="CX167" s="79"/>
      <c r="CY167" s="79"/>
      <c r="CZ167" s="79"/>
      <c r="DA167" s="79"/>
      <c r="DB167" s="79"/>
      <c r="DC167" s="79"/>
      <c r="DD167" s="79"/>
      <c r="DE167" s="79"/>
      <c r="DF167" s="79"/>
      <c r="DG167" s="79"/>
      <c r="DH167" s="79"/>
      <c r="DI167" s="79"/>
      <c r="DJ167" s="79"/>
      <c r="DK167" s="79"/>
      <c r="DL167" s="79"/>
      <c r="DM167" s="79"/>
      <c r="DN167" s="79"/>
      <c r="DO167" s="79"/>
      <c r="DP167" s="79"/>
      <c r="DQ167" s="79"/>
      <c r="DR167" s="79"/>
      <c r="DS167" s="79"/>
      <c r="DT167" s="79"/>
      <c r="DU167" s="64">
        <v>7.1550000000000002</v>
      </c>
      <c r="DV167" s="79"/>
      <c r="DW167" s="79"/>
      <c r="DX167" s="79"/>
      <c r="DY167" s="78"/>
    </row>
    <row r="168" spans="1:129" x14ac:dyDescent="0.35">
      <c r="A168" s="42" t="s">
        <v>4743</v>
      </c>
      <c r="B168" s="42" t="s">
        <v>4953</v>
      </c>
      <c r="C168" s="42" t="s">
        <v>295</v>
      </c>
      <c r="D168" s="43" t="s">
        <v>296</v>
      </c>
      <c r="F168" s="44" t="s">
        <v>4952</v>
      </c>
      <c r="G168" s="42" t="s">
        <v>4955</v>
      </c>
      <c r="H168" s="42" t="s">
        <v>68</v>
      </c>
      <c r="I168" s="43" t="s">
        <v>68</v>
      </c>
      <c r="J168" s="43" t="s">
        <v>68</v>
      </c>
      <c r="K168" s="43"/>
      <c r="L168" s="43" t="s">
        <v>69</v>
      </c>
      <c r="M168" s="43">
        <v>3</v>
      </c>
      <c r="N168" s="43">
        <v>3</v>
      </c>
      <c r="O168" s="43" t="s">
        <v>69</v>
      </c>
      <c r="P168" s="43">
        <v>4</v>
      </c>
      <c r="Q168" s="43">
        <v>4</v>
      </c>
      <c r="R168" s="43" t="s">
        <v>69</v>
      </c>
      <c r="S168" s="43">
        <v>5</v>
      </c>
      <c r="T168" s="43">
        <v>5</v>
      </c>
      <c r="U168" s="42" t="s">
        <v>5605</v>
      </c>
      <c r="V168" s="42">
        <v>106.73</v>
      </c>
      <c r="W168" s="42">
        <v>106.75</v>
      </c>
      <c r="X168" s="42" t="s">
        <v>4989</v>
      </c>
      <c r="Y168" s="42" t="s">
        <v>4990</v>
      </c>
      <c r="Z168" s="43" t="s">
        <v>4743</v>
      </c>
      <c r="AA168" s="43" t="s">
        <v>4742</v>
      </c>
      <c r="AC168" s="42" t="s">
        <v>4684</v>
      </c>
      <c r="AD168" s="42" t="s">
        <v>4685</v>
      </c>
      <c r="AE168" s="42" t="s">
        <v>4686</v>
      </c>
      <c r="AF168" s="42" t="s">
        <v>295</v>
      </c>
      <c r="AG168" s="42" t="s">
        <v>4685</v>
      </c>
      <c r="AH168" t="s">
        <v>5605</v>
      </c>
      <c r="AI168" s="42" t="s">
        <v>4959</v>
      </c>
      <c r="AJ168" s="42" t="s">
        <v>5606</v>
      </c>
      <c r="AL168" s="42" t="s">
        <v>5607</v>
      </c>
      <c r="AM168" s="43">
        <v>106.73</v>
      </c>
      <c r="AN168" s="43">
        <v>106.75</v>
      </c>
      <c r="AO168" s="43" t="s">
        <v>70</v>
      </c>
      <c r="AQ168" s="43">
        <v>1</v>
      </c>
      <c r="AR168" s="42" t="s">
        <v>5608</v>
      </c>
      <c r="AU168" s="64"/>
      <c r="AV168" s="64">
        <v>62</v>
      </c>
      <c r="AW168" s="64" t="s">
        <v>4955</v>
      </c>
      <c r="AX168" s="64" t="s">
        <v>4744</v>
      </c>
      <c r="AY168" s="66" t="s">
        <v>478</v>
      </c>
      <c r="AZ168" s="66" t="s">
        <v>295</v>
      </c>
      <c r="BA168" s="64">
        <v>106.73</v>
      </c>
      <c r="BB168" s="64">
        <v>106.75</v>
      </c>
      <c r="BC168" s="64" t="s">
        <v>4989</v>
      </c>
      <c r="BD168" s="64" t="s">
        <v>4990</v>
      </c>
      <c r="BE168" s="64" t="s">
        <v>4989</v>
      </c>
      <c r="BF168" s="64" t="s">
        <v>4990</v>
      </c>
      <c r="BG168" s="64" t="s">
        <v>4963</v>
      </c>
      <c r="BH168" s="64" t="s">
        <v>5605</v>
      </c>
      <c r="BI168" s="64" t="s">
        <v>4952</v>
      </c>
      <c r="BJ168" s="64" t="s">
        <v>4954</v>
      </c>
      <c r="BK168" s="64" t="s">
        <v>474</v>
      </c>
      <c r="BL168" s="64" t="s">
        <v>474</v>
      </c>
      <c r="BM168" s="66" t="s">
        <v>4680</v>
      </c>
      <c r="BN168" s="66" t="s">
        <v>1468</v>
      </c>
      <c r="BO168" s="66" t="s">
        <v>1468</v>
      </c>
      <c r="BP168" s="66" t="s">
        <v>1474</v>
      </c>
      <c r="BQ168" s="66" t="s">
        <v>1479</v>
      </c>
      <c r="BR168" s="64">
        <v>44.372</v>
      </c>
      <c r="BS168" s="64">
        <v>6.99</v>
      </c>
      <c r="BT168" s="66">
        <v>30</v>
      </c>
      <c r="BU168" s="79"/>
      <c r="BV168" s="79"/>
      <c r="BW168" s="79"/>
      <c r="BX168" s="79"/>
      <c r="BY168" s="79"/>
      <c r="BZ168" s="79"/>
      <c r="CA168" s="79"/>
      <c r="CB168" s="79"/>
      <c r="CC168" s="79"/>
      <c r="CD168" s="79"/>
      <c r="CE168" s="64">
        <v>93.744</v>
      </c>
      <c r="CF168" s="64"/>
      <c r="CG168" s="66" t="s">
        <v>1474</v>
      </c>
      <c r="CH168" s="79"/>
      <c r="CI168" s="79"/>
      <c r="CJ168" s="79"/>
      <c r="CK168" s="79"/>
      <c r="CL168" s="79"/>
      <c r="CM168" s="79"/>
      <c r="CN168" s="79"/>
      <c r="CO168" s="79"/>
      <c r="CP168" s="79"/>
      <c r="CQ168" s="79"/>
      <c r="CR168" s="79"/>
      <c r="CS168" s="79"/>
      <c r="CT168" s="79"/>
      <c r="CU168" s="79"/>
      <c r="CV168" s="79"/>
      <c r="CW168" s="79"/>
      <c r="CX168" s="79"/>
      <c r="CY168" s="79"/>
      <c r="CZ168" s="79"/>
      <c r="DA168" s="79"/>
      <c r="DB168" s="79"/>
      <c r="DC168" s="79"/>
      <c r="DD168" s="79"/>
      <c r="DE168" s="79"/>
      <c r="DF168" s="79"/>
      <c r="DG168" s="79"/>
      <c r="DH168" s="79"/>
      <c r="DI168" s="79"/>
      <c r="DJ168" s="79"/>
      <c r="DK168" s="79"/>
      <c r="DL168" s="79"/>
      <c r="DM168" s="79"/>
      <c r="DN168" s="79"/>
      <c r="DO168" s="79"/>
      <c r="DP168" s="79"/>
      <c r="DQ168" s="64">
        <v>155.30000000000001</v>
      </c>
      <c r="DR168" s="79"/>
      <c r="DS168" s="79"/>
      <c r="DT168" s="79"/>
      <c r="DU168" s="79"/>
      <c r="DV168" s="79"/>
      <c r="DW168" s="64">
        <v>312.60000000000002</v>
      </c>
      <c r="DX168" s="79"/>
      <c r="DY168" s="78"/>
    </row>
    <row r="169" spans="1:129" x14ac:dyDescent="0.35">
      <c r="A169" s="42" t="s">
        <v>4743</v>
      </c>
      <c r="B169" s="42" t="s">
        <v>5609</v>
      </c>
      <c r="C169" s="42" t="s">
        <v>409</v>
      </c>
      <c r="D169" s="43" t="s">
        <v>410</v>
      </c>
      <c r="F169" s="44" t="s">
        <v>5610</v>
      </c>
      <c r="G169" s="42" t="s">
        <v>4955</v>
      </c>
      <c r="H169" s="42" t="s">
        <v>68</v>
      </c>
      <c r="I169" s="43" t="s">
        <v>68</v>
      </c>
      <c r="J169" s="43" t="s">
        <v>68</v>
      </c>
      <c r="K169" s="43"/>
      <c r="L169" s="43" t="s">
        <v>69</v>
      </c>
      <c r="M169" s="43">
        <v>3</v>
      </c>
      <c r="N169" s="43">
        <v>3</v>
      </c>
      <c r="O169" s="43" t="s">
        <v>69</v>
      </c>
      <c r="P169" s="43">
        <v>4</v>
      </c>
      <c r="Q169" s="43">
        <v>4</v>
      </c>
      <c r="R169" s="43" t="s">
        <v>69</v>
      </c>
      <c r="S169" s="43">
        <v>5</v>
      </c>
      <c r="T169" s="43">
        <v>5</v>
      </c>
      <c r="U169" s="42" t="s">
        <v>5611</v>
      </c>
      <c r="V169" s="42">
        <v>106.75</v>
      </c>
      <c r="W169" s="42">
        <v>106.75</v>
      </c>
      <c r="X169" s="42" t="s">
        <v>5612</v>
      </c>
      <c r="Y169" s="42" t="s">
        <v>5613</v>
      </c>
      <c r="Z169" s="43" t="s">
        <v>4743</v>
      </c>
      <c r="AA169" s="43" t="s">
        <v>4742</v>
      </c>
      <c r="AC169" s="42" t="s">
        <v>4684</v>
      </c>
      <c r="AD169" s="42" t="s">
        <v>4685</v>
      </c>
      <c r="AE169" s="42" t="s">
        <v>4686</v>
      </c>
      <c r="AF169" s="42" t="s">
        <v>409</v>
      </c>
      <c r="AG169" s="42" t="s">
        <v>4685</v>
      </c>
      <c r="AH169" t="s">
        <v>5611</v>
      </c>
      <c r="AI169" s="42" t="s">
        <v>4959</v>
      </c>
      <c r="AJ169" s="42" t="s">
        <v>5614</v>
      </c>
      <c r="AL169" s="42" t="s">
        <v>5615</v>
      </c>
      <c r="AM169" s="43">
        <v>106.75</v>
      </c>
      <c r="AN169" s="43">
        <v>106.75</v>
      </c>
      <c r="AO169" s="43" t="s">
        <v>70</v>
      </c>
      <c r="AQ169" s="43">
        <v>1</v>
      </c>
      <c r="AR169" s="42" t="s">
        <v>5616</v>
      </c>
      <c r="AU169" s="64"/>
      <c r="AV169" s="64">
        <v>62</v>
      </c>
      <c r="AW169" s="64" t="s">
        <v>4955</v>
      </c>
      <c r="AX169" s="64" t="s">
        <v>4744</v>
      </c>
      <c r="AY169" s="66" t="s">
        <v>478</v>
      </c>
      <c r="AZ169" s="66" t="s">
        <v>409</v>
      </c>
      <c r="BA169" s="64">
        <v>106.75</v>
      </c>
      <c r="BB169" s="64">
        <v>106.75</v>
      </c>
      <c r="BC169" s="64" t="s">
        <v>5612</v>
      </c>
      <c r="BD169" s="64" t="s">
        <v>5613</v>
      </c>
      <c r="BE169" s="64" t="s">
        <v>5612</v>
      </c>
      <c r="BF169" s="64" t="s">
        <v>5613</v>
      </c>
      <c r="BG169" s="64" t="s">
        <v>4963</v>
      </c>
      <c r="BH169" s="64" t="s">
        <v>5611</v>
      </c>
      <c r="BI169" s="64" t="s">
        <v>5610</v>
      </c>
      <c r="BJ169" s="79"/>
      <c r="BK169" s="64" t="s">
        <v>474</v>
      </c>
      <c r="BL169" s="64" t="s">
        <v>474</v>
      </c>
      <c r="BM169" s="66" t="s">
        <v>1271</v>
      </c>
      <c r="BN169" s="66" t="s">
        <v>1468</v>
      </c>
      <c r="BO169" s="66" t="s">
        <v>1468</v>
      </c>
      <c r="BP169" s="66" t="s">
        <v>1474</v>
      </c>
      <c r="BQ169" s="66" t="s">
        <v>1479</v>
      </c>
      <c r="BR169" s="79"/>
      <c r="BS169" s="64">
        <v>0.01</v>
      </c>
      <c r="BT169" s="66">
        <v>30</v>
      </c>
      <c r="BU169" s="79"/>
      <c r="BV169" s="79"/>
      <c r="BW169" s="79"/>
      <c r="BX169" s="79"/>
      <c r="BY169" s="79"/>
      <c r="BZ169" s="79"/>
      <c r="CA169" s="79"/>
      <c r="CB169" s="79"/>
      <c r="CC169" s="79"/>
      <c r="CD169" s="79"/>
      <c r="CE169" s="79"/>
      <c r="CF169" s="79"/>
      <c r="CG169" s="79"/>
      <c r="CH169" s="79"/>
      <c r="CI169" s="79"/>
      <c r="CJ169" s="79"/>
      <c r="CK169" s="79"/>
      <c r="CL169" s="79"/>
      <c r="CM169" s="79"/>
      <c r="CN169" s="79"/>
      <c r="CO169" s="79"/>
      <c r="CP169" s="79"/>
      <c r="CQ169" s="79"/>
      <c r="CR169" s="79"/>
      <c r="CS169" s="79"/>
      <c r="CT169" s="79"/>
      <c r="CU169" s="79"/>
      <c r="CV169" s="79"/>
      <c r="CW169" s="79"/>
      <c r="CX169" s="79"/>
      <c r="CY169" s="79"/>
      <c r="CZ169" s="79"/>
      <c r="DA169" s="79"/>
      <c r="DB169" s="79"/>
      <c r="DC169" s="79"/>
      <c r="DD169" s="79"/>
      <c r="DE169" s="79"/>
      <c r="DF169" s="79"/>
      <c r="DG169" s="79"/>
      <c r="DH169" s="79"/>
      <c r="DI169" s="79"/>
      <c r="DJ169" s="79"/>
      <c r="DK169" s="79"/>
      <c r="DL169" s="79"/>
      <c r="DM169" s="79"/>
      <c r="DN169" s="79"/>
      <c r="DO169" s="79"/>
      <c r="DP169" s="79"/>
      <c r="DQ169" s="79"/>
      <c r="DR169" s="79"/>
      <c r="DS169" s="79"/>
      <c r="DT169" s="79"/>
      <c r="DU169" s="79"/>
      <c r="DV169" s="79"/>
      <c r="DW169" s="79"/>
      <c r="DX169" s="79"/>
      <c r="DY169" s="78"/>
    </row>
    <row r="170" spans="1:129" x14ac:dyDescent="0.35">
      <c r="A170" s="42" t="s">
        <v>4743</v>
      </c>
      <c r="B170" s="42" t="s">
        <v>5617</v>
      </c>
      <c r="C170" s="42" t="s">
        <v>409</v>
      </c>
      <c r="D170" s="43" t="s">
        <v>410</v>
      </c>
      <c r="F170" s="44" t="s">
        <v>5618</v>
      </c>
      <c r="G170" s="42" t="s">
        <v>4955</v>
      </c>
      <c r="H170" s="42" t="s">
        <v>68</v>
      </c>
      <c r="I170" s="43" t="s">
        <v>68</v>
      </c>
      <c r="J170" s="43" t="s">
        <v>68</v>
      </c>
      <c r="K170" s="43"/>
      <c r="L170" s="43" t="s">
        <v>69</v>
      </c>
      <c r="M170" s="43">
        <v>3</v>
      </c>
      <c r="N170" s="43">
        <v>3</v>
      </c>
      <c r="O170" s="43" t="s">
        <v>69</v>
      </c>
      <c r="P170" s="43">
        <v>4</v>
      </c>
      <c r="Q170" s="43">
        <v>4</v>
      </c>
      <c r="R170" s="43" t="s">
        <v>69</v>
      </c>
      <c r="S170" s="43">
        <v>5</v>
      </c>
      <c r="T170" s="43">
        <v>5</v>
      </c>
      <c r="U170" s="42" t="s">
        <v>5611</v>
      </c>
      <c r="V170" s="42">
        <v>106.75</v>
      </c>
      <c r="W170" s="42">
        <v>106.75</v>
      </c>
      <c r="X170" s="42" t="s">
        <v>5619</v>
      </c>
      <c r="Y170" s="42" t="s">
        <v>5620</v>
      </c>
      <c r="Z170" s="43" t="s">
        <v>4743</v>
      </c>
      <c r="AA170" s="43" t="s">
        <v>4742</v>
      </c>
      <c r="AC170" s="42" t="s">
        <v>4684</v>
      </c>
      <c r="AD170" s="42" t="s">
        <v>4685</v>
      </c>
      <c r="AE170" s="42" t="s">
        <v>4686</v>
      </c>
      <c r="AF170" s="42" t="s">
        <v>409</v>
      </c>
      <c r="AG170" s="42" t="s">
        <v>4685</v>
      </c>
      <c r="AH170" t="s">
        <v>5611</v>
      </c>
      <c r="AI170" s="42" t="s">
        <v>4959</v>
      </c>
      <c r="AJ170" s="42" t="s">
        <v>5614</v>
      </c>
      <c r="AL170" s="42" t="s">
        <v>5615</v>
      </c>
      <c r="AM170" s="43">
        <v>106.75</v>
      </c>
      <c r="AN170" s="43">
        <v>106.75</v>
      </c>
      <c r="AO170" s="43" t="s">
        <v>70</v>
      </c>
      <c r="AQ170" s="43">
        <v>1</v>
      </c>
      <c r="AR170" s="42" t="s">
        <v>5621</v>
      </c>
      <c r="AU170" s="64"/>
      <c r="AV170" s="64">
        <v>62</v>
      </c>
      <c r="AW170" s="64" t="s">
        <v>4955</v>
      </c>
      <c r="AX170" s="64" t="s">
        <v>4744</v>
      </c>
      <c r="AY170" s="66" t="s">
        <v>478</v>
      </c>
      <c r="AZ170" s="66" t="s">
        <v>409</v>
      </c>
      <c r="BA170" s="64">
        <v>106.75</v>
      </c>
      <c r="BB170" s="64">
        <v>106.75</v>
      </c>
      <c r="BC170" s="64" t="s">
        <v>5619</v>
      </c>
      <c r="BD170" s="64" t="s">
        <v>5620</v>
      </c>
      <c r="BE170" s="64" t="s">
        <v>5619</v>
      </c>
      <c r="BF170" s="64" t="s">
        <v>5620</v>
      </c>
      <c r="BG170" s="64" t="s">
        <v>4963</v>
      </c>
      <c r="BH170" s="64" t="s">
        <v>5611</v>
      </c>
      <c r="BI170" s="64" t="s">
        <v>5618</v>
      </c>
      <c r="BJ170" s="79"/>
      <c r="BK170" s="64" t="s">
        <v>474</v>
      </c>
      <c r="BL170" s="64" t="s">
        <v>474</v>
      </c>
      <c r="BM170" s="66" t="s">
        <v>1271</v>
      </c>
      <c r="BN170" s="66" t="s">
        <v>1468</v>
      </c>
      <c r="BO170" s="66" t="s">
        <v>1468</v>
      </c>
      <c r="BP170" s="66" t="s">
        <v>1474</v>
      </c>
      <c r="BQ170" s="66" t="s">
        <v>1479</v>
      </c>
      <c r="BR170" s="79"/>
      <c r="BS170" s="64">
        <v>0.01</v>
      </c>
      <c r="BT170" s="66">
        <v>30</v>
      </c>
      <c r="BU170" s="79"/>
      <c r="BV170" s="79"/>
      <c r="BW170" s="79"/>
      <c r="BX170" s="79"/>
      <c r="BY170" s="79"/>
      <c r="BZ170" s="79"/>
      <c r="CA170" s="79"/>
      <c r="CB170" s="79"/>
      <c r="CC170" s="79"/>
      <c r="CD170" s="79"/>
      <c r="CE170" s="79"/>
      <c r="CF170" s="79"/>
      <c r="CG170" s="79"/>
      <c r="CH170" s="79"/>
      <c r="CI170" s="79"/>
      <c r="CJ170" s="79"/>
      <c r="CK170" s="79"/>
      <c r="CL170" s="79"/>
      <c r="CM170" s="79"/>
      <c r="CN170" s="79"/>
      <c r="CO170" s="79"/>
      <c r="CP170" s="79"/>
      <c r="CQ170" s="79"/>
      <c r="CR170" s="79"/>
      <c r="CS170" s="79"/>
      <c r="CT170" s="79"/>
      <c r="CU170" s="79"/>
      <c r="CV170" s="79"/>
      <c r="CW170" s="79"/>
      <c r="CX170" s="79"/>
      <c r="CY170" s="79"/>
      <c r="CZ170" s="79"/>
      <c r="DA170" s="79"/>
      <c r="DB170" s="79"/>
      <c r="DC170" s="79"/>
      <c r="DD170" s="79"/>
      <c r="DE170" s="79"/>
      <c r="DF170" s="79"/>
      <c r="DG170" s="79"/>
      <c r="DH170" s="79"/>
      <c r="DI170" s="79"/>
      <c r="DJ170" s="79"/>
      <c r="DK170" s="79"/>
      <c r="DL170" s="79"/>
      <c r="DM170" s="79"/>
      <c r="DN170" s="79"/>
      <c r="DO170" s="79"/>
      <c r="DP170" s="79"/>
      <c r="DQ170" s="79"/>
      <c r="DR170" s="79"/>
      <c r="DS170" s="79"/>
      <c r="DT170" s="79"/>
      <c r="DU170" s="79"/>
      <c r="DV170" s="79"/>
      <c r="DW170" s="79"/>
      <c r="DX170" s="79"/>
      <c r="DY170" s="78"/>
    </row>
    <row r="171" spans="1:129" x14ac:dyDescent="0.35">
      <c r="A171" s="42" t="s">
        <v>4743</v>
      </c>
      <c r="B171" s="42" t="s">
        <v>5622</v>
      </c>
      <c r="C171" s="42" t="s">
        <v>409</v>
      </c>
      <c r="D171" s="43" t="s">
        <v>410</v>
      </c>
      <c r="F171" s="44" t="s">
        <v>5623</v>
      </c>
      <c r="G171" s="42" t="s">
        <v>4955</v>
      </c>
      <c r="H171" s="42" t="s">
        <v>68</v>
      </c>
      <c r="I171" s="43" t="s">
        <v>68</v>
      </c>
      <c r="J171" s="43" t="s">
        <v>68</v>
      </c>
      <c r="K171" s="43"/>
      <c r="L171" s="43" t="s">
        <v>69</v>
      </c>
      <c r="M171" s="43">
        <v>3</v>
      </c>
      <c r="N171" s="43">
        <v>3</v>
      </c>
      <c r="O171" s="43" t="s">
        <v>69</v>
      </c>
      <c r="P171" s="43">
        <v>4</v>
      </c>
      <c r="Q171" s="43">
        <v>4</v>
      </c>
      <c r="R171" s="43" t="s">
        <v>69</v>
      </c>
      <c r="S171" s="43">
        <v>5</v>
      </c>
      <c r="T171" s="43">
        <v>5</v>
      </c>
      <c r="U171" s="42" t="s">
        <v>5611</v>
      </c>
      <c r="V171" s="42">
        <v>106.75</v>
      </c>
      <c r="W171" s="42">
        <v>106.75</v>
      </c>
      <c r="X171" s="42" t="s">
        <v>5624</v>
      </c>
      <c r="Y171" s="42" t="s">
        <v>5625</v>
      </c>
      <c r="Z171" s="43" t="s">
        <v>4743</v>
      </c>
      <c r="AA171" s="43" t="s">
        <v>4742</v>
      </c>
      <c r="AC171" s="42" t="s">
        <v>4684</v>
      </c>
      <c r="AD171" s="42" t="s">
        <v>4685</v>
      </c>
      <c r="AE171" s="42" t="s">
        <v>4686</v>
      </c>
      <c r="AF171" s="42" t="s">
        <v>409</v>
      </c>
      <c r="AG171" s="42" t="s">
        <v>4685</v>
      </c>
      <c r="AH171" t="s">
        <v>5611</v>
      </c>
      <c r="AI171" s="42" t="s">
        <v>4959</v>
      </c>
      <c r="AJ171" s="42" t="s">
        <v>5614</v>
      </c>
      <c r="AL171" s="42" t="s">
        <v>5615</v>
      </c>
      <c r="AM171" s="43">
        <v>106.75</v>
      </c>
      <c r="AN171" s="43">
        <v>106.75</v>
      </c>
      <c r="AO171" s="43" t="s">
        <v>70</v>
      </c>
      <c r="AQ171" s="43">
        <v>1</v>
      </c>
      <c r="AR171" s="42" t="s">
        <v>5626</v>
      </c>
      <c r="AU171" s="64"/>
      <c r="AV171" s="64">
        <v>62</v>
      </c>
      <c r="AW171" s="64" t="s">
        <v>4955</v>
      </c>
      <c r="AX171" s="64" t="s">
        <v>4744</v>
      </c>
      <c r="AY171" s="66" t="s">
        <v>478</v>
      </c>
      <c r="AZ171" s="66" t="s">
        <v>409</v>
      </c>
      <c r="BA171" s="64">
        <v>106.75</v>
      </c>
      <c r="BB171" s="64">
        <v>106.75</v>
      </c>
      <c r="BC171" s="64" t="s">
        <v>5624</v>
      </c>
      <c r="BD171" s="64" t="s">
        <v>5625</v>
      </c>
      <c r="BE171" s="64" t="s">
        <v>5624</v>
      </c>
      <c r="BF171" s="64" t="s">
        <v>5625</v>
      </c>
      <c r="BG171" s="64" t="s">
        <v>4963</v>
      </c>
      <c r="BH171" s="64" t="s">
        <v>5611</v>
      </c>
      <c r="BI171" s="64" t="s">
        <v>5623</v>
      </c>
      <c r="BJ171" s="79"/>
      <c r="BK171" s="64" t="s">
        <v>474</v>
      </c>
      <c r="BL171" s="64" t="s">
        <v>474</v>
      </c>
      <c r="BM171" s="66" t="s">
        <v>1271</v>
      </c>
      <c r="BN171" s="66" t="s">
        <v>1468</v>
      </c>
      <c r="BO171" s="66" t="s">
        <v>1468</v>
      </c>
      <c r="BP171" s="66" t="s">
        <v>1474</v>
      </c>
      <c r="BQ171" s="66" t="s">
        <v>1479</v>
      </c>
      <c r="BR171" s="79"/>
      <c r="BS171" s="64">
        <v>0.01</v>
      </c>
      <c r="BT171" s="66">
        <v>30</v>
      </c>
      <c r="BU171" s="79"/>
      <c r="BV171" s="79"/>
      <c r="BW171" s="79"/>
      <c r="BX171" s="79"/>
      <c r="BY171" s="79"/>
      <c r="BZ171" s="79"/>
      <c r="CA171" s="79"/>
      <c r="CB171" s="79"/>
      <c r="CC171" s="79"/>
      <c r="CD171" s="79"/>
      <c r="CE171" s="79"/>
      <c r="CF171" s="79"/>
      <c r="CG171" s="79"/>
      <c r="CH171" s="79"/>
      <c r="CI171" s="79"/>
      <c r="CJ171" s="79"/>
      <c r="CK171" s="79"/>
      <c r="CL171" s="79"/>
      <c r="CM171" s="79"/>
      <c r="CN171" s="79"/>
      <c r="CO171" s="79"/>
      <c r="CP171" s="79"/>
      <c r="CQ171" s="79"/>
      <c r="CR171" s="79"/>
      <c r="CS171" s="79"/>
      <c r="CT171" s="79"/>
      <c r="CU171" s="79"/>
      <c r="CV171" s="79"/>
      <c r="CW171" s="79"/>
      <c r="CX171" s="79"/>
      <c r="CY171" s="79"/>
      <c r="CZ171" s="79"/>
      <c r="DA171" s="79"/>
      <c r="DB171" s="79"/>
      <c r="DC171" s="79"/>
      <c r="DD171" s="79"/>
      <c r="DE171" s="79"/>
      <c r="DF171" s="79"/>
      <c r="DG171" s="79"/>
      <c r="DH171" s="79"/>
      <c r="DI171" s="79"/>
      <c r="DJ171" s="79"/>
      <c r="DK171" s="79"/>
      <c r="DL171" s="79"/>
      <c r="DM171" s="79"/>
      <c r="DN171" s="79"/>
      <c r="DO171" s="79"/>
      <c r="DP171" s="79"/>
      <c r="DQ171" s="79"/>
      <c r="DR171" s="79"/>
      <c r="DS171" s="79"/>
      <c r="DT171" s="79"/>
      <c r="DU171" s="79"/>
      <c r="DV171" s="79"/>
      <c r="DW171" s="79"/>
      <c r="DX171" s="79"/>
      <c r="DY171" s="78"/>
    </row>
    <row r="172" spans="1:129" x14ac:dyDescent="0.35">
      <c r="A172" s="42" t="s">
        <v>4743</v>
      </c>
      <c r="B172" s="42" t="s">
        <v>5627</v>
      </c>
      <c r="C172" s="42" t="s">
        <v>409</v>
      </c>
      <c r="D172" s="43" t="s">
        <v>410</v>
      </c>
      <c r="F172" s="44" t="s">
        <v>5628</v>
      </c>
      <c r="G172" s="42" t="s">
        <v>4955</v>
      </c>
      <c r="H172" s="42" t="s">
        <v>68</v>
      </c>
      <c r="I172" s="43" t="s">
        <v>68</v>
      </c>
      <c r="J172" s="43" t="s">
        <v>68</v>
      </c>
      <c r="K172" s="43"/>
      <c r="L172" s="43" t="s">
        <v>69</v>
      </c>
      <c r="M172" s="43">
        <v>3</v>
      </c>
      <c r="N172" s="43">
        <v>3</v>
      </c>
      <c r="O172" s="43" t="s">
        <v>69</v>
      </c>
      <c r="P172" s="43">
        <v>4</v>
      </c>
      <c r="Q172" s="43">
        <v>4</v>
      </c>
      <c r="R172" s="43" t="s">
        <v>69</v>
      </c>
      <c r="S172" s="43">
        <v>5</v>
      </c>
      <c r="T172" s="43">
        <v>5</v>
      </c>
      <c r="U172" s="42" t="s">
        <v>5611</v>
      </c>
      <c r="V172" s="42">
        <v>106.75</v>
      </c>
      <c r="W172" s="42">
        <v>106.75</v>
      </c>
      <c r="X172" s="42" t="s">
        <v>5629</v>
      </c>
      <c r="Y172" s="42" t="s">
        <v>5630</v>
      </c>
      <c r="Z172" s="43" t="s">
        <v>4743</v>
      </c>
      <c r="AA172" s="43" t="s">
        <v>4742</v>
      </c>
      <c r="AC172" s="42" t="s">
        <v>4684</v>
      </c>
      <c r="AD172" s="42" t="s">
        <v>4685</v>
      </c>
      <c r="AE172" s="42" t="s">
        <v>4686</v>
      </c>
      <c r="AF172" s="42" t="s">
        <v>409</v>
      </c>
      <c r="AG172" s="42" t="s">
        <v>4685</v>
      </c>
      <c r="AH172" t="s">
        <v>5611</v>
      </c>
      <c r="AI172" s="42" t="s">
        <v>4959</v>
      </c>
      <c r="AJ172" s="42" t="s">
        <v>5614</v>
      </c>
      <c r="AL172" s="42" t="s">
        <v>5615</v>
      </c>
      <c r="AM172" s="43">
        <v>106.75</v>
      </c>
      <c r="AN172" s="43">
        <v>106.75</v>
      </c>
      <c r="AO172" s="43" t="s">
        <v>70</v>
      </c>
      <c r="AQ172" s="43">
        <v>1</v>
      </c>
      <c r="AR172" s="42" t="s">
        <v>5631</v>
      </c>
      <c r="AU172" s="64"/>
      <c r="AV172" s="64">
        <v>62</v>
      </c>
      <c r="AW172" s="64" t="s">
        <v>4955</v>
      </c>
      <c r="AX172" s="64" t="s">
        <v>4744</v>
      </c>
      <c r="AY172" s="66" t="s">
        <v>478</v>
      </c>
      <c r="AZ172" s="66" t="s">
        <v>409</v>
      </c>
      <c r="BA172" s="64">
        <v>106.75</v>
      </c>
      <c r="BB172" s="64">
        <v>106.75</v>
      </c>
      <c r="BC172" s="64" t="s">
        <v>5629</v>
      </c>
      <c r="BD172" s="64" t="s">
        <v>5630</v>
      </c>
      <c r="BE172" s="64" t="s">
        <v>5629</v>
      </c>
      <c r="BF172" s="64" t="s">
        <v>5630</v>
      </c>
      <c r="BG172" s="64" t="s">
        <v>4963</v>
      </c>
      <c r="BH172" s="64" t="s">
        <v>5611</v>
      </c>
      <c r="BI172" s="64" t="s">
        <v>5628</v>
      </c>
      <c r="BJ172" s="79"/>
      <c r="BK172" s="64" t="s">
        <v>474</v>
      </c>
      <c r="BL172" s="64" t="s">
        <v>474</v>
      </c>
      <c r="BM172" s="66" t="s">
        <v>1271</v>
      </c>
      <c r="BN172" s="66" t="s">
        <v>1468</v>
      </c>
      <c r="BO172" s="66" t="s">
        <v>1468</v>
      </c>
      <c r="BP172" s="66" t="s">
        <v>1474</v>
      </c>
      <c r="BQ172" s="66" t="s">
        <v>1479</v>
      </c>
      <c r="BR172" s="79"/>
      <c r="BS172" s="64">
        <v>0.01</v>
      </c>
      <c r="BT172" s="66">
        <v>30</v>
      </c>
      <c r="BU172" s="79"/>
      <c r="BV172" s="79"/>
      <c r="BW172" s="79"/>
      <c r="BX172" s="79"/>
      <c r="BY172" s="79"/>
      <c r="BZ172" s="79"/>
      <c r="CA172" s="79"/>
      <c r="CB172" s="79"/>
      <c r="CC172" s="79"/>
      <c r="CD172" s="79"/>
      <c r="CE172" s="79"/>
      <c r="CF172" s="79"/>
      <c r="CG172" s="79"/>
      <c r="CH172" s="79"/>
      <c r="CI172" s="79"/>
      <c r="CJ172" s="79"/>
      <c r="CK172" s="79"/>
      <c r="CL172" s="79"/>
      <c r="CM172" s="79"/>
      <c r="CN172" s="79"/>
      <c r="CO172" s="79"/>
      <c r="CP172" s="79"/>
      <c r="CQ172" s="79"/>
      <c r="CR172" s="79"/>
      <c r="CS172" s="79"/>
      <c r="CT172" s="79"/>
      <c r="CU172" s="79"/>
      <c r="CV172" s="79"/>
      <c r="CW172" s="79"/>
      <c r="CX172" s="79"/>
      <c r="CY172" s="79"/>
      <c r="CZ172" s="79"/>
      <c r="DA172" s="79"/>
      <c r="DB172" s="79"/>
      <c r="DC172" s="79"/>
      <c r="DD172" s="79"/>
      <c r="DE172" s="79"/>
      <c r="DF172" s="79"/>
      <c r="DG172" s="79"/>
      <c r="DH172" s="79"/>
      <c r="DI172" s="79"/>
      <c r="DJ172" s="79"/>
      <c r="DK172" s="79"/>
      <c r="DL172" s="79"/>
      <c r="DM172" s="79"/>
      <c r="DN172" s="79"/>
      <c r="DO172" s="79"/>
      <c r="DP172" s="79"/>
      <c r="DQ172" s="79"/>
      <c r="DR172" s="79"/>
      <c r="DS172" s="79"/>
      <c r="DT172" s="79"/>
      <c r="DU172" s="79"/>
      <c r="DV172" s="79"/>
      <c r="DW172" s="79"/>
      <c r="DX172" s="79"/>
      <c r="DY172" s="78"/>
    </row>
    <row r="173" spans="1:129" x14ac:dyDescent="0.35">
      <c r="A173" s="42" t="s">
        <v>4743</v>
      </c>
      <c r="B173" s="42" t="s">
        <v>5632</v>
      </c>
      <c r="C173" s="42" t="s">
        <v>409</v>
      </c>
      <c r="D173" s="43" t="s">
        <v>410</v>
      </c>
      <c r="F173" s="44" t="s">
        <v>5633</v>
      </c>
      <c r="G173" s="42" t="s">
        <v>4955</v>
      </c>
      <c r="H173" s="42" t="s">
        <v>68</v>
      </c>
      <c r="I173" s="43" t="s">
        <v>68</v>
      </c>
      <c r="J173" s="43" t="s">
        <v>68</v>
      </c>
      <c r="K173" s="43"/>
      <c r="L173" s="43" t="s">
        <v>69</v>
      </c>
      <c r="M173" s="43">
        <v>3</v>
      </c>
      <c r="N173" s="43">
        <v>3</v>
      </c>
      <c r="O173" s="43" t="s">
        <v>69</v>
      </c>
      <c r="P173" s="43">
        <v>4</v>
      </c>
      <c r="Q173" s="43">
        <v>4</v>
      </c>
      <c r="R173" s="43" t="s">
        <v>69</v>
      </c>
      <c r="S173" s="43">
        <v>5</v>
      </c>
      <c r="T173" s="43">
        <v>5</v>
      </c>
      <c r="U173" s="42" t="s">
        <v>5611</v>
      </c>
      <c r="V173" s="42">
        <v>106.75</v>
      </c>
      <c r="W173" s="42">
        <v>106.75</v>
      </c>
      <c r="X173" s="42" t="s">
        <v>5634</v>
      </c>
      <c r="Y173" s="42" t="s">
        <v>5635</v>
      </c>
      <c r="Z173" s="43" t="s">
        <v>4743</v>
      </c>
      <c r="AA173" s="43" t="s">
        <v>4742</v>
      </c>
      <c r="AC173" s="42" t="s">
        <v>4684</v>
      </c>
      <c r="AD173" s="42" t="s">
        <v>4685</v>
      </c>
      <c r="AE173" s="42" t="s">
        <v>4686</v>
      </c>
      <c r="AF173" s="42" t="s">
        <v>409</v>
      </c>
      <c r="AG173" s="42" t="s">
        <v>4685</v>
      </c>
      <c r="AH173" t="s">
        <v>5611</v>
      </c>
      <c r="AI173" s="42" t="s">
        <v>4959</v>
      </c>
      <c r="AJ173" s="42" t="s">
        <v>5614</v>
      </c>
      <c r="AL173" s="42" t="s">
        <v>5615</v>
      </c>
      <c r="AM173" s="43">
        <v>106.75</v>
      </c>
      <c r="AN173" s="43">
        <v>106.75</v>
      </c>
      <c r="AO173" s="43" t="s">
        <v>70</v>
      </c>
      <c r="AQ173" s="43">
        <v>1</v>
      </c>
      <c r="AR173" s="42" t="s">
        <v>5636</v>
      </c>
      <c r="AU173" s="64"/>
      <c r="AV173" s="64">
        <v>62</v>
      </c>
      <c r="AW173" s="64" t="s">
        <v>4955</v>
      </c>
      <c r="AX173" s="64" t="s">
        <v>4744</v>
      </c>
      <c r="AY173" s="66" t="s">
        <v>478</v>
      </c>
      <c r="AZ173" s="66" t="s">
        <v>409</v>
      </c>
      <c r="BA173" s="64">
        <v>106.75</v>
      </c>
      <c r="BB173" s="64">
        <v>106.75</v>
      </c>
      <c r="BC173" s="64" t="s">
        <v>5634</v>
      </c>
      <c r="BD173" s="64" t="s">
        <v>5635</v>
      </c>
      <c r="BE173" s="64" t="s">
        <v>5634</v>
      </c>
      <c r="BF173" s="64" t="s">
        <v>5635</v>
      </c>
      <c r="BG173" s="64" t="s">
        <v>4963</v>
      </c>
      <c r="BH173" s="64" t="s">
        <v>5611</v>
      </c>
      <c r="BI173" s="64" t="s">
        <v>5633</v>
      </c>
      <c r="BJ173" s="79"/>
      <c r="BK173" s="64" t="s">
        <v>474</v>
      </c>
      <c r="BL173" s="64" t="s">
        <v>474</v>
      </c>
      <c r="BM173" s="66" t="s">
        <v>1271</v>
      </c>
      <c r="BN173" s="66" t="s">
        <v>1468</v>
      </c>
      <c r="BO173" s="66" t="s">
        <v>1468</v>
      </c>
      <c r="BP173" s="66" t="s">
        <v>1474</v>
      </c>
      <c r="BQ173" s="66" t="s">
        <v>1479</v>
      </c>
      <c r="BR173" s="79"/>
      <c r="BS173" s="64">
        <v>0.01</v>
      </c>
      <c r="BT173" s="66">
        <v>30</v>
      </c>
      <c r="BU173" s="79"/>
      <c r="BV173" s="79"/>
      <c r="BW173" s="79"/>
      <c r="BX173" s="79"/>
      <c r="BY173" s="79"/>
      <c r="BZ173" s="79"/>
      <c r="CA173" s="79"/>
      <c r="CB173" s="79"/>
      <c r="CC173" s="79"/>
      <c r="CD173" s="79"/>
      <c r="CE173" s="79"/>
      <c r="CF173" s="79"/>
      <c r="CG173" s="79"/>
      <c r="CH173" s="79"/>
      <c r="CI173" s="79"/>
      <c r="CJ173" s="79"/>
      <c r="CK173" s="79"/>
      <c r="CL173" s="79"/>
      <c r="CM173" s="79"/>
      <c r="CN173" s="79"/>
      <c r="CO173" s="79"/>
      <c r="CP173" s="79"/>
      <c r="CQ173" s="79"/>
      <c r="CR173" s="79"/>
      <c r="CS173" s="79"/>
      <c r="CT173" s="79"/>
      <c r="CU173" s="79"/>
      <c r="CV173" s="79"/>
      <c r="CW173" s="79"/>
      <c r="CX173" s="79"/>
      <c r="CY173" s="79"/>
      <c r="CZ173" s="79"/>
      <c r="DA173" s="79"/>
      <c r="DB173" s="79"/>
      <c r="DC173" s="79"/>
      <c r="DD173" s="79"/>
      <c r="DE173" s="79"/>
      <c r="DF173" s="79"/>
      <c r="DG173" s="79"/>
      <c r="DH173" s="79"/>
      <c r="DI173" s="79"/>
      <c r="DJ173" s="79"/>
      <c r="DK173" s="79"/>
      <c r="DL173" s="79"/>
      <c r="DM173" s="79"/>
      <c r="DN173" s="79"/>
      <c r="DO173" s="79"/>
      <c r="DP173" s="79"/>
      <c r="DQ173" s="79"/>
      <c r="DR173" s="79"/>
      <c r="DS173" s="79"/>
      <c r="DT173" s="79"/>
      <c r="DU173" s="79"/>
      <c r="DV173" s="79"/>
      <c r="DW173" s="79"/>
      <c r="DX173" s="79"/>
      <c r="DY173" s="78"/>
    </row>
    <row r="174" spans="1:129" x14ac:dyDescent="0.35">
      <c r="A174" s="42" t="s">
        <v>4743</v>
      </c>
      <c r="B174" s="42" t="s">
        <v>5637</v>
      </c>
      <c r="C174" s="42" t="s">
        <v>409</v>
      </c>
      <c r="D174" s="43" t="s">
        <v>410</v>
      </c>
      <c r="F174" s="44" t="s">
        <v>5638</v>
      </c>
      <c r="G174" s="42" t="s">
        <v>4955</v>
      </c>
      <c r="H174" s="42" t="s">
        <v>68</v>
      </c>
      <c r="I174" s="43" t="s">
        <v>68</v>
      </c>
      <c r="J174" s="43" t="s">
        <v>68</v>
      </c>
      <c r="K174" s="43"/>
      <c r="L174" s="43" t="s">
        <v>69</v>
      </c>
      <c r="M174" s="43">
        <v>3</v>
      </c>
      <c r="N174" s="43">
        <v>3</v>
      </c>
      <c r="O174" s="43" t="s">
        <v>69</v>
      </c>
      <c r="P174" s="43">
        <v>4</v>
      </c>
      <c r="Q174" s="43">
        <v>4</v>
      </c>
      <c r="R174" s="43" t="s">
        <v>69</v>
      </c>
      <c r="S174" s="43">
        <v>5</v>
      </c>
      <c r="T174" s="43">
        <v>5</v>
      </c>
      <c r="U174" s="42" t="s">
        <v>5611</v>
      </c>
      <c r="V174" s="42">
        <v>106.75</v>
      </c>
      <c r="W174" s="42">
        <v>106.75</v>
      </c>
      <c r="X174" s="42" t="s">
        <v>5639</v>
      </c>
      <c r="Y174" s="42" t="s">
        <v>5640</v>
      </c>
      <c r="Z174" s="43" t="s">
        <v>4743</v>
      </c>
      <c r="AA174" s="43" t="s">
        <v>4742</v>
      </c>
      <c r="AC174" s="42" t="s">
        <v>4684</v>
      </c>
      <c r="AD174" s="42" t="s">
        <v>4685</v>
      </c>
      <c r="AE174" s="42" t="s">
        <v>4686</v>
      </c>
      <c r="AF174" s="42" t="s">
        <v>409</v>
      </c>
      <c r="AG174" s="42" t="s">
        <v>4685</v>
      </c>
      <c r="AH174" t="s">
        <v>5611</v>
      </c>
      <c r="AI174" s="42" t="s">
        <v>4959</v>
      </c>
      <c r="AJ174" s="42" t="s">
        <v>5614</v>
      </c>
      <c r="AL174" s="42" t="s">
        <v>5615</v>
      </c>
      <c r="AM174" s="43">
        <v>106.75</v>
      </c>
      <c r="AN174" s="43">
        <v>106.75</v>
      </c>
      <c r="AO174" s="43" t="s">
        <v>70</v>
      </c>
      <c r="AQ174" s="43">
        <v>1</v>
      </c>
      <c r="AR174" s="42" t="s">
        <v>5641</v>
      </c>
      <c r="AU174" s="64"/>
      <c r="AV174" s="64">
        <v>62</v>
      </c>
      <c r="AW174" s="64" t="s">
        <v>4955</v>
      </c>
      <c r="AX174" s="64" t="s">
        <v>4744</v>
      </c>
      <c r="AY174" s="66" t="s">
        <v>478</v>
      </c>
      <c r="AZ174" s="66" t="s">
        <v>409</v>
      </c>
      <c r="BA174" s="64">
        <v>106.75</v>
      </c>
      <c r="BB174" s="64">
        <v>106.75</v>
      </c>
      <c r="BC174" s="64" t="s">
        <v>5639</v>
      </c>
      <c r="BD174" s="64" t="s">
        <v>5640</v>
      </c>
      <c r="BE174" s="64" t="s">
        <v>5639</v>
      </c>
      <c r="BF174" s="64" t="s">
        <v>5640</v>
      </c>
      <c r="BG174" s="64" t="s">
        <v>4963</v>
      </c>
      <c r="BH174" s="64" t="s">
        <v>5611</v>
      </c>
      <c r="BI174" s="64" t="s">
        <v>5638</v>
      </c>
      <c r="BJ174" s="79"/>
      <c r="BK174" s="64" t="s">
        <v>474</v>
      </c>
      <c r="BL174" s="64" t="s">
        <v>474</v>
      </c>
      <c r="BM174" s="66" t="s">
        <v>1271</v>
      </c>
      <c r="BN174" s="66" t="s">
        <v>1468</v>
      </c>
      <c r="BO174" s="66" t="s">
        <v>1468</v>
      </c>
      <c r="BP174" s="66" t="s">
        <v>1474</v>
      </c>
      <c r="BQ174" s="66" t="s">
        <v>1479</v>
      </c>
      <c r="BR174" s="79"/>
      <c r="BS174" s="64">
        <v>0.01</v>
      </c>
      <c r="BT174" s="66">
        <v>30</v>
      </c>
      <c r="BU174" s="79"/>
      <c r="BV174" s="79"/>
      <c r="BW174" s="79"/>
      <c r="BX174" s="79"/>
      <c r="BY174" s="79"/>
      <c r="BZ174" s="79"/>
      <c r="CA174" s="79"/>
      <c r="CB174" s="79"/>
      <c r="CC174" s="79"/>
      <c r="CD174" s="79"/>
      <c r="CE174" s="79"/>
      <c r="CF174" s="79"/>
      <c r="CG174" s="79"/>
      <c r="CH174" s="79"/>
      <c r="CI174" s="79"/>
      <c r="CJ174" s="79"/>
      <c r="CK174" s="79"/>
      <c r="CL174" s="79"/>
      <c r="CM174" s="79"/>
      <c r="CN174" s="79"/>
      <c r="CO174" s="79"/>
      <c r="CP174" s="79"/>
      <c r="CQ174" s="79"/>
      <c r="CR174" s="79"/>
      <c r="CS174" s="79"/>
      <c r="CT174" s="79"/>
      <c r="CU174" s="79"/>
      <c r="CV174" s="79"/>
      <c r="CW174" s="79"/>
      <c r="CX174" s="79"/>
      <c r="CY174" s="79"/>
      <c r="CZ174" s="79"/>
      <c r="DA174" s="79"/>
      <c r="DB174" s="79"/>
      <c r="DC174" s="79"/>
      <c r="DD174" s="79"/>
      <c r="DE174" s="79"/>
      <c r="DF174" s="79"/>
      <c r="DG174" s="79"/>
      <c r="DH174" s="79"/>
      <c r="DI174" s="79"/>
      <c r="DJ174" s="79"/>
      <c r="DK174" s="79"/>
      <c r="DL174" s="79"/>
      <c r="DM174" s="79"/>
      <c r="DN174" s="79"/>
      <c r="DO174" s="79"/>
      <c r="DP174" s="79"/>
      <c r="DQ174" s="79"/>
      <c r="DR174" s="79"/>
      <c r="DS174" s="79"/>
      <c r="DT174" s="79"/>
      <c r="DU174" s="79"/>
      <c r="DV174" s="79"/>
      <c r="DW174" s="79"/>
      <c r="DX174" s="79"/>
      <c r="DY174" s="78"/>
    </row>
    <row r="175" spans="1:129" x14ac:dyDescent="0.35">
      <c r="A175" s="42" t="s">
        <v>4743</v>
      </c>
      <c r="B175" s="42" t="s">
        <v>5642</v>
      </c>
      <c r="C175" s="42" t="s">
        <v>409</v>
      </c>
      <c r="D175" s="43" t="s">
        <v>410</v>
      </c>
      <c r="F175" s="44" t="s">
        <v>5643</v>
      </c>
      <c r="G175" s="42" t="s">
        <v>4955</v>
      </c>
      <c r="H175" s="42" t="s">
        <v>68</v>
      </c>
      <c r="I175" s="43" t="s">
        <v>68</v>
      </c>
      <c r="J175" s="43" t="s">
        <v>68</v>
      </c>
      <c r="K175" s="43"/>
      <c r="L175" s="43" t="s">
        <v>69</v>
      </c>
      <c r="M175" s="43">
        <v>3</v>
      </c>
      <c r="N175" s="43">
        <v>3</v>
      </c>
      <c r="O175" s="43" t="s">
        <v>69</v>
      </c>
      <c r="P175" s="43">
        <v>4</v>
      </c>
      <c r="Q175" s="43">
        <v>4</v>
      </c>
      <c r="R175" s="43" t="s">
        <v>69</v>
      </c>
      <c r="S175" s="43">
        <v>5</v>
      </c>
      <c r="T175" s="43">
        <v>5</v>
      </c>
      <c r="U175" s="42" t="s">
        <v>5611</v>
      </c>
      <c r="V175" s="42">
        <v>106.75</v>
      </c>
      <c r="W175" s="42">
        <v>106.75</v>
      </c>
      <c r="X175" s="42" t="s">
        <v>5644</v>
      </c>
      <c r="Y175" s="42" t="s">
        <v>5645</v>
      </c>
      <c r="Z175" s="43" t="s">
        <v>4743</v>
      </c>
      <c r="AA175" s="43" t="s">
        <v>4742</v>
      </c>
      <c r="AC175" s="42" t="s">
        <v>4684</v>
      </c>
      <c r="AD175" s="42" t="s">
        <v>4685</v>
      </c>
      <c r="AE175" s="42" t="s">
        <v>4686</v>
      </c>
      <c r="AF175" s="42" t="s">
        <v>409</v>
      </c>
      <c r="AG175" s="42" t="s">
        <v>4685</v>
      </c>
      <c r="AH175" t="s">
        <v>5611</v>
      </c>
      <c r="AI175" s="42" t="s">
        <v>4959</v>
      </c>
      <c r="AJ175" s="42" t="s">
        <v>5614</v>
      </c>
      <c r="AL175" s="42" t="s">
        <v>5615</v>
      </c>
      <c r="AM175" s="43">
        <v>106.75</v>
      </c>
      <c r="AN175" s="43">
        <v>106.75</v>
      </c>
      <c r="AO175" s="43" t="s">
        <v>70</v>
      </c>
      <c r="AQ175" s="43">
        <v>1</v>
      </c>
      <c r="AR175" s="42" t="s">
        <v>5646</v>
      </c>
      <c r="AU175" s="64"/>
      <c r="AV175" s="64">
        <v>62</v>
      </c>
      <c r="AW175" s="64" t="s">
        <v>4955</v>
      </c>
      <c r="AX175" s="64" t="s">
        <v>4744</v>
      </c>
      <c r="AY175" s="66" t="s">
        <v>478</v>
      </c>
      <c r="AZ175" s="66" t="s">
        <v>409</v>
      </c>
      <c r="BA175" s="64">
        <v>106.75</v>
      </c>
      <c r="BB175" s="64">
        <v>106.75</v>
      </c>
      <c r="BC175" s="64" t="s">
        <v>5644</v>
      </c>
      <c r="BD175" s="64" t="s">
        <v>5645</v>
      </c>
      <c r="BE175" s="64" t="s">
        <v>5644</v>
      </c>
      <c r="BF175" s="64" t="s">
        <v>5645</v>
      </c>
      <c r="BG175" s="64" t="s">
        <v>4963</v>
      </c>
      <c r="BH175" s="64" t="s">
        <v>5611</v>
      </c>
      <c r="BI175" s="64" t="s">
        <v>5643</v>
      </c>
      <c r="BJ175" s="79"/>
      <c r="BK175" s="64" t="s">
        <v>474</v>
      </c>
      <c r="BL175" s="64" t="s">
        <v>474</v>
      </c>
      <c r="BM175" s="66" t="s">
        <v>1271</v>
      </c>
      <c r="BN175" s="66" t="s">
        <v>1468</v>
      </c>
      <c r="BO175" s="66" t="s">
        <v>1468</v>
      </c>
      <c r="BP175" s="66" t="s">
        <v>1474</v>
      </c>
      <c r="BQ175" s="66" t="s">
        <v>1479</v>
      </c>
      <c r="BR175" s="79"/>
      <c r="BS175" s="64">
        <v>0.01</v>
      </c>
      <c r="BT175" s="66">
        <v>30</v>
      </c>
      <c r="BU175" s="79"/>
      <c r="BV175" s="79"/>
      <c r="BW175" s="79"/>
      <c r="BX175" s="79"/>
      <c r="BY175" s="79"/>
      <c r="BZ175" s="79"/>
      <c r="CA175" s="79"/>
      <c r="CB175" s="79"/>
      <c r="CC175" s="79"/>
      <c r="CD175" s="79"/>
      <c r="CE175" s="79"/>
      <c r="CF175" s="79"/>
      <c r="CG175" s="79"/>
      <c r="CH175" s="79"/>
      <c r="CI175" s="79"/>
      <c r="CJ175" s="79"/>
      <c r="CK175" s="79"/>
      <c r="CL175" s="79"/>
      <c r="CM175" s="79"/>
      <c r="CN175" s="79"/>
      <c r="CO175" s="79"/>
      <c r="CP175" s="79"/>
      <c r="CQ175" s="79"/>
      <c r="CR175" s="79"/>
      <c r="CS175" s="79"/>
      <c r="CT175" s="79"/>
      <c r="CU175" s="79"/>
      <c r="CV175" s="79"/>
      <c r="CW175" s="79"/>
      <c r="CX175" s="79"/>
      <c r="CY175" s="79"/>
      <c r="CZ175" s="79"/>
      <c r="DA175" s="79"/>
      <c r="DB175" s="79"/>
      <c r="DC175" s="79"/>
      <c r="DD175" s="79"/>
      <c r="DE175" s="79"/>
      <c r="DF175" s="79"/>
      <c r="DG175" s="79"/>
      <c r="DH175" s="79"/>
      <c r="DI175" s="79"/>
      <c r="DJ175" s="79"/>
      <c r="DK175" s="79"/>
      <c r="DL175" s="79"/>
      <c r="DM175" s="79"/>
      <c r="DN175" s="79"/>
      <c r="DO175" s="79"/>
      <c r="DP175" s="79"/>
      <c r="DQ175" s="79"/>
      <c r="DR175" s="79"/>
      <c r="DS175" s="79"/>
      <c r="DT175" s="79"/>
      <c r="DU175" s="79"/>
      <c r="DV175" s="79"/>
      <c r="DW175" s="79"/>
      <c r="DX175" s="79"/>
      <c r="DY175" s="78"/>
    </row>
    <row r="176" spans="1:129" x14ac:dyDescent="0.35">
      <c r="A176" s="42" t="s">
        <v>4743</v>
      </c>
      <c r="B176" s="42" t="s">
        <v>5647</v>
      </c>
      <c r="C176" s="42" t="s">
        <v>409</v>
      </c>
      <c r="D176" s="43" t="s">
        <v>410</v>
      </c>
      <c r="F176" s="44" t="s">
        <v>5648</v>
      </c>
      <c r="G176" s="42" t="s">
        <v>4955</v>
      </c>
      <c r="H176" s="42" t="s">
        <v>68</v>
      </c>
      <c r="I176" s="43" t="s">
        <v>68</v>
      </c>
      <c r="J176" s="43" t="s">
        <v>68</v>
      </c>
      <c r="K176" s="43"/>
      <c r="L176" s="43" t="s">
        <v>69</v>
      </c>
      <c r="M176" s="43">
        <v>3</v>
      </c>
      <c r="N176" s="43">
        <v>3</v>
      </c>
      <c r="O176" s="43" t="s">
        <v>69</v>
      </c>
      <c r="P176" s="43">
        <v>4</v>
      </c>
      <c r="Q176" s="43">
        <v>4</v>
      </c>
      <c r="R176" s="43" t="s">
        <v>69</v>
      </c>
      <c r="S176" s="43">
        <v>5</v>
      </c>
      <c r="T176" s="43">
        <v>5</v>
      </c>
      <c r="U176" s="42" t="s">
        <v>5611</v>
      </c>
      <c r="V176" s="42">
        <v>106.74</v>
      </c>
      <c r="W176" s="42">
        <v>106.75</v>
      </c>
      <c r="X176" s="42" t="s">
        <v>5649</v>
      </c>
      <c r="Y176" s="42" t="s">
        <v>5650</v>
      </c>
      <c r="Z176" s="43" t="s">
        <v>4743</v>
      </c>
      <c r="AA176" s="43" t="s">
        <v>4742</v>
      </c>
      <c r="AC176" s="42" t="s">
        <v>4684</v>
      </c>
      <c r="AD176" s="42" t="s">
        <v>4685</v>
      </c>
      <c r="AE176" s="42" t="s">
        <v>4686</v>
      </c>
      <c r="AF176" s="42" t="s">
        <v>409</v>
      </c>
      <c r="AG176" s="42" t="s">
        <v>4685</v>
      </c>
      <c r="AH176" t="s">
        <v>5611</v>
      </c>
      <c r="AI176" s="42" t="s">
        <v>4959</v>
      </c>
      <c r="AJ176" s="42" t="s">
        <v>5614</v>
      </c>
      <c r="AL176" s="42" t="s">
        <v>5615</v>
      </c>
      <c r="AM176" s="43">
        <v>106.74</v>
      </c>
      <c r="AN176" s="43">
        <v>106.75</v>
      </c>
      <c r="AO176" s="43" t="s">
        <v>70</v>
      </c>
      <c r="AQ176" s="43">
        <v>1</v>
      </c>
      <c r="AR176" s="42" t="s">
        <v>5651</v>
      </c>
      <c r="AU176" s="64"/>
      <c r="AV176" s="64">
        <v>62</v>
      </c>
      <c r="AW176" s="64" t="s">
        <v>4955</v>
      </c>
      <c r="AX176" s="64" t="s">
        <v>4744</v>
      </c>
      <c r="AY176" s="66" t="s">
        <v>478</v>
      </c>
      <c r="AZ176" s="66" t="s">
        <v>409</v>
      </c>
      <c r="BA176" s="64">
        <v>106.74</v>
      </c>
      <c r="BB176" s="64">
        <v>106.75</v>
      </c>
      <c r="BC176" s="64" t="s">
        <v>5649</v>
      </c>
      <c r="BD176" s="64" t="s">
        <v>5650</v>
      </c>
      <c r="BE176" s="64" t="s">
        <v>5649</v>
      </c>
      <c r="BF176" s="64" t="s">
        <v>5650</v>
      </c>
      <c r="BG176" s="64" t="s">
        <v>4963</v>
      </c>
      <c r="BH176" s="64" t="s">
        <v>5611</v>
      </c>
      <c r="BI176" s="64" t="s">
        <v>5648</v>
      </c>
      <c r="BJ176" s="79"/>
      <c r="BK176" s="64" t="s">
        <v>474</v>
      </c>
      <c r="BL176" s="64" t="s">
        <v>474</v>
      </c>
      <c r="BM176" s="66" t="s">
        <v>1271</v>
      </c>
      <c r="BN176" s="66" t="s">
        <v>1468</v>
      </c>
      <c r="BO176" s="66" t="s">
        <v>1468</v>
      </c>
      <c r="BP176" s="66" t="s">
        <v>1474</v>
      </c>
      <c r="BQ176" s="66" t="s">
        <v>1479</v>
      </c>
      <c r="BR176" s="79"/>
      <c r="BS176" s="64">
        <v>0.01</v>
      </c>
      <c r="BT176" s="66">
        <v>30</v>
      </c>
      <c r="BU176" s="79"/>
      <c r="BV176" s="79"/>
      <c r="BW176" s="79"/>
      <c r="BX176" s="79"/>
      <c r="BY176" s="79"/>
      <c r="BZ176" s="79"/>
      <c r="CA176" s="79"/>
      <c r="CB176" s="79"/>
      <c r="CC176" s="79"/>
      <c r="CD176" s="79"/>
      <c r="CE176" s="79"/>
      <c r="CF176" s="79"/>
      <c r="CG176" s="79"/>
      <c r="CH176" s="79"/>
      <c r="CI176" s="79"/>
      <c r="CJ176" s="79"/>
      <c r="CK176" s="79"/>
      <c r="CL176" s="79"/>
      <c r="CM176" s="79"/>
      <c r="CN176" s="79"/>
      <c r="CO176" s="79"/>
      <c r="CP176" s="79"/>
      <c r="CQ176" s="79"/>
      <c r="CR176" s="79"/>
      <c r="CS176" s="79"/>
      <c r="CT176" s="79"/>
      <c r="CU176" s="79"/>
      <c r="CV176" s="79"/>
      <c r="CW176" s="79"/>
      <c r="CX176" s="79"/>
      <c r="CY176" s="79"/>
      <c r="CZ176" s="79"/>
      <c r="DA176" s="79"/>
      <c r="DB176" s="79"/>
      <c r="DC176" s="79"/>
      <c r="DD176" s="79"/>
      <c r="DE176" s="79"/>
      <c r="DF176" s="79"/>
      <c r="DG176" s="79"/>
      <c r="DH176" s="79"/>
      <c r="DI176" s="79"/>
      <c r="DJ176" s="79"/>
      <c r="DK176" s="79"/>
      <c r="DL176" s="79"/>
      <c r="DM176" s="79"/>
      <c r="DN176" s="79"/>
      <c r="DO176" s="79"/>
      <c r="DP176" s="79"/>
      <c r="DQ176" s="79"/>
      <c r="DR176" s="79"/>
      <c r="DS176" s="79"/>
      <c r="DT176" s="79"/>
      <c r="DU176" s="79"/>
      <c r="DV176" s="79"/>
      <c r="DW176" s="79"/>
      <c r="DX176" s="79"/>
      <c r="DY176" s="78"/>
    </row>
    <row r="177" spans="1:129" x14ac:dyDescent="0.35">
      <c r="A177" s="42" t="s">
        <v>4743</v>
      </c>
      <c r="B177" s="42" t="s">
        <v>5652</v>
      </c>
      <c r="C177" s="42" t="s">
        <v>409</v>
      </c>
      <c r="D177" s="43" t="s">
        <v>410</v>
      </c>
      <c r="F177" s="44" t="s">
        <v>5653</v>
      </c>
      <c r="G177" s="42" t="s">
        <v>4955</v>
      </c>
      <c r="H177" s="42" t="s">
        <v>68</v>
      </c>
      <c r="I177" s="43" t="s">
        <v>68</v>
      </c>
      <c r="J177" s="43" t="s">
        <v>68</v>
      </c>
      <c r="K177" s="43"/>
      <c r="L177" s="43" t="s">
        <v>69</v>
      </c>
      <c r="M177" s="43">
        <v>3</v>
      </c>
      <c r="N177" s="43">
        <v>3</v>
      </c>
      <c r="O177" s="43" t="s">
        <v>69</v>
      </c>
      <c r="P177" s="43">
        <v>4</v>
      </c>
      <c r="Q177" s="43">
        <v>4</v>
      </c>
      <c r="R177" s="43" t="s">
        <v>69</v>
      </c>
      <c r="S177" s="43">
        <v>5</v>
      </c>
      <c r="T177" s="43">
        <v>5</v>
      </c>
      <c r="U177" s="42" t="s">
        <v>5611</v>
      </c>
      <c r="V177" s="42">
        <v>106.74</v>
      </c>
      <c r="W177" s="42">
        <v>106.74</v>
      </c>
      <c r="X177" s="42" t="s">
        <v>5654</v>
      </c>
      <c r="Y177" s="42" t="s">
        <v>5655</v>
      </c>
      <c r="Z177" s="43" t="s">
        <v>4743</v>
      </c>
      <c r="AA177" s="43" t="s">
        <v>4742</v>
      </c>
      <c r="AC177" s="42" t="s">
        <v>4684</v>
      </c>
      <c r="AD177" s="42" t="s">
        <v>4685</v>
      </c>
      <c r="AE177" s="42" t="s">
        <v>4686</v>
      </c>
      <c r="AF177" s="42" t="s">
        <v>409</v>
      </c>
      <c r="AG177" s="42" t="s">
        <v>4685</v>
      </c>
      <c r="AH177" t="s">
        <v>5611</v>
      </c>
      <c r="AI177" s="42" t="s">
        <v>4959</v>
      </c>
      <c r="AJ177" s="42" t="s">
        <v>5614</v>
      </c>
      <c r="AL177" s="42" t="s">
        <v>5615</v>
      </c>
      <c r="AM177" s="43">
        <v>106.74</v>
      </c>
      <c r="AN177" s="43">
        <v>106.74</v>
      </c>
      <c r="AO177" s="43" t="s">
        <v>70</v>
      </c>
      <c r="AQ177" s="43">
        <v>1</v>
      </c>
      <c r="AR177" s="42" t="s">
        <v>5656</v>
      </c>
      <c r="AU177" s="64"/>
      <c r="AV177" s="64">
        <v>62</v>
      </c>
      <c r="AW177" s="64" t="s">
        <v>4955</v>
      </c>
      <c r="AX177" s="64" t="s">
        <v>4744</v>
      </c>
      <c r="AY177" s="66" t="s">
        <v>478</v>
      </c>
      <c r="AZ177" s="66" t="s">
        <v>409</v>
      </c>
      <c r="BA177" s="64">
        <v>106.74</v>
      </c>
      <c r="BB177" s="64">
        <v>106.74</v>
      </c>
      <c r="BC177" s="64" t="s">
        <v>5654</v>
      </c>
      <c r="BD177" s="64" t="s">
        <v>5655</v>
      </c>
      <c r="BE177" s="64" t="s">
        <v>5654</v>
      </c>
      <c r="BF177" s="64" t="s">
        <v>5655</v>
      </c>
      <c r="BG177" s="64" t="s">
        <v>4963</v>
      </c>
      <c r="BH177" s="64" t="s">
        <v>5611</v>
      </c>
      <c r="BI177" s="64" t="s">
        <v>5653</v>
      </c>
      <c r="BJ177" s="79"/>
      <c r="BK177" s="64" t="s">
        <v>474</v>
      </c>
      <c r="BL177" s="64" t="s">
        <v>474</v>
      </c>
      <c r="BM177" s="66" t="s">
        <v>1271</v>
      </c>
      <c r="BN177" s="66" t="s">
        <v>1468</v>
      </c>
      <c r="BO177" s="66" t="s">
        <v>1468</v>
      </c>
      <c r="BP177" s="66" t="s">
        <v>1474</v>
      </c>
      <c r="BQ177" s="66" t="s">
        <v>1479</v>
      </c>
      <c r="BR177" s="79"/>
      <c r="BS177" s="64">
        <v>0.01</v>
      </c>
      <c r="BT177" s="66">
        <v>30</v>
      </c>
      <c r="BU177" s="79"/>
      <c r="BV177" s="79"/>
      <c r="BW177" s="79"/>
      <c r="BX177" s="79"/>
      <c r="BY177" s="79"/>
      <c r="BZ177" s="79"/>
      <c r="CA177" s="79"/>
      <c r="CB177" s="79"/>
      <c r="CC177" s="79"/>
      <c r="CD177" s="79"/>
      <c r="CE177" s="79"/>
      <c r="CF177" s="79"/>
      <c r="CG177" s="79"/>
      <c r="CH177" s="79"/>
      <c r="CI177" s="79"/>
      <c r="CJ177" s="79"/>
      <c r="CK177" s="79"/>
      <c r="CL177" s="79"/>
      <c r="CM177" s="79"/>
      <c r="CN177" s="79"/>
      <c r="CO177" s="79"/>
      <c r="CP177" s="79"/>
      <c r="CQ177" s="79"/>
      <c r="CR177" s="79"/>
      <c r="CS177" s="79"/>
      <c r="CT177" s="79"/>
      <c r="CU177" s="79"/>
      <c r="CV177" s="79"/>
      <c r="CW177" s="79"/>
      <c r="CX177" s="79"/>
      <c r="CY177" s="79"/>
      <c r="CZ177" s="79"/>
      <c r="DA177" s="79"/>
      <c r="DB177" s="79"/>
      <c r="DC177" s="79"/>
      <c r="DD177" s="79"/>
      <c r="DE177" s="79"/>
      <c r="DF177" s="79"/>
      <c r="DG177" s="79"/>
      <c r="DH177" s="79"/>
      <c r="DI177" s="79"/>
      <c r="DJ177" s="79"/>
      <c r="DK177" s="79"/>
      <c r="DL177" s="79"/>
      <c r="DM177" s="79"/>
      <c r="DN177" s="79"/>
      <c r="DO177" s="79"/>
      <c r="DP177" s="79"/>
      <c r="DQ177" s="79"/>
      <c r="DR177" s="79"/>
      <c r="DS177" s="79"/>
      <c r="DT177" s="79"/>
      <c r="DU177" s="79"/>
      <c r="DV177" s="79"/>
      <c r="DW177" s="79"/>
      <c r="DX177" s="79"/>
      <c r="DY177" s="78"/>
    </row>
    <row r="178" spans="1:129" x14ac:dyDescent="0.35">
      <c r="A178" s="42" t="s">
        <v>4743</v>
      </c>
      <c r="B178" s="42" t="s">
        <v>5657</v>
      </c>
      <c r="C178" s="42" t="s">
        <v>409</v>
      </c>
      <c r="D178" s="43" t="s">
        <v>410</v>
      </c>
      <c r="F178" s="44" t="s">
        <v>5658</v>
      </c>
      <c r="G178" s="42" t="s">
        <v>4955</v>
      </c>
      <c r="H178" s="42" t="s">
        <v>68</v>
      </c>
      <c r="I178" s="43" t="s">
        <v>68</v>
      </c>
      <c r="J178" s="43" t="s">
        <v>68</v>
      </c>
      <c r="K178" s="43"/>
      <c r="L178" s="43" t="s">
        <v>69</v>
      </c>
      <c r="M178" s="43">
        <v>3</v>
      </c>
      <c r="N178" s="43">
        <v>3</v>
      </c>
      <c r="O178" s="43" t="s">
        <v>69</v>
      </c>
      <c r="P178" s="43">
        <v>4</v>
      </c>
      <c r="Q178" s="43">
        <v>4</v>
      </c>
      <c r="R178" s="43" t="s">
        <v>69</v>
      </c>
      <c r="S178" s="43">
        <v>5</v>
      </c>
      <c r="T178" s="43">
        <v>5</v>
      </c>
      <c r="U178" s="42" t="s">
        <v>5611</v>
      </c>
      <c r="V178" s="42">
        <v>106.74</v>
      </c>
      <c r="W178" s="42">
        <v>106.74</v>
      </c>
      <c r="X178" s="42" t="s">
        <v>5659</v>
      </c>
      <c r="Y178" s="42" t="s">
        <v>5660</v>
      </c>
      <c r="Z178" s="43" t="s">
        <v>4743</v>
      </c>
      <c r="AA178" s="43" t="s">
        <v>4742</v>
      </c>
      <c r="AC178" s="42" t="s">
        <v>4684</v>
      </c>
      <c r="AD178" s="42" t="s">
        <v>4685</v>
      </c>
      <c r="AE178" s="42" t="s">
        <v>4686</v>
      </c>
      <c r="AF178" s="42" t="s">
        <v>409</v>
      </c>
      <c r="AG178" s="42" t="s">
        <v>4685</v>
      </c>
      <c r="AH178" t="s">
        <v>5611</v>
      </c>
      <c r="AI178" s="42" t="s">
        <v>4959</v>
      </c>
      <c r="AJ178" s="42" t="s">
        <v>5614</v>
      </c>
      <c r="AL178" s="42" t="s">
        <v>5615</v>
      </c>
      <c r="AM178" s="43">
        <v>106.74</v>
      </c>
      <c r="AN178" s="43">
        <v>106.74</v>
      </c>
      <c r="AO178" s="43" t="s">
        <v>70</v>
      </c>
      <c r="AQ178" s="43">
        <v>1</v>
      </c>
      <c r="AR178" s="42" t="s">
        <v>5661</v>
      </c>
      <c r="AU178" s="64"/>
      <c r="AV178" s="64">
        <v>62</v>
      </c>
      <c r="AW178" s="64" t="s">
        <v>4955</v>
      </c>
      <c r="AX178" s="64" t="s">
        <v>4744</v>
      </c>
      <c r="AY178" s="66" t="s">
        <v>478</v>
      </c>
      <c r="AZ178" s="66" t="s">
        <v>409</v>
      </c>
      <c r="BA178" s="64">
        <v>106.74</v>
      </c>
      <c r="BB178" s="64">
        <v>106.74</v>
      </c>
      <c r="BC178" s="64" t="s">
        <v>5659</v>
      </c>
      <c r="BD178" s="64" t="s">
        <v>5660</v>
      </c>
      <c r="BE178" s="64" t="s">
        <v>5659</v>
      </c>
      <c r="BF178" s="64" t="s">
        <v>5660</v>
      </c>
      <c r="BG178" s="64" t="s">
        <v>4963</v>
      </c>
      <c r="BH178" s="64" t="s">
        <v>5611</v>
      </c>
      <c r="BI178" s="64" t="s">
        <v>5658</v>
      </c>
      <c r="BJ178" s="79"/>
      <c r="BK178" s="64" t="s">
        <v>474</v>
      </c>
      <c r="BL178" s="64" t="s">
        <v>474</v>
      </c>
      <c r="BM178" s="66" t="s">
        <v>1271</v>
      </c>
      <c r="BN178" s="66" t="s">
        <v>1468</v>
      </c>
      <c r="BO178" s="66" t="s">
        <v>1468</v>
      </c>
      <c r="BP178" s="66" t="s">
        <v>1474</v>
      </c>
      <c r="BQ178" s="66" t="s">
        <v>1479</v>
      </c>
      <c r="BR178" s="79"/>
      <c r="BS178" s="64">
        <v>0.01</v>
      </c>
      <c r="BT178" s="66">
        <v>30</v>
      </c>
      <c r="BU178" s="79"/>
      <c r="BV178" s="79"/>
      <c r="BW178" s="79"/>
      <c r="BX178" s="79"/>
      <c r="BY178" s="79"/>
      <c r="BZ178" s="79"/>
      <c r="CA178" s="79"/>
      <c r="CB178" s="79"/>
      <c r="CC178" s="79"/>
      <c r="CD178" s="79"/>
      <c r="CE178" s="79"/>
      <c r="CF178" s="79"/>
      <c r="CG178" s="79"/>
      <c r="CH178" s="79"/>
      <c r="CI178" s="79"/>
      <c r="CJ178" s="79"/>
      <c r="CK178" s="79"/>
      <c r="CL178" s="79"/>
      <c r="CM178" s="79"/>
      <c r="CN178" s="79"/>
      <c r="CO178" s="79"/>
      <c r="CP178" s="79"/>
      <c r="CQ178" s="79"/>
      <c r="CR178" s="79"/>
      <c r="CS178" s="79"/>
      <c r="CT178" s="79"/>
      <c r="CU178" s="79"/>
      <c r="CV178" s="79"/>
      <c r="CW178" s="79"/>
      <c r="CX178" s="79"/>
      <c r="CY178" s="79"/>
      <c r="CZ178" s="79"/>
      <c r="DA178" s="79"/>
      <c r="DB178" s="79"/>
      <c r="DC178" s="79"/>
      <c r="DD178" s="79"/>
      <c r="DE178" s="79"/>
      <c r="DF178" s="79"/>
      <c r="DG178" s="79"/>
      <c r="DH178" s="79"/>
      <c r="DI178" s="79"/>
      <c r="DJ178" s="79"/>
      <c r="DK178" s="79"/>
      <c r="DL178" s="79"/>
      <c r="DM178" s="79"/>
      <c r="DN178" s="79"/>
      <c r="DO178" s="79"/>
      <c r="DP178" s="79"/>
      <c r="DQ178" s="79"/>
      <c r="DR178" s="79"/>
      <c r="DS178" s="79"/>
      <c r="DT178" s="79"/>
      <c r="DU178" s="79"/>
      <c r="DV178" s="79"/>
      <c r="DW178" s="79"/>
      <c r="DX178" s="79"/>
      <c r="DY178" s="78"/>
    </row>
    <row r="179" spans="1:129" x14ac:dyDescent="0.35">
      <c r="A179" s="42" t="s">
        <v>4743</v>
      </c>
      <c r="B179" s="42" t="s">
        <v>5662</v>
      </c>
      <c r="C179" s="42" t="s">
        <v>409</v>
      </c>
      <c r="D179" s="43" t="s">
        <v>410</v>
      </c>
      <c r="F179" s="44" t="s">
        <v>5663</v>
      </c>
      <c r="G179" s="42" t="s">
        <v>4955</v>
      </c>
      <c r="H179" s="42" t="s">
        <v>68</v>
      </c>
      <c r="I179" s="43" t="s">
        <v>68</v>
      </c>
      <c r="J179" s="43" t="s">
        <v>68</v>
      </c>
      <c r="K179" s="43"/>
      <c r="L179" s="43" t="s">
        <v>69</v>
      </c>
      <c r="M179" s="43">
        <v>3</v>
      </c>
      <c r="N179" s="43">
        <v>3</v>
      </c>
      <c r="O179" s="43" t="s">
        <v>69</v>
      </c>
      <c r="P179" s="43">
        <v>4</v>
      </c>
      <c r="Q179" s="43">
        <v>4</v>
      </c>
      <c r="R179" s="43" t="s">
        <v>69</v>
      </c>
      <c r="S179" s="43">
        <v>5</v>
      </c>
      <c r="T179" s="43">
        <v>5</v>
      </c>
      <c r="U179" s="42" t="s">
        <v>5611</v>
      </c>
      <c r="V179" s="42">
        <v>106.74</v>
      </c>
      <c r="W179" s="42">
        <v>106.74</v>
      </c>
      <c r="X179" s="42" t="s">
        <v>5664</v>
      </c>
      <c r="Y179" s="42" t="s">
        <v>5665</v>
      </c>
      <c r="Z179" s="43" t="s">
        <v>4743</v>
      </c>
      <c r="AA179" s="43" t="s">
        <v>4742</v>
      </c>
      <c r="AC179" s="42" t="s">
        <v>4684</v>
      </c>
      <c r="AD179" s="42" t="s">
        <v>4685</v>
      </c>
      <c r="AE179" s="42" t="s">
        <v>4686</v>
      </c>
      <c r="AF179" s="42" t="s">
        <v>409</v>
      </c>
      <c r="AG179" s="42" t="s">
        <v>4685</v>
      </c>
      <c r="AH179" t="s">
        <v>5611</v>
      </c>
      <c r="AI179" s="42" t="s">
        <v>4959</v>
      </c>
      <c r="AJ179" s="42" t="s">
        <v>5614</v>
      </c>
      <c r="AL179" s="42" t="s">
        <v>5615</v>
      </c>
      <c r="AM179" s="43">
        <v>106.74</v>
      </c>
      <c r="AN179" s="43">
        <v>106.74</v>
      </c>
      <c r="AO179" s="43" t="s">
        <v>70</v>
      </c>
      <c r="AQ179" s="43">
        <v>1</v>
      </c>
      <c r="AR179" s="42" t="s">
        <v>5666</v>
      </c>
      <c r="AU179" s="64"/>
      <c r="AV179" s="64">
        <v>62</v>
      </c>
      <c r="AW179" s="64" t="s">
        <v>4955</v>
      </c>
      <c r="AX179" s="64" t="s">
        <v>4744</v>
      </c>
      <c r="AY179" s="66" t="s">
        <v>478</v>
      </c>
      <c r="AZ179" s="66" t="s">
        <v>409</v>
      </c>
      <c r="BA179" s="64">
        <v>106.74</v>
      </c>
      <c r="BB179" s="64">
        <v>106.74</v>
      </c>
      <c r="BC179" s="64" t="s">
        <v>5664</v>
      </c>
      <c r="BD179" s="64" t="s">
        <v>5665</v>
      </c>
      <c r="BE179" s="64" t="s">
        <v>5664</v>
      </c>
      <c r="BF179" s="64" t="s">
        <v>5665</v>
      </c>
      <c r="BG179" s="64" t="s">
        <v>4963</v>
      </c>
      <c r="BH179" s="64" t="s">
        <v>5611</v>
      </c>
      <c r="BI179" s="64" t="s">
        <v>5663</v>
      </c>
      <c r="BJ179" s="79"/>
      <c r="BK179" s="64" t="s">
        <v>474</v>
      </c>
      <c r="BL179" s="64" t="s">
        <v>474</v>
      </c>
      <c r="BM179" s="66" t="s">
        <v>1271</v>
      </c>
      <c r="BN179" s="66" t="s">
        <v>1468</v>
      </c>
      <c r="BO179" s="66" t="s">
        <v>1468</v>
      </c>
      <c r="BP179" s="66" t="s">
        <v>1474</v>
      </c>
      <c r="BQ179" s="66" t="s">
        <v>1479</v>
      </c>
      <c r="BR179" s="79"/>
      <c r="BS179" s="64">
        <v>0.01</v>
      </c>
      <c r="BT179" s="66">
        <v>30</v>
      </c>
      <c r="BU179" s="79"/>
      <c r="BV179" s="79"/>
      <c r="BW179" s="79"/>
      <c r="BX179" s="79"/>
      <c r="BY179" s="79"/>
      <c r="BZ179" s="79"/>
      <c r="CA179" s="79"/>
      <c r="CB179" s="79"/>
      <c r="CC179" s="79"/>
      <c r="CD179" s="79"/>
      <c r="CE179" s="79"/>
      <c r="CF179" s="79"/>
      <c r="CG179" s="79"/>
      <c r="CH179" s="79"/>
      <c r="CI179" s="79"/>
      <c r="CJ179" s="79"/>
      <c r="CK179" s="79"/>
      <c r="CL179" s="79"/>
      <c r="CM179" s="79"/>
      <c r="CN179" s="79"/>
      <c r="CO179" s="79"/>
      <c r="CP179" s="79"/>
      <c r="CQ179" s="79"/>
      <c r="CR179" s="79"/>
      <c r="CS179" s="79"/>
      <c r="CT179" s="79"/>
      <c r="CU179" s="79"/>
      <c r="CV179" s="79"/>
      <c r="CW179" s="79"/>
      <c r="CX179" s="79"/>
      <c r="CY179" s="79"/>
      <c r="CZ179" s="79"/>
      <c r="DA179" s="79"/>
      <c r="DB179" s="79"/>
      <c r="DC179" s="79"/>
      <c r="DD179" s="79"/>
      <c r="DE179" s="79"/>
      <c r="DF179" s="79"/>
      <c r="DG179" s="79"/>
      <c r="DH179" s="79"/>
      <c r="DI179" s="79"/>
      <c r="DJ179" s="79"/>
      <c r="DK179" s="79"/>
      <c r="DL179" s="79"/>
      <c r="DM179" s="79"/>
      <c r="DN179" s="79"/>
      <c r="DO179" s="79"/>
      <c r="DP179" s="79"/>
      <c r="DQ179" s="79"/>
      <c r="DR179" s="79"/>
      <c r="DS179" s="79"/>
      <c r="DT179" s="79"/>
      <c r="DU179" s="79"/>
      <c r="DV179" s="79"/>
      <c r="DW179" s="79"/>
      <c r="DX179" s="79"/>
      <c r="DY179" s="78"/>
    </row>
    <row r="180" spans="1:129" x14ac:dyDescent="0.35">
      <c r="A180" s="42" t="s">
        <v>4743</v>
      </c>
      <c r="B180" s="42" t="s">
        <v>5667</v>
      </c>
      <c r="C180" s="42" t="s">
        <v>409</v>
      </c>
      <c r="D180" s="43" t="s">
        <v>410</v>
      </c>
      <c r="F180" s="44" t="s">
        <v>5668</v>
      </c>
      <c r="G180" s="42" t="s">
        <v>4955</v>
      </c>
      <c r="H180" s="42" t="s">
        <v>68</v>
      </c>
      <c r="I180" s="43" t="s">
        <v>68</v>
      </c>
      <c r="J180" s="43" t="s">
        <v>68</v>
      </c>
      <c r="K180" s="43"/>
      <c r="L180" s="43" t="s">
        <v>69</v>
      </c>
      <c r="M180" s="43">
        <v>3</v>
      </c>
      <c r="N180" s="43">
        <v>3</v>
      </c>
      <c r="O180" s="43" t="s">
        <v>69</v>
      </c>
      <c r="P180" s="43">
        <v>4</v>
      </c>
      <c r="Q180" s="43">
        <v>4</v>
      </c>
      <c r="R180" s="43" t="s">
        <v>69</v>
      </c>
      <c r="S180" s="43">
        <v>5</v>
      </c>
      <c r="T180" s="43">
        <v>5</v>
      </c>
      <c r="U180" s="42" t="s">
        <v>5611</v>
      </c>
      <c r="V180" s="42">
        <v>106.74</v>
      </c>
      <c r="W180" s="42">
        <v>106.74</v>
      </c>
      <c r="X180" s="42" t="s">
        <v>5669</v>
      </c>
      <c r="Y180" s="42" t="s">
        <v>5670</v>
      </c>
      <c r="Z180" s="43" t="s">
        <v>4743</v>
      </c>
      <c r="AA180" s="43" t="s">
        <v>4742</v>
      </c>
      <c r="AC180" s="42" t="s">
        <v>4684</v>
      </c>
      <c r="AD180" s="42" t="s">
        <v>4685</v>
      </c>
      <c r="AE180" s="42" t="s">
        <v>4686</v>
      </c>
      <c r="AF180" s="42" t="s">
        <v>409</v>
      </c>
      <c r="AG180" s="42" t="s">
        <v>4685</v>
      </c>
      <c r="AH180" t="s">
        <v>5611</v>
      </c>
      <c r="AI180" s="42" t="s">
        <v>4959</v>
      </c>
      <c r="AJ180" s="42" t="s">
        <v>5614</v>
      </c>
      <c r="AL180" s="42" t="s">
        <v>5615</v>
      </c>
      <c r="AM180" s="43">
        <v>106.74</v>
      </c>
      <c r="AN180" s="43">
        <v>106.74</v>
      </c>
      <c r="AO180" s="43" t="s">
        <v>70</v>
      </c>
      <c r="AQ180" s="43">
        <v>1</v>
      </c>
      <c r="AR180" s="42" t="s">
        <v>5671</v>
      </c>
      <c r="AU180" s="64"/>
      <c r="AV180" s="64">
        <v>62</v>
      </c>
      <c r="AW180" s="64" t="s">
        <v>4955</v>
      </c>
      <c r="AX180" s="64" t="s">
        <v>4744</v>
      </c>
      <c r="AY180" s="66" t="s">
        <v>478</v>
      </c>
      <c r="AZ180" s="66" t="s">
        <v>409</v>
      </c>
      <c r="BA180" s="64">
        <v>106.74</v>
      </c>
      <c r="BB180" s="64">
        <v>106.74</v>
      </c>
      <c r="BC180" s="64" t="s">
        <v>5669</v>
      </c>
      <c r="BD180" s="64" t="s">
        <v>5670</v>
      </c>
      <c r="BE180" s="64" t="s">
        <v>5669</v>
      </c>
      <c r="BF180" s="64" t="s">
        <v>5670</v>
      </c>
      <c r="BG180" s="64" t="s">
        <v>4963</v>
      </c>
      <c r="BH180" s="64" t="s">
        <v>5611</v>
      </c>
      <c r="BI180" s="64" t="s">
        <v>5668</v>
      </c>
      <c r="BJ180" s="79"/>
      <c r="BK180" s="64" t="s">
        <v>474</v>
      </c>
      <c r="BL180" s="64" t="s">
        <v>474</v>
      </c>
      <c r="BM180" s="66" t="s">
        <v>1271</v>
      </c>
      <c r="BN180" s="66" t="s">
        <v>1468</v>
      </c>
      <c r="BO180" s="66" t="s">
        <v>1468</v>
      </c>
      <c r="BP180" s="66" t="s">
        <v>1474</v>
      </c>
      <c r="BQ180" s="66" t="s">
        <v>1479</v>
      </c>
      <c r="BR180" s="79"/>
      <c r="BS180" s="64">
        <v>0.01</v>
      </c>
      <c r="BT180" s="66">
        <v>30</v>
      </c>
      <c r="BU180" s="79"/>
      <c r="BV180" s="79"/>
      <c r="BW180" s="79"/>
      <c r="BX180" s="79"/>
      <c r="BY180" s="79"/>
      <c r="BZ180" s="79"/>
      <c r="CA180" s="79"/>
      <c r="CB180" s="79"/>
      <c r="CC180" s="79"/>
      <c r="CD180" s="79"/>
      <c r="CE180" s="79"/>
      <c r="CF180" s="79"/>
      <c r="CG180" s="79"/>
      <c r="CH180" s="79"/>
      <c r="CI180" s="79"/>
      <c r="CJ180" s="79"/>
      <c r="CK180" s="79"/>
      <c r="CL180" s="79"/>
      <c r="CM180" s="79"/>
      <c r="CN180" s="79"/>
      <c r="CO180" s="79"/>
      <c r="CP180" s="79"/>
      <c r="CQ180" s="79"/>
      <c r="CR180" s="79"/>
      <c r="CS180" s="79"/>
      <c r="CT180" s="79"/>
      <c r="CU180" s="79"/>
      <c r="CV180" s="79"/>
      <c r="CW180" s="79"/>
      <c r="CX180" s="79"/>
      <c r="CY180" s="79"/>
      <c r="CZ180" s="79"/>
      <c r="DA180" s="79"/>
      <c r="DB180" s="79"/>
      <c r="DC180" s="79"/>
      <c r="DD180" s="79"/>
      <c r="DE180" s="79"/>
      <c r="DF180" s="79"/>
      <c r="DG180" s="79"/>
      <c r="DH180" s="79"/>
      <c r="DI180" s="79"/>
      <c r="DJ180" s="79"/>
      <c r="DK180" s="79"/>
      <c r="DL180" s="79"/>
      <c r="DM180" s="79"/>
      <c r="DN180" s="79"/>
      <c r="DO180" s="79"/>
      <c r="DP180" s="79"/>
      <c r="DQ180" s="79"/>
      <c r="DR180" s="79"/>
      <c r="DS180" s="79"/>
      <c r="DT180" s="79"/>
      <c r="DU180" s="79"/>
      <c r="DV180" s="79"/>
      <c r="DW180" s="79"/>
      <c r="DX180" s="79"/>
      <c r="DY180" s="78"/>
    </row>
    <row r="181" spans="1:129" x14ac:dyDescent="0.35">
      <c r="A181" s="42" t="s">
        <v>4743</v>
      </c>
      <c r="B181" s="42" t="s">
        <v>5672</v>
      </c>
      <c r="C181" s="42" t="s">
        <v>409</v>
      </c>
      <c r="D181" s="43" t="s">
        <v>410</v>
      </c>
      <c r="F181" s="44" t="s">
        <v>5673</v>
      </c>
      <c r="G181" s="42" t="s">
        <v>4955</v>
      </c>
      <c r="H181" s="42" t="s">
        <v>68</v>
      </c>
      <c r="I181" s="43" t="s">
        <v>68</v>
      </c>
      <c r="J181" s="43" t="s">
        <v>68</v>
      </c>
      <c r="K181" s="43"/>
      <c r="L181" s="43" t="s">
        <v>69</v>
      </c>
      <c r="M181" s="43">
        <v>3</v>
      </c>
      <c r="N181" s="43">
        <v>3</v>
      </c>
      <c r="O181" s="43" t="s">
        <v>69</v>
      </c>
      <c r="P181" s="43">
        <v>4</v>
      </c>
      <c r="Q181" s="43">
        <v>4</v>
      </c>
      <c r="R181" s="43" t="s">
        <v>69</v>
      </c>
      <c r="S181" s="43">
        <v>5</v>
      </c>
      <c r="T181" s="43">
        <v>5</v>
      </c>
      <c r="U181" s="42" t="s">
        <v>5611</v>
      </c>
      <c r="V181" s="42">
        <v>106.73</v>
      </c>
      <c r="W181" s="42">
        <v>106.74</v>
      </c>
      <c r="X181" s="42" t="s">
        <v>5674</v>
      </c>
      <c r="Y181" s="42" t="s">
        <v>5675</v>
      </c>
      <c r="Z181" s="43" t="s">
        <v>4743</v>
      </c>
      <c r="AA181" s="43" t="s">
        <v>4742</v>
      </c>
      <c r="AC181" s="42" t="s">
        <v>4684</v>
      </c>
      <c r="AD181" s="42" t="s">
        <v>4685</v>
      </c>
      <c r="AE181" s="42" t="s">
        <v>4686</v>
      </c>
      <c r="AF181" s="42" t="s">
        <v>409</v>
      </c>
      <c r="AG181" s="42" t="s">
        <v>4685</v>
      </c>
      <c r="AH181" t="s">
        <v>5611</v>
      </c>
      <c r="AI181" s="42" t="s">
        <v>4959</v>
      </c>
      <c r="AJ181" s="42" t="s">
        <v>5614</v>
      </c>
      <c r="AL181" s="42" t="s">
        <v>5615</v>
      </c>
      <c r="AM181" s="43">
        <v>106.73</v>
      </c>
      <c r="AN181" s="43">
        <v>106.74</v>
      </c>
      <c r="AO181" s="43" t="s">
        <v>70</v>
      </c>
      <c r="AQ181" s="43">
        <v>1</v>
      </c>
      <c r="AR181" s="42" t="s">
        <v>5676</v>
      </c>
      <c r="AU181" s="64"/>
      <c r="AV181" s="64">
        <v>62</v>
      </c>
      <c r="AW181" s="64" t="s">
        <v>4955</v>
      </c>
      <c r="AX181" s="64" t="s">
        <v>4744</v>
      </c>
      <c r="AY181" s="66" t="s">
        <v>478</v>
      </c>
      <c r="AZ181" s="66" t="s">
        <v>409</v>
      </c>
      <c r="BA181" s="64">
        <v>106.73</v>
      </c>
      <c r="BB181" s="64">
        <v>106.74</v>
      </c>
      <c r="BC181" s="64" t="s">
        <v>5674</v>
      </c>
      <c r="BD181" s="64" t="s">
        <v>5675</v>
      </c>
      <c r="BE181" s="64" t="s">
        <v>5674</v>
      </c>
      <c r="BF181" s="64" t="s">
        <v>5675</v>
      </c>
      <c r="BG181" s="64" t="s">
        <v>4963</v>
      </c>
      <c r="BH181" s="64" t="s">
        <v>5611</v>
      </c>
      <c r="BI181" s="64" t="s">
        <v>5673</v>
      </c>
      <c r="BJ181" s="79"/>
      <c r="BK181" s="64" t="s">
        <v>474</v>
      </c>
      <c r="BL181" s="64" t="s">
        <v>474</v>
      </c>
      <c r="BM181" s="66" t="s">
        <v>1271</v>
      </c>
      <c r="BN181" s="66" t="s">
        <v>1468</v>
      </c>
      <c r="BO181" s="66" t="s">
        <v>1468</v>
      </c>
      <c r="BP181" s="66" t="s">
        <v>1474</v>
      </c>
      <c r="BQ181" s="66" t="s">
        <v>1479</v>
      </c>
      <c r="BR181" s="79"/>
      <c r="BS181" s="64">
        <v>0.01</v>
      </c>
      <c r="BT181" s="66">
        <v>30</v>
      </c>
      <c r="BU181" s="79"/>
      <c r="BV181" s="79"/>
      <c r="BW181" s="79"/>
      <c r="BX181" s="79"/>
      <c r="BY181" s="79"/>
      <c r="BZ181" s="79"/>
      <c r="CA181" s="79"/>
      <c r="CB181" s="79"/>
      <c r="CC181" s="79"/>
      <c r="CD181" s="79"/>
      <c r="CE181" s="79"/>
      <c r="CF181" s="79"/>
      <c r="CG181" s="79"/>
      <c r="CH181" s="79"/>
      <c r="CI181" s="79"/>
      <c r="CJ181" s="79"/>
      <c r="CK181" s="79"/>
      <c r="CL181" s="79"/>
      <c r="CM181" s="79"/>
      <c r="CN181" s="79"/>
      <c r="CO181" s="79"/>
      <c r="CP181" s="79"/>
      <c r="CQ181" s="79"/>
      <c r="CR181" s="79"/>
      <c r="CS181" s="79"/>
      <c r="CT181" s="79"/>
      <c r="CU181" s="79"/>
      <c r="CV181" s="79"/>
      <c r="CW181" s="79"/>
      <c r="CX181" s="79"/>
      <c r="CY181" s="79"/>
      <c r="CZ181" s="79"/>
      <c r="DA181" s="79"/>
      <c r="DB181" s="79"/>
      <c r="DC181" s="79"/>
      <c r="DD181" s="79"/>
      <c r="DE181" s="79"/>
      <c r="DF181" s="79"/>
      <c r="DG181" s="79"/>
      <c r="DH181" s="79"/>
      <c r="DI181" s="79"/>
      <c r="DJ181" s="79"/>
      <c r="DK181" s="79"/>
      <c r="DL181" s="79"/>
      <c r="DM181" s="79"/>
      <c r="DN181" s="79"/>
      <c r="DO181" s="79"/>
      <c r="DP181" s="79"/>
      <c r="DQ181" s="79"/>
      <c r="DR181" s="79"/>
      <c r="DS181" s="79"/>
      <c r="DT181" s="79"/>
      <c r="DU181" s="79"/>
      <c r="DV181" s="79"/>
      <c r="DW181" s="79"/>
      <c r="DX181" s="79"/>
      <c r="DY181" s="78"/>
    </row>
    <row r="182" spans="1:129" x14ac:dyDescent="0.35">
      <c r="A182" s="42" t="s">
        <v>4743</v>
      </c>
      <c r="B182" s="42" t="s">
        <v>5677</v>
      </c>
      <c r="C182" s="42" t="s">
        <v>409</v>
      </c>
      <c r="D182" s="43" t="s">
        <v>410</v>
      </c>
      <c r="F182" s="44" t="s">
        <v>5678</v>
      </c>
      <c r="G182" s="42" t="s">
        <v>4955</v>
      </c>
      <c r="H182" s="42" t="s">
        <v>68</v>
      </c>
      <c r="I182" s="43" t="s">
        <v>68</v>
      </c>
      <c r="J182" s="43" t="s">
        <v>68</v>
      </c>
      <c r="K182" s="43"/>
      <c r="L182" s="43" t="s">
        <v>69</v>
      </c>
      <c r="M182" s="43">
        <v>3</v>
      </c>
      <c r="N182" s="43">
        <v>3</v>
      </c>
      <c r="O182" s="43" t="s">
        <v>69</v>
      </c>
      <c r="P182" s="43">
        <v>4</v>
      </c>
      <c r="Q182" s="43">
        <v>4</v>
      </c>
      <c r="R182" s="43" t="s">
        <v>69</v>
      </c>
      <c r="S182" s="43">
        <v>5</v>
      </c>
      <c r="T182" s="43">
        <v>5</v>
      </c>
      <c r="U182" s="42" t="s">
        <v>5611</v>
      </c>
      <c r="V182" s="42">
        <v>106.73</v>
      </c>
      <c r="W182" s="42">
        <v>106.73</v>
      </c>
      <c r="X182" s="42" t="s">
        <v>5679</v>
      </c>
      <c r="Y182" s="42" t="s">
        <v>5680</v>
      </c>
      <c r="Z182" s="43" t="s">
        <v>4743</v>
      </c>
      <c r="AA182" s="43" t="s">
        <v>4742</v>
      </c>
      <c r="AC182" s="42" t="s">
        <v>4684</v>
      </c>
      <c r="AD182" s="42" t="s">
        <v>4685</v>
      </c>
      <c r="AE182" s="42" t="s">
        <v>4686</v>
      </c>
      <c r="AF182" s="42" t="s">
        <v>409</v>
      </c>
      <c r="AG182" s="42" t="s">
        <v>4685</v>
      </c>
      <c r="AH182" t="s">
        <v>5611</v>
      </c>
      <c r="AI182" s="42" t="s">
        <v>4959</v>
      </c>
      <c r="AJ182" s="42" t="s">
        <v>5614</v>
      </c>
      <c r="AL182" s="42" t="s">
        <v>5615</v>
      </c>
      <c r="AM182" s="43">
        <v>106.73</v>
      </c>
      <c r="AN182" s="43">
        <v>106.73</v>
      </c>
      <c r="AO182" s="43" t="s">
        <v>70</v>
      </c>
      <c r="AQ182" s="43">
        <v>1</v>
      </c>
      <c r="AR182" s="42" t="s">
        <v>5681</v>
      </c>
      <c r="AU182" s="64"/>
      <c r="AV182" s="64">
        <v>62</v>
      </c>
      <c r="AW182" s="64" t="s">
        <v>4955</v>
      </c>
      <c r="AX182" s="64" t="s">
        <v>4744</v>
      </c>
      <c r="AY182" s="66" t="s">
        <v>478</v>
      </c>
      <c r="AZ182" s="66" t="s">
        <v>409</v>
      </c>
      <c r="BA182" s="64">
        <v>106.73</v>
      </c>
      <c r="BB182" s="64">
        <v>106.73</v>
      </c>
      <c r="BC182" s="64" t="s">
        <v>5679</v>
      </c>
      <c r="BD182" s="64" t="s">
        <v>5680</v>
      </c>
      <c r="BE182" s="64" t="s">
        <v>5679</v>
      </c>
      <c r="BF182" s="64" t="s">
        <v>5680</v>
      </c>
      <c r="BG182" s="64" t="s">
        <v>4963</v>
      </c>
      <c r="BH182" s="64" t="s">
        <v>5611</v>
      </c>
      <c r="BI182" s="64" t="s">
        <v>5678</v>
      </c>
      <c r="BJ182" s="79"/>
      <c r="BK182" s="64" t="s">
        <v>474</v>
      </c>
      <c r="BL182" s="64" t="s">
        <v>474</v>
      </c>
      <c r="BM182" s="66" t="s">
        <v>1271</v>
      </c>
      <c r="BN182" s="66" t="s">
        <v>1468</v>
      </c>
      <c r="BO182" s="66" t="s">
        <v>1468</v>
      </c>
      <c r="BP182" s="66" t="s">
        <v>1474</v>
      </c>
      <c r="BQ182" s="66" t="s">
        <v>1479</v>
      </c>
      <c r="BR182" s="79"/>
      <c r="BS182" s="64">
        <v>0.01</v>
      </c>
      <c r="BT182" s="66">
        <v>30</v>
      </c>
      <c r="BU182" s="79"/>
      <c r="BV182" s="79"/>
      <c r="BW182" s="79"/>
      <c r="BX182" s="79"/>
      <c r="BY182" s="79"/>
      <c r="BZ182" s="79"/>
      <c r="CA182" s="79"/>
      <c r="CB182" s="79"/>
      <c r="CC182" s="79"/>
      <c r="CD182" s="79"/>
      <c r="CE182" s="79"/>
      <c r="CF182" s="79"/>
      <c r="CG182" s="79"/>
      <c r="CH182" s="79"/>
      <c r="CI182" s="79"/>
      <c r="CJ182" s="79"/>
      <c r="CK182" s="79"/>
      <c r="CL182" s="79"/>
      <c r="CM182" s="79"/>
      <c r="CN182" s="79"/>
      <c r="CO182" s="79"/>
      <c r="CP182" s="79"/>
      <c r="CQ182" s="79"/>
      <c r="CR182" s="79"/>
      <c r="CS182" s="79"/>
      <c r="CT182" s="79"/>
      <c r="CU182" s="79"/>
      <c r="CV182" s="79"/>
      <c r="CW182" s="79"/>
      <c r="CX182" s="79"/>
      <c r="CY182" s="79"/>
      <c r="CZ182" s="79"/>
      <c r="DA182" s="79"/>
      <c r="DB182" s="79"/>
      <c r="DC182" s="79"/>
      <c r="DD182" s="79"/>
      <c r="DE182" s="79"/>
      <c r="DF182" s="79"/>
      <c r="DG182" s="79"/>
      <c r="DH182" s="79"/>
      <c r="DI182" s="79"/>
      <c r="DJ182" s="79"/>
      <c r="DK182" s="79"/>
      <c r="DL182" s="79"/>
      <c r="DM182" s="79"/>
      <c r="DN182" s="79"/>
      <c r="DO182" s="79"/>
      <c r="DP182" s="79"/>
      <c r="DQ182" s="79"/>
      <c r="DR182" s="79"/>
      <c r="DS182" s="79"/>
      <c r="DT182" s="79"/>
      <c r="DU182" s="79"/>
      <c r="DV182" s="79"/>
      <c r="DW182" s="79"/>
      <c r="DX182" s="79"/>
      <c r="DY182" s="78"/>
    </row>
    <row r="183" spans="1:129" x14ac:dyDescent="0.35">
      <c r="A183" s="42" t="s">
        <v>4743</v>
      </c>
      <c r="B183" s="42" t="s">
        <v>5682</v>
      </c>
      <c r="C183" s="42" t="s">
        <v>409</v>
      </c>
      <c r="D183" s="43" t="s">
        <v>410</v>
      </c>
      <c r="F183" s="44" t="s">
        <v>5683</v>
      </c>
      <c r="G183" s="42" t="s">
        <v>4955</v>
      </c>
      <c r="H183" s="42" t="s">
        <v>68</v>
      </c>
      <c r="I183" s="43" t="s">
        <v>68</v>
      </c>
      <c r="J183" s="43" t="s">
        <v>68</v>
      </c>
      <c r="K183" s="43"/>
      <c r="L183" s="43" t="s">
        <v>69</v>
      </c>
      <c r="M183" s="43">
        <v>3</v>
      </c>
      <c r="N183" s="43">
        <v>3</v>
      </c>
      <c r="O183" s="43" t="s">
        <v>69</v>
      </c>
      <c r="P183" s="43">
        <v>4</v>
      </c>
      <c r="Q183" s="43">
        <v>4</v>
      </c>
      <c r="R183" s="43" t="s">
        <v>69</v>
      </c>
      <c r="S183" s="43">
        <v>5</v>
      </c>
      <c r="T183" s="43">
        <v>5</v>
      </c>
      <c r="U183" s="42" t="s">
        <v>5611</v>
      </c>
      <c r="V183" s="42">
        <v>106.73</v>
      </c>
      <c r="W183" s="42">
        <v>106.74</v>
      </c>
      <c r="X183" s="42" t="s">
        <v>5684</v>
      </c>
      <c r="Y183" s="42" t="s">
        <v>5685</v>
      </c>
      <c r="Z183" s="43" t="s">
        <v>4743</v>
      </c>
      <c r="AA183" s="43" t="s">
        <v>4742</v>
      </c>
      <c r="AC183" s="42" t="s">
        <v>4684</v>
      </c>
      <c r="AD183" s="42" t="s">
        <v>4685</v>
      </c>
      <c r="AE183" s="42" t="s">
        <v>4686</v>
      </c>
      <c r="AF183" s="42" t="s">
        <v>409</v>
      </c>
      <c r="AG183" s="42" t="s">
        <v>4685</v>
      </c>
      <c r="AH183" t="s">
        <v>5611</v>
      </c>
      <c r="AI183" s="42" t="s">
        <v>4959</v>
      </c>
      <c r="AJ183" s="42" t="s">
        <v>5614</v>
      </c>
      <c r="AL183" s="42" t="s">
        <v>5615</v>
      </c>
      <c r="AM183" s="43">
        <v>106.73</v>
      </c>
      <c r="AN183" s="43">
        <v>106.74</v>
      </c>
      <c r="AO183" s="43" t="s">
        <v>70</v>
      </c>
      <c r="AQ183" s="43">
        <v>1</v>
      </c>
      <c r="AR183" s="42" t="s">
        <v>5686</v>
      </c>
      <c r="AU183" s="64"/>
      <c r="AV183" s="64">
        <v>62</v>
      </c>
      <c r="AW183" s="64" t="s">
        <v>4955</v>
      </c>
      <c r="AX183" s="64" t="s">
        <v>4744</v>
      </c>
      <c r="AY183" s="66" t="s">
        <v>478</v>
      </c>
      <c r="AZ183" s="66" t="s">
        <v>409</v>
      </c>
      <c r="BA183" s="64">
        <v>106.73</v>
      </c>
      <c r="BB183" s="64">
        <v>106.74</v>
      </c>
      <c r="BC183" s="64" t="s">
        <v>5684</v>
      </c>
      <c r="BD183" s="64" t="s">
        <v>5685</v>
      </c>
      <c r="BE183" s="64" t="s">
        <v>5684</v>
      </c>
      <c r="BF183" s="64" t="s">
        <v>5685</v>
      </c>
      <c r="BG183" s="64" t="s">
        <v>4963</v>
      </c>
      <c r="BH183" s="64" t="s">
        <v>5611</v>
      </c>
      <c r="BI183" s="64" t="s">
        <v>5683</v>
      </c>
      <c r="BJ183" s="79"/>
      <c r="BK183" s="64" t="s">
        <v>474</v>
      </c>
      <c r="BL183" s="64" t="s">
        <v>474</v>
      </c>
      <c r="BM183" s="66" t="s">
        <v>1271</v>
      </c>
      <c r="BN183" s="66" t="s">
        <v>1468</v>
      </c>
      <c r="BO183" s="66" t="s">
        <v>1468</v>
      </c>
      <c r="BP183" s="66" t="s">
        <v>1474</v>
      </c>
      <c r="BQ183" s="66" t="s">
        <v>1479</v>
      </c>
      <c r="BR183" s="79"/>
      <c r="BS183" s="64">
        <v>0.01</v>
      </c>
      <c r="BT183" s="66">
        <v>30</v>
      </c>
      <c r="BU183" s="79"/>
      <c r="BV183" s="79"/>
      <c r="BW183" s="79"/>
      <c r="BX183" s="79"/>
      <c r="BY183" s="79"/>
      <c r="BZ183" s="79"/>
      <c r="CA183" s="79"/>
      <c r="CB183" s="79"/>
      <c r="CC183" s="79"/>
      <c r="CD183" s="79"/>
      <c r="CE183" s="79"/>
      <c r="CF183" s="79"/>
      <c r="CG183" s="79"/>
      <c r="CH183" s="79"/>
      <c r="CI183" s="79"/>
      <c r="CJ183" s="79"/>
      <c r="CK183" s="79"/>
      <c r="CL183" s="79"/>
      <c r="CM183" s="79"/>
      <c r="CN183" s="79"/>
      <c r="CO183" s="79"/>
      <c r="CP183" s="79"/>
      <c r="CQ183" s="79"/>
      <c r="CR183" s="79"/>
      <c r="CS183" s="79"/>
      <c r="CT183" s="79"/>
      <c r="CU183" s="79"/>
      <c r="CV183" s="79"/>
      <c r="CW183" s="79"/>
      <c r="CX183" s="79"/>
      <c r="CY183" s="79"/>
      <c r="CZ183" s="79"/>
      <c r="DA183" s="79"/>
      <c r="DB183" s="79"/>
      <c r="DC183" s="79"/>
      <c r="DD183" s="79"/>
      <c r="DE183" s="79"/>
      <c r="DF183" s="79"/>
      <c r="DG183" s="79"/>
      <c r="DH183" s="79"/>
      <c r="DI183" s="79"/>
      <c r="DJ183" s="79"/>
      <c r="DK183" s="79"/>
      <c r="DL183" s="79"/>
      <c r="DM183" s="79"/>
      <c r="DN183" s="79"/>
      <c r="DO183" s="79"/>
      <c r="DP183" s="79"/>
      <c r="DQ183" s="79"/>
      <c r="DR183" s="79"/>
      <c r="DS183" s="79"/>
      <c r="DT183" s="79"/>
      <c r="DU183" s="79"/>
      <c r="DV183" s="79"/>
      <c r="DW183" s="79"/>
      <c r="DX183" s="79"/>
      <c r="DY183" s="78"/>
    </row>
    <row r="184" spans="1:129" x14ac:dyDescent="0.35">
      <c r="A184" s="42" t="s">
        <v>4743</v>
      </c>
      <c r="B184" s="42" t="s">
        <v>5687</v>
      </c>
      <c r="C184" s="42" t="s">
        <v>409</v>
      </c>
      <c r="D184" s="43" t="s">
        <v>410</v>
      </c>
      <c r="F184" s="44" t="s">
        <v>5688</v>
      </c>
      <c r="G184" s="42" t="s">
        <v>4955</v>
      </c>
      <c r="H184" s="42" t="s">
        <v>68</v>
      </c>
      <c r="I184" s="43" t="s">
        <v>68</v>
      </c>
      <c r="J184" s="43" t="s">
        <v>68</v>
      </c>
      <c r="K184" s="43"/>
      <c r="L184" s="43" t="s">
        <v>69</v>
      </c>
      <c r="M184" s="43">
        <v>3</v>
      </c>
      <c r="N184" s="43">
        <v>3</v>
      </c>
      <c r="O184" s="43" t="s">
        <v>69</v>
      </c>
      <c r="P184" s="43">
        <v>4</v>
      </c>
      <c r="Q184" s="43">
        <v>4</v>
      </c>
      <c r="R184" s="43" t="s">
        <v>69</v>
      </c>
      <c r="S184" s="43">
        <v>5</v>
      </c>
      <c r="T184" s="43">
        <v>5</v>
      </c>
      <c r="U184" s="42" t="s">
        <v>5611</v>
      </c>
      <c r="V184" s="42">
        <v>106.73</v>
      </c>
      <c r="W184" s="42">
        <v>106.73</v>
      </c>
      <c r="X184" s="42" t="s">
        <v>5689</v>
      </c>
      <c r="Y184" s="42" t="s">
        <v>5690</v>
      </c>
      <c r="Z184" s="43" t="s">
        <v>4743</v>
      </c>
      <c r="AA184" s="43" t="s">
        <v>4742</v>
      </c>
      <c r="AC184" s="42" t="s">
        <v>4684</v>
      </c>
      <c r="AD184" s="42" t="s">
        <v>4685</v>
      </c>
      <c r="AE184" s="42" t="s">
        <v>4686</v>
      </c>
      <c r="AF184" s="42" t="s">
        <v>409</v>
      </c>
      <c r="AG184" s="42" t="s">
        <v>4685</v>
      </c>
      <c r="AH184" t="s">
        <v>5611</v>
      </c>
      <c r="AI184" s="42" t="s">
        <v>4959</v>
      </c>
      <c r="AJ184" s="42" t="s">
        <v>5614</v>
      </c>
      <c r="AL184" s="42" t="s">
        <v>5615</v>
      </c>
      <c r="AM184" s="43">
        <v>106.73</v>
      </c>
      <c r="AN184" s="43">
        <v>106.73</v>
      </c>
      <c r="AO184" s="43" t="s">
        <v>70</v>
      </c>
      <c r="AQ184" s="43">
        <v>1</v>
      </c>
      <c r="AR184" s="42" t="s">
        <v>5691</v>
      </c>
      <c r="AU184" s="64"/>
      <c r="AV184" s="64">
        <v>62</v>
      </c>
      <c r="AW184" s="64" t="s">
        <v>4955</v>
      </c>
      <c r="AX184" s="64" t="s">
        <v>4744</v>
      </c>
      <c r="AY184" s="66" t="s">
        <v>478</v>
      </c>
      <c r="AZ184" s="66" t="s">
        <v>409</v>
      </c>
      <c r="BA184" s="64">
        <v>106.73</v>
      </c>
      <c r="BB184" s="64">
        <v>106.73</v>
      </c>
      <c r="BC184" s="64" t="s">
        <v>5689</v>
      </c>
      <c r="BD184" s="64" t="s">
        <v>5690</v>
      </c>
      <c r="BE184" s="64" t="s">
        <v>5689</v>
      </c>
      <c r="BF184" s="64" t="s">
        <v>5690</v>
      </c>
      <c r="BG184" s="64" t="s">
        <v>4963</v>
      </c>
      <c r="BH184" s="64" t="s">
        <v>5611</v>
      </c>
      <c r="BI184" s="64" t="s">
        <v>5688</v>
      </c>
      <c r="BJ184" s="79"/>
      <c r="BK184" s="64" t="s">
        <v>474</v>
      </c>
      <c r="BL184" s="64" t="s">
        <v>474</v>
      </c>
      <c r="BM184" s="66" t="s">
        <v>1271</v>
      </c>
      <c r="BN184" s="66" t="s">
        <v>1468</v>
      </c>
      <c r="BO184" s="66" t="s">
        <v>1468</v>
      </c>
      <c r="BP184" s="66" t="s">
        <v>1474</v>
      </c>
      <c r="BQ184" s="66" t="s">
        <v>1479</v>
      </c>
      <c r="BR184" s="79"/>
      <c r="BS184" s="64">
        <v>0.01</v>
      </c>
      <c r="BT184" s="66">
        <v>30</v>
      </c>
      <c r="BU184" s="79"/>
      <c r="BV184" s="79"/>
      <c r="BW184" s="79"/>
      <c r="BX184" s="79"/>
      <c r="BY184" s="79"/>
      <c r="BZ184" s="79"/>
      <c r="CA184" s="79"/>
      <c r="CB184" s="79"/>
      <c r="CC184" s="79"/>
      <c r="CD184" s="79"/>
      <c r="CE184" s="79"/>
      <c r="CF184" s="79"/>
      <c r="CG184" s="79"/>
      <c r="CH184" s="79"/>
      <c r="CI184" s="79"/>
      <c r="CJ184" s="79"/>
      <c r="CK184" s="79"/>
      <c r="CL184" s="79"/>
      <c r="CM184" s="79"/>
      <c r="CN184" s="79"/>
      <c r="CO184" s="79"/>
      <c r="CP184" s="79"/>
      <c r="CQ184" s="79"/>
      <c r="CR184" s="79"/>
      <c r="CS184" s="79"/>
      <c r="CT184" s="79"/>
      <c r="CU184" s="79"/>
      <c r="CV184" s="79"/>
      <c r="CW184" s="79"/>
      <c r="CX184" s="79"/>
      <c r="CY184" s="79"/>
      <c r="CZ184" s="79"/>
      <c r="DA184" s="79"/>
      <c r="DB184" s="79"/>
      <c r="DC184" s="79"/>
      <c r="DD184" s="79"/>
      <c r="DE184" s="79"/>
      <c r="DF184" s="79"/>
      <c r="DG184" s="79"/>
      <c r="DH184" s="79"/>
      <c r="DI184" s="79"/>
      <c r="DJ184" s="79"/>
      <c r="DK184" s="79"/>
      <c r="DL184" s="79"/>
      <c r="DM184" s="79"/>
      <c r="DN184" s="79"/>
      <c r="DO184" s="79"/>
      <c r="DP184" s="79"/>
      <c r="DQ184" s="79"/>
      <c r="DR184" s="79"/>
      <c r="DS184" s="79"/>
      <c r="DT184" s="79"/>
      <c r="DU184" s="79"/>
      <c r="DV184" s="79"/>
      <c r="DW184" s="79"/>
      <c r="DX184" s="79"/>
      <c r="DY184" s="78"/>
    </row>
    <row r="185" spans="1:129" x14ac:dyDescent="0.35">
      <c r="A185" s="42" t="s">
        <v>4743</v>
      </c>
      <c r="B185" s="42" t="s">
        <v>5692</v>
      </c>
      <c r="C185" s="42" t="s">
        <v>409</v>
      </c>
      <c r="D185" s="43" t="s">
        <v>410</v>
      </c>
      <c r="F185" s="44" t="s">
        <v>5693</v>
      </c>
      <c r="G185" s="42" t="s">
        <v>4955</v>
      </c>
      <c r="H185" s="42" t="s">
        <v>68</v>
      </c>
      <c r="I185" s="43" t="s">
        <v>68</v>
      </c>
      <c r="J185" s="43" t="s">
        <v>68</v>
      </c>
      <c r="K185" s="43"/>
      <c r="L185" s="43" t="s">
        <v>69</v>
      </c>
      <c r="M185" s="43">
        <v>3</v>
      </c>
      <c r="N185" s="43">
        <v>3</v>
      </c>
      <c r="O185" s="43" t="s">
        <v>69</v>
      </c>
      <c r="P185" s="43">
        <v>4</v>
      </c>
      <c r="Q185" s="43">
        <v>4</v>
      </c>
      <c r="R185" s="43" t="s">
        <v>69</v>
      </c>
      <c r="S185" s="43">
        <v>5</v>
      </c>
      <c r="T185" s="43">
        <v>5</v>
      </c>
      <c r="U185" s="42" t="s">
        <v>5611</v>
      </c>
      <c r="V185" s="42">
        <v>106.73</v>
      </c>
      <c r="W185" s="42">
        <v>106.73</v>
      </c>
      <c r="X185" s="42" t="s">
        <v>5694</v>
      </c>
      <c r="Y185" s="42" t="s">
        <v>5695</v>
      </c>
      <c r="Z185" s="43" t="s">
        <v>4743</v>
      </c>
      <c r="AA185" s="43" t="s">
        <v>4742</v>
      </c>
      <c r="AC185" s="42" t="s">
        <v>4684</v>
      </c>
      <c r="AD185" s="42" t="s">
        <v>4685</v>
      </c>
      <c r="AE185" s="42" t="s">
        <v>4686</v>
      </c>
      <c r="AF185" s="42" t="s">
        <v>409</v>
      </c>
      <c r="AG185" s="42" t="s">
        <v>4685</v>
      </c>
      <c r="AH185" t="s">
        <v>5611</v>
      </c>
      <c r="AI185" s="42" t="s">
        <v>4959</v>
      </c>
      <c r="AJ185" s="42" t="s">
        <v>5614</v>
      </c>
      <c r="AL185" s="42" t="s">
        <v>5615</v>
      </c>
      <c r="AM185" s="43">
        <v>106.73</v>
      </c>
      <c r="AN185" s="43">
        <v>106.73</v>
      </c>
      <c r="AO185" s="43" t="s">
        <v>70</v>
      </c>
      <c r="AQ185" s="43">
        <v>1</v>
      </c>
      <c r="AR185" s="42" t="s">
        <v>5696</v>
      </c>
      <c r="AU185" s="64"/>
      <c r="AV185" s="64">
        <v>62</v>
      </c>
      <c r="AW185" s="64" t="s">
        <v>4955</v>
      </c>
      <c r="AX185" s="64" t="s">
        <v>4744</v>
      </c>
      <c r="AY185" s="66" t="s">
        <v>478</v>
      </c>
      <c r="AZ185" s="66" t="s">
        <v>409</v>
      </c>
      <c r="BA185" s="64">
        <v>106.73</v>
      </c>
      <c r="BB185" s="64">
        <v>106.73</v>
      </c>
      <c r="BC185" s="64" t="s">
        <v>5694</v>
      </c>
      <c r="BD185" s="64" t="s">
        <v>5695</v>
      </c>
      <c r="BE185" s="64" t="s">
        <v>5694</v>
      </c>
      <c r="BF185" s="64" t="s">
        <v>5695</v>
      </c>
      <c r="BG185" s="64" t="s">
        <v>4963</v>
      </c>
      <c r="BH185" s="64" t="s">
        <v>5611</v>
      </c>
      <c r="BI185" s="64" t="s">
        <v>5693</v>
      </c>
      <c r="BJ185" s="79"/>
      <c r="BK185" s="64" t="s">
        <v>474</v>
      </c>
      <c r="BL185" s="64" t="s">
        <v>474</v>
      </c>
      <c r="BM185" s="66" t="s">
        <v>1271</v>
      </c>
      <c r="BN185" s="66" t="s">
        <v>1468</v>
      </c>
      <c r="BO185" s="66" t="s">
        <v>1468</v>
      </c>
      <c r="BP185" s="66" t="s">
        <v>1474</v>
      </c>
      <c r="BQ185" s="66" t="s">
        <v>1479</v>
      </c>
      <c r="BR185" s="79"/>
      <c r="BS185" s="64">
        <v>0.01</v>
      </c>
      <c r="BT185" s="66">
        <v>30</v>
      </c>
      <c r="BU185" s="79"/>
      <c r="BV185" s="79"/>
      <c r="BW185" s="79"/>
      <c r="BX185" s="79"/>
      <c r="BY185" s="79"/>
      <c r="BZ185" s="79"/>
      <c r="CA185" s="79"/>
      <c r="CB185" s="79"/>
      <c r="CC185" s="79"/>
      <c r="CD185" s="79"/>
      <c r="CE185" s="79"/>
      <c r="CF185" s="79"/>
      <c r="CG185" s="79"/>
      <c r="CH185" s="79"/>
      <c r="CI185" s="79"/>
      <c r="CJ185" s="79"/>
      <c r="CK185" s="79"/>
      <c r="CL185" s="79"/>
      <c r="CM185" s="79"/>
      <c r="CN185" s="79"/>
      <c r="CO185" s="79"/>
      <c r="CP185" s="79"/>
      <c r="CQ185" s="79"/>
      <c r="CR185" s="79"/>
      <c r="CS185" s="79"/>
      <c r="CT185" s="79"/>
      <c r="CU185" s="79"/>
      <c r="CV185" s="79"/>
      <c r="CW185" s="79"/>
      <c r="CX185" s="79"/>
      <c r="CY185" s="79"/>
      <c r="CZ185" s="79"/>
      <c r="DA185" s="79"/>
      <c r="DB185" s="79"/>
      <c r="DC185" s="79"/>
      <c r="DD185" s="79"/>
      <c r="DE185" s="79"/>
      <c r="DF185" s="79"/>
      <c r="DG185" s="79"/>
      <c r="DH185" s="79"/>
      <c r="DI185" s="79"/>
      <c r="DJ185" s="79"/>
      <c r="DK185" s="79"/>
      <c r="DL185" s="79"/>
      <c r="DM185" s="79"/>
      <c r="DN185" s="79"/>
      <c r="DO185" s="79"/>
      <c r="DP185" s="79"/>
      <c r="DQ185" s="79"/>
      <c r="DR185" s="79"/>
      <c r="DS185" s="79"/>
      <c r="DT185" s="79"/>
      <c r="DU185" s="79"/>
      <c r="DV185" s="79"/>
      <c r="DW185" s="79"/>
      <c r="DX185" s="79"/>
      <c r="DY185" s="78"/>
    </row>
    <row r="186" spans="1:129" x14ac:dyDescent="0.35">
      <c r="A186" s="42" t="s">
        <v>4743</v>
      </c>
      <c r="B186" s="42" t="s">
        <v>5697</v>
      </c>
      <c r="C186" s="42" t="s">
        <v>409</v>
      </c>
      <c r="D186" s="43" t="s">
        <v>410</v>
      </c>
      <c r="F186" s="44" t="s">
        <v>5698</v>
      </c>
      <c r="G186" s="42" t="s">
        <v>4955</v>
      </c>
      <c r="H186" s="42" t="s">
        <v>68</v>
      </c>
      <c r="I186" s="43" t="s">
        <v>68</v>
      </c>
      <c r="J186" s="43" t="s">
        <v>68</v>
      </c>
      <c r="K186" s="43"/>
      <c r="L186" s="43" t="s">
        <v>69</v>
      </c>
      <c r="M186" s="43">
        <v>3</v>
      </c>
      <c r="N186" s="43">
        <v>3</v>
      </c>
      <c r="O186" s="43" t="s">
        <v>69</v>
      </c>
      <c r="P186" s="43">
        <v>4</v>
      </c>
      <c r="Q186" s="43">
        <v>4</v>
      </c>
      <c r="R186" s="43" t="s">
        <v>69</v>
      </c>
      <c r="S186" s="43">
        <v>5</v>
      </c>
      <c r="T186" s="43">
        <v>5</v>
      </c>
      <c r="U186" s="42" t="s">
        <v>5611</v>
      </c>
      <c r="V186" s="42">
        <v>106.75</v>
      </c>
      <c r="W186" s="42">
        <v>106.75</v>
      </c>
      <c r="X186" s="42" t="s">
        <v>5699</v>
      </c>
      <c r="Y186" s="42" t="s">
        <v>5700</v>
      </c>
      <c r="Z186" s="43" t="s">
        <v>4743</v>
      </c>
      <c r="AA186" s="43" t="s">
        <v>4742</v>
      </c>
      <c r="AC186" s="42" t="s">
        <v>4684</v>
      </c>
      <c r="AD186" s="42" t="s">
        <v>4685</v>
      </c>
      <c r="AE186" s="42" t="s">
        <v>4686</v>
      </c>
      <c r="AF186" s="42" t="s">
        <v>409</v>
      </c>
      <c r="AG186" s="42" t="s">
        <v>4685</v>
      </c>
      <c r="AH186" t="s">
        <v>5611</v>
      </c>
      <c r="AI186" s="42" t="s">
        <v>4959</v>
      </c>
      <c r="AJ186" s="42" t="s">
        <v>5614</v>
      </c>
      <c r="AL186" s="42" t="s">
        <v>5615</v>
      </c>
      <c r="AM186" s="43">
        <v>106.75</v>
      </c>
      <c r="AN186" s="43">
        <v>106.75</v>
      </c>
      <c r="AO186" s="43" t="s">
        <v>70</v>
      </c>
      <c r="AQ186" s="43">
        <v>1</v>
      </c>
      <c r="AR186" s="42" t="s">
        <v>5701</v>
      </c>
      <c r="AU186" s="64"/>
      <c r="AV186" s="64">
        <v>62</v>
      </c>
      <c r="AW186" s="64" t="s">
        <v>4955</v>
      </c>
      <c r="AX186" s="64" t="s">
        <v>4744</v>
      </c>
      <c r="AY186" s="66" t="s">
        <v>478</v>
      </c>
      <c r="AZ186" s="66" t="s">
        <v>409</v>
      </c>
      <c r="BA186" s="64">
        <v>106.75</v>
      </c>
      <c r="BB186" s="64">
        <v>106.75</v>
      </c>
      <c r="BC186" s="64" t="s">
        <v>5699</v>
      </c>
      <c r="BD186" s="64" t="s">
        <v>5700</v>
      </c>
      <c r="BE186" s="64" t="s">
        <v>5699</v>
      </c>
      <c r="BF186" s="64" t="s">
        <v>5700</v>
      </c>
      <c r="BG186" s="64" t="s">
        <v>4963</v>
      </c>
      <c r="BH186" s="64" t="s">
        <v>5611</v>
      </c>
      <c r="BI186" s="64" t="s">
        <v>5698</v>
      </c>
      <c r="BJ186" s="79"/>
      <c r="BK186" s="64" t="s">
        <v>474</v>
      </c>
      <c r="BL186" s="64" t="s">
        <v>474</v>
      </c>
      <c r="BM186" s="66" t="s">
        <v>1271</v>
      </c>
      <c r="BN186" s="66" t="s">
        <v>1468</v>
      </c>
      <c r="BO186" s="66" t="s">
        <v>1468</v>
      </c>
      <c r="BP186" s="66" t="s">
        <v>1474</v>
      </c>
      <c r="BQ186" s="66" t="s">
        <v>1479</v>
      </c>
      <c r="BR186" s="79"/>
      <c r="BS186" s="64">
        <v>0.01</v>
      </c>
      <c r="BT186" s="66">
        <v>30</v>
      </c>
      <c r="BU186" s="79"/>
      <c r="BV186" s="79"/>
      <c r="BW186" s="79"/>
      <c r="BX186" s="79"/>
      <c r="BY186" s="79"/>
      <c r="BZ186" s="79"/>
      <c r="CA186" s="79"/>
      <c r="CB186" s="79"/>
      <c r="CC186" s="79"/>
      <c r="CD186" s="79"/>
      <c r="CE186" s="79"/>
      <c r="CF186" s="79"/>
      <c r="CG186" s="79"/>
      <c r="CH186" s="79"/>
      <c r="CI186" s="79"/>
      <c r="CJ186" s="79"/>
      <c r="CK186" s="79"/>
      <c r="CL186" s="79"/>
      <c r="CM186" s="79"/>
      <c r="CN186" s="79"/>
      <c r="CO186" s="79"/>
      <c r="CP186" s="79"/>
      <c r="CQ186" s="79"/>
      <c r="CR186" s="79"/>
      <c r="CS186" s="79"/>
      <c r="CT186" s="79"/>
      <c r="CU186" s="79"/>
      <c r="CV186" s="79"/>
      <c r="CW186" s="79"/>
      <c r="CX186" s="79"/>
      <c r="CY186" s="79"/>
      <c r="CZ186" s="79"/>
      <c r="DA186" s="79"/>
      <c r="DB186" s="79"/>
      <c r="DC186" s="79"/>
      <c r="DD186" s="79"/>
      <c r="DE186" s="79"/>
      <c r="DF186" s="79"/>
      <c r="DG186" s="79"/>
      <c r="DH186" s="79"/>
      <c r="DI186" s="79"/>
      <c r="DJ186" s="79"/>
      <c r="DK186" s="79"/>
      <c r="DL186" s="79"/>
      <c r="DM186" s="79"/>
      <c r="DN186" s="79"/>
      <c r="DO186" s="79"/>
      <c r="DP186" s="79"/>
      <c r="DQ186" s="79"/>
      <c r="DR186" s="79"/>
      <c r="DS186" s="79"/>
      <c r="DT186" s="79"/>
      <c r="DU186" s="79"/>
      <c r="DV186" s="79"/>
      <c r="DW186" s="79"/>
      <c r="DX186" s="79"/>
      <c r="DY186" s="78"/>
    </row>
    <row r="187" spans="1:129" x14ac:dyDescent="0.35">
      <c r="A187" s="42" t="s">
        <v>4743</v>
      </c>
      <c r="B187" s="42" t="s">
        <v>5702</v>
      </c>
      <c r="C187" s="42" t="s">
        <v>409</v>
      </c>
      <c r="D187" s="43" t="s">
        <v>410</v>
      </c>
      <c r="F187" s="44" t="s">
        <v>5703</v>
      </c>
      <c r="G187" s="42" t="s">
        <v>4955</v>
      </c>
      <c r="H187" s="42" t="s">
        <v>68</v>
      </c>
      <c r="I187" s="43" t="s">
        <v>68</v>
      </c>
      <c r="J187" s="43" t="s">
        <v>68</v>
      </c>
      <c r="K187" s="43"/>
      <c r="L187" s="43" t="s">
        <v>69</v>
      </c>
      <c r="M187" s="43">
        <v>3</v>
      </c>
      <c r="N187" s="43">
        <v>3</v>
      </c>
      <c r="O187" s="43" t="s">
        <v>69</v>
      </c>
      <c r="P187" s="43">
        <v>4</v>
      </c>
      <c r="Q187" s="43">
        <v>4</v>
      </c>
      <c r="R187" s="43" t="s">
        <v>69</v>
      </c>
      <c r="S187" s="43">
        <v>5</v>
      </c>
      <c r="T187" s="43">
        <v>5</v>
      </c>
      <c r="U187" s="42" t="s">
        <v>5611</v>
      </c>
      <c r="V187" s="42">
        <v>106.75</v>
      </c>
      <c r="W187" s="42">
        <v>106.75</v>
      </c>
      <c r="X187" s="42" t="s">
        <v>5704</v>
      </c>
      <c r="Y187" s="42" t="s">
        <v>5705</v>
      </c>
      <c r="Z187" s="43" t="s">
        <v>4743</v>
      </c>
      <c r="AA187" s="43" t="s">
        <v>4742</v>
      </c>
      <c r="AC187" s="42" t="s">
        <v>4684</v>
      </c>
      <c r="AD187" s="42" t="s">
        <v>4685</v>
      </c>
      <c r="AE187" s="42" t="s">
        <v>4686</v>
      </c>
      <c r="AF187" s="42" t="s">
        <v>409</v>
      </c>
      <c r="AG187" s="42" t="s">
        <v>4685</v>
      </c>
      <c r="AH187" t="s">
        <v>5611</v>
      </c>
      <c r="AI187" s="42" t="s">
        <v>4959</v>
      </c>
      <c r="AJ187" s="42" t="s">
        <v>5614</v>
      </c>
      <c r="AL187" s="42" t="s">
        <v>5615</v>
      </c>
      <c r="AM187" s="43">
        <v>106.75</v>
      </c>
      <c r="AN187" s="43">
        <v>106.75</v>
      </c>
      <c r="AO187" s="43" t="s">
        <v>70</v>
      </c>
      <c r="AQ187" s="43">
        <v>1</v>
      </c>
      <c r="AR187" s="42" t="s">
        <v>5706</v>
      </c>
      <c r="AU187" s="64"/>
      <c r="AV187" s="64">
        <v>62</v>
      </c>
      <c r="AW187" s="64" t="s">
        <v>4955</v>
      </c>
      <c r="AX187" s="64" t="s">
        <v>4744</v>
      </c>
      <c r="AY187" s="66" t="s">
        <v>478</v>
      </c>
      <c r="AZ187" s="66" t="s">
        <v>409</v>
      </c>
      <c r="BA187" s="64">
        <v>106.75</v>
      </c>
      <c r="BB187" s="64">
        <v>106.75</v>
      </c>
      <c r="BC187" s="64" t="s">
        <v>5704</v>
      </c>
      <c r="BD187" s="64" t="s">
        <v>5705</v>
      </c>
      <c r="BE187" s="64" t="s">
        <v>5704</v>
      </c>
      <c r="BF187" s="64" t="s">
        <v>5705</v>
      </c>
      <c r="BG187" s="64" t="s">
        <v>4963</v>
      </c>
      <c r="BH187" s="64" t="s">
        <v>5611</v>
      </c>
      <c r="BI187" s="64" t="s">
        <v>5703</v>
      </c>
      <c r="BJ187" s="79"/>
      <c r="BK187" s="64" t="s">
        <v>474</v>
      </c>
      <c r="BL187" s="64" t="s">
        <v>474</v>
      </c>
      <c r="BM187" s="66" t="s">
        <v>1271</v>
      </c>
      <c r="BN187" s="66" t="s">
        <v>1468</v>
      </c>
      <c r="BO187" s="66" t="s">
        <v>1468</v>
      </c>
      <c r="BP187" s="66" t="s">
        <v>1474</v>
      </c>
      <c r="BQ187" s="66" t="s">
        <v>1479</v>
      </c>
      <c r="BR187" s="79"/>
      <c r="BS187" s="64">
        <v>0.01</v>
      </c>
      <c r="BT187" s="66">
        <v>30</v>
      </c>
      <c r="BU187" s="79"/>
      <c r="BV187" s="79"/>
      <c r="BW187" s="79"/>
      <c r="BX187" s="79"/>
      <c r="BY187" s="79"/>
      <c r="BZ187" s="79"/>
      <c r="CA187" s="79"/>
      <c r="CB187" s="79"/>
      <c r="CC187" s="79"/>
      <c r="CD187" s="79"/>
      <c r="CE187" s="79"/>
      <c r="CF187" s="79"/>
      <c r="CG187" s="79"/>
      <c r="CH187" s="79"/>
      <c r="CI187" s="79"/>
      <c r="CJ187" s="79"/>
      <c r="CK187" s="79"/>
      <c r="CL187" s="79"/>
      <c r="CM187" s="79"/>
      <c r="CN187" s="79"/>
      <c r="CO187" s="79"/>
      <c r="CP187" s="79"/>
      <c r="CQ187" s="79"/>
      <c r="CR187" s="79"/>
      <c r="CS187" s="79"/>
      <c r="CT187" s="79"/>
      <c r="CU187" s="79"/>
      <c r="CV187" s="79"/>
      <c r="CW187" s="79"/>
      <c r="CX187" s="79"/>
      <c r="CY187" s="79"/>
      <c r="CZ187" s="79"/>
      <c r="DA187" s="79"/>
      <c r="DB187" s="79"/>
      <c r="DC187" s="79"/>
      <c r="DD187" s="79"/>
      <c r="DE187" s="79"/>
      <c r="DF187" s="79"/>
      <c r="DG187" s="79"/>
      <c r="DH187" s="79"/>
      <c r="DI187" s="79"/>
      <c r="DJ187" s="79"/>
      <c r="DK187" s="79"/>
      <c r="DL187" s="79"/>
      <c r="DM187" s="79"/>
      <c r="DN187" s="79"/>
      <c r="DO187" s="79"/>
      <c r="DP187" s="79"/>
      <c r="DQ187" s="79"/>
      <c r="DR187" s="79"/>
      <c r="DS187" s="79"/>
      <c r="DT187" s="79"/>
      <c r="DU187" s="79"/>
      <c r="DV187" s="79"/>
      <c r="DW187" s="79"/>
      <c r="DX187" s="79"/>
      <c r="DY187" s="78"/>
    </row>
    <row r="188" spans="1:129" x14ac:dyDescent="0.35">
      <c r="A188" s="42" t="s">
        <v>4743</v>
      </c>
      <c r="B188" s="42" t="s">
        <v>5707</v>
      </c>
      <c r="C188" s="42" t="s">
        <v>409</v>
      </c>
      <c r="D188" s="43" t="s">
        <v>410</v>
      </c>
      <c r="F188" s="44" t="s">
        <v>5708</v>
      </c>
      <c r="G188" s="42" t="s">
        <v>4955</v>
      </c>
      <c r="H188" s="42" t="s">
        <v>68</v>
      </c>
      <c r="I188" s="43" t="s">
        <v>68</v>
      </c>
      <c r="J188" s="43" t="s">
        <v>68</v>
      </c>
      <c r="K188" s="43"/>
      <c r="L188" s="43" t="s">
        <v>69</v>
      </c>
      <c r="M188" s="43">
        <v>3</v>
      </c>
      <c r="N188" s="43">
        <v>3</v>
      </c>
      <c r="O188" s="43" t="s">
        <v>69</v>
      </c>
      <c r="P188" s="43">
        <v>4</v>
      </c>
      <c r="Q188" s="43">
        <v>4</v>
      </c>
      <c r="R188" s="43" t="s">
        <v>69</v>
      </c>
      <c r="S188" s="43">
        <v>5</v>
      </c>
      <c r="T188" s="43">
        <v>5</v>
      </c>
      <c r="U188" s="42" t="s">
        <v>5611</v>
      </c>
      <c r="V188" s="42">
        <v>106.75</v>
      </c>
      <c r="W188" s="42">
        <v>106.75</v>
      </c>
      <c r="X188" s="42" t="s">
        <v>5709</v>
      </c>
      <c r="Y188" s="42" t="s">
        <v>5710</v>
      </c>
      <c r="Z188" s="43" t="s">
        <v>4743</v>
      </c>
      <c r="AA188" s="43" t="s">
        <v>4742</v>
      </c>
      <c r="AC188" s="42" t="s">
        <v>4684</v>
      </c>
      <c r="AD188" s="42" t="s">
        <v>4685</v>
      </c>
      <c r="AE188" s="42" t="s">
        <v>4686</v>
      </c>
      <c r="AF188" s="42" t="s">
        <v>409</v>
      </c>
      <c r="AG188" s="42" t="s">
        <v>4685</v>
      </c>
      <c r="AH188" t="s">
        <v>5611</v>
      </c>
      <c r="AI188" s="42" t="s">
        <v>4959</v>
      </c>
      <c r="AJ188" s="42" t="s">
        <v>5614</v>
      </c>
      <c r="AL188" s="42" t="s">
        <v>5615</v>
      </c>
      <c r="AM188" s="43">
        <v>106.75</v>
      </c>
      <c r="AN188" s="43">
        <v>106.75</v>
      </c>
      <c r="AO188" s="43" t="s">
        <v>70</v>
      </c>
      <c r="AQ188" s="43">
        <v>1</v>
      </c>
      <c r="AR188" s="42" t="s">
        <v>5711</v>
      </c>
      <c r="AU188" s="64"/>
      <c r="AV188" s="64">
        <v>62</v>
      </c>
      <c r="AW188" s="64" t="s">
        <v>4955</v>
      </c>
      <c r="AX188" s="64" t="s">
        <v>4744</v>
      </c>
      <c r="AY188" s="66" t="s">
        <v>478</v>
      </c>
      <c r="AZ188" s="66" t="s">
        <v>409</v>
      </c>
      <c r="BA188" s="64">
        <v>106.75</v>
      </c>
      <c r="BB188" s="64">
        <v>106.75</v>
      </c>
      <c r="BC188" s="64" t="s">
        <v>5709</v>
      </c>
      <c r="BD188" s="64" t="s">
        <v>5710</v>
      </c>
      <c r="BE188" s="64" t="s">
        <v>5709</v>
      </c>
      <c r="BF188" s="64" t="s">
        <v>5710</v>
      </c>
      <c r="BG188" s="64" t="s">
        <v>4963</v>
      </c>
      <c r="BH188" s="64" t="s">
        <v>5611</v>
      </c>
      <c r="BI188" s="64" t="s">
        <v>5708</v>
      </c>
      <c r="BJ188" s="79"/>
      <c r="BK188" s="64" t="s">
        <v>474</v>
      </c>
      <c r="BL188" s="64" t="s">
        <v>474</v>
      </c>
      <c r="BM188" s="66" t="s">
        <v>1271</v>
      </c>
      <c r="BN188" s="66" t="s">
        <v>1468</v>
      </c>
      <c r="BO188" s="66" t="s">
        <v>1468</v>
      </c>
      <c r="BP188" s="66" t="s">
        <v>1474</v>
      </c>
      <c r="BQ188" s="66" t="s">
        <v>1479</v>
      </c>
      <c r="BR188" s="79"/>
      <c r="BS188" s="64">
        <v>0.01</v>
      </c>
      <c r="BT188" s="66">
        <v>30</v>
      </c>
      <c r="BU188" s="79"/>
      <c r="BV188" s="79"/>
      <c r="BW188" s="79"/>
      <c r="BX188" s="79"/>
      <c r="BY188" s="79"/>
      <c r="BZ188" s="79"/>
      <c r="CA188" s="79"/>
      <c r="CB188" s="79"/>
      <c r="CC188" s="79"/>
      <c r="CD188" s="79"/>
      <c r="CE188" s="79"/>
      <c r="CF188" s="79"/>
      <c r="CG188" s="79"/>
      <c r="CH188" s="79"/>
      <c r="CI188" s="79"/>
      <c r="CJ188" s="79"/>
      <c r="CK188" s="79"/>
      <c r="CL188" s="79"/>
      <c r="CM188" s="79"/>
      <c r="CN188" s="79"/>
      <c r="CO188" s="79"/>
      <c r="CP188" s="79"/>
      <c r="CQ188" s="79"/>
      <c r="CR188" s="79"/>
      <c r="CS188" s="79"/>
      <c r="CT188" s="79"/>
      <c r="CU188" s="79"/>
      <c r="CV188" s="79"/>
      <c r="CW188" s="79"/>
      <c r="CX188" s="79"/>
      <c r="CY188" s="79"/>
      <c r="CZ188" s="79"/>
      <c r="DA188" s="79"/>
      <c r="DB188" s="79"/>
      <c r="DC188" s="79"/>
      <c r="DD188" s="79"/>
      <c r="DE188" s="79"/>
      <c r="DF188" s="79"/>
      <c r="DG188" s="79"/>
      <c r="DH188" s="79"/>
      <c r="DI188" s="79"/>
      <c r="DJ188" s="79"/>
      <c r="DK188" s="79"/>
      <c r="DL188" s="79"/>
      <c r="DM188" s="79"/>
      <c r="DN188" s="79"/>
      <c r="DO188" s="79"/>
      <c r="DP188" s="79"/>
      <c r="DQ188" s="79"/>
      <c r="DR188" s="79"/>
      <c r="DS188" s="79"/>
      <c r="DT188" s="79"/>
      <c r="DU188" s="79"/>
      <c r="DV188" s="79"/>
      <c r="DW188" s="79"/>
      <c r="DX188" s="79"/>
      <c r="DY188" s="78"/>
    </row>
    <row r="189" spans="1:129" x14ac:dyDescent="0.35">
      <c r="A189" s="42" t="s">
        <v>4743</v>
      </c>
      <c r="B189" s="42" t="s">
        <v>5712</v>
      </c>
      <c r="C189" s="42" t="s">
        <v>409</v>
      </c>
      <c r="D189" s="43" t="s">
        <v>410</v>
      </c>
      <c r="F189" s="44" t="s">
        <v>5713</v>
      </c>
      <c r="G189" s="42" t="s">
        <v>4955</v>
      </c>
      <c r="H189" s="42" t="s">
        <v>68</v>
      </c>
      <c r="I189" s="43" t="s">
        <v>68</v>
      </c>
      <c r="J189" s="43" t="s">
        <v>68</v>
      </c>
      <c r="K189" s="43"/>
      <c r="L189" s="43" t="s">
        <v>69</v>
      </c>
      <c r="M189" s="43">
        <v>3</v>
      </c>
      <c r="N189" s="43">
        <v>3</v>
      </c>
      <c r="O189" s="43" t="s">
        <v>69</v>
      </c>
      <c r="P189" s="43">
        <v>4</v>
      </c>
      <c r="Q189" s="43">
        <v>4</v>
      </c>
      <c r="R189" s="43" t="s">
        <v>69</v>
      </c>
      <c r="S189" s="43">
        <v>5</v>
      </c>
      <c r="T189" s="43">
        <v>5</v>
      </c>
      <c r="U189" s="42" t="s">
        <v>5611</v>
      </c>
      <c r="V189" s="42">
        <v>106.75</v>
      </c>
      <c r="W189" s="42">
        <v>106.75</v>
      </c>
      <c r="X189" s="42" t="s">
        <v>5714</v>
      </c>
      <c r="Y189" s="42" t="s">
        <v>5715</v>
      </c>
      <c r="Z189" s="43" t="s">
        <v>4743</v>
      </c>
      <c r="AA189" s="43" t="s">
        <v>4742</v>
      </c>
      <c r="AC189" s="42" t="s">
        <v>4684</v>
      </c>
      <c r="AD189" s="42" t="s">
        <v>4685</v>
      </c>
      <c r="AE189" s="42" t="s">
        <v>4686</v>
      </c>
      <c r="AF189" s="42" t="s">
        <v>409</v>
      </c>
      <c r="AG189" s="42" t="s">
        <v>4685</v>
      </c>
      <c r="AH189" t="s">
        <v>5611</v>
      </c>
      <c r="AI189" s="42" t="s">
        <v>4959</v>
      </c>
      <c r="AJ189" s="42" t="s">
        <v>5614</v>
      </c>
      <c r="AL189" s="42" t="s">
        <v>5615</v>
      </c>
      <c r="AM189" s="43">
        <v>106.75</v>
      </c>
      <c r="AN189" s="43">
        <v>106.75</v>
      </c>
      <c r="AO189" s="43" t="s">
        <v>70</v>
      </c>
      <c r="AQ189" s="43">
        <v>1</v>
      </c>
      <c r="AR189" s="42" t="s">
        <v>5716</v>
      </c>
      <c r="AU189" s="64"/>
      <c r="AV189" s="64">
        <v>62</v>
      </c>
      <c r="AW189" s="64" t="s">
        <v>4955</v>
      </c>
      <c r="AX189" s="64" t="s">
        <v>4744</v>
      </c>
      <c r="AY189" s="66" t="s">
        <v>478</v>
      </c>
      <c r="AZ189" s="66" t="s">
        <v>409</v>
      </c>
      <c r="BA189" s="64">
        <v>106.75</v>
      </c>
      <c r="BB189" s="64">
        <v>106.75</v>
      </c>
      <c r="BC189" s="64" t="s">
        <v>5714</v>
      </c>
      <c r="BD189" s="64" t="s">
        <v>5715</v>
      </c>
      <c r="BE189" s="64" t="s">
        <v>5714</v>
      </c>
      <c r="BF189" s="64" t="s">
        <v>5715</v>
      </c>
      <c r="BG189" s="64" t="s">
        <v>4963</v>
      </c>
      <c r="BH189" s="64" t="s">
        <v>5611</v>
      </c>
      <c r="BI189" s="64" t="s">
        <v>5713</v>
      </c>
      <c r="BJ189" s="79"/>
      <c r="BK189" s="64" t="s">
        <v>474</v>
      </c>
      <c r="BL189" s="64" t="s">
        <v>474</v>
      </c>
      <c r="BM189" s="66" t="s">
        <v>1271</v>
      </c>
      <c r="BN189" s="66" t="s">
        <v>1468</v>
      </c>
      <c r="BO189" s="66" t="s">
        <v>1468</v>
      </c>
      <c r="BP189" s="66" t="s">
        <v>1474</v>
      </c>
      <c r="BQ189" s="66" t="s">
        <v>1479</v>
      </c>
      <c r="BR189" s="79"/>
      <c r="BS189" s="64">
        <v>0.01</v>
      </c>
      <c r="BT189" s="66">
        <v>30</v>
      </c>
      <c r="BU189" s="79"/>
      <c r="BV189" s="79"/>
      <c r="BW189" s="79"/>
      <c r="BX189" s="79"/>
      <c r="BY189" s="79"/>
      <c r="BZ189" s="79"/>
      <c r="CA189" s="79"/>
      <c r="CB189" s="79"/>
      <c r="CC189" s="79"/>
      <c r="CD189" s="79"/>
      <c r="CE189" s="79"/>
      <c r="CF189" s="79"/>
      <c r="CG189" s="79"/>
      <c r="CH189" s="79"/>
      <c r="CI189" s="79"/>
      <c r="CJ189" s="79"/>
      <c r="CK189" s="79"/>
      <c r="CL189" s="79"/>
      <c r="CM189" s="79"/>
      <c r="CN189" s="79"/>
      <c r="CO189" s="79"/>
      <c r="CP189" s="79"/>
      <c r="CQ189" s="79"/>
      <c r="CR189" s="79"/>
      <c r="CS189" s="79"/>
      <c r="CT189" s="79"/>
      <c r="CU189" s="79"/>
      <c r="CV189" s="79"/>
      <c r="CW189" s="79"/>
      <c r="CX189" s="79"/>
      <c r="CY189" s="79"/>
      <c r="CZ189" s="79"/>
      <c r="DA189" s="79"/>
      <c r="DB189" s="79"/>
      <c r="DC189" s="79"/>
      <c r="DD189" s="79"/>
      <c r="DE189" s="79"/>
      <c r="DF189" s="79"/>
      <c r="DG189" s="79"/>
      <c r="DH189" s="79"/>
      <c r="DI189" s="79"/>
      <c r="DJ189" s="79"/>
      <c r="DK189" s="79"/>
      <c r="DL189" s="79"/>
      <c r="DM189" s="79"/>
      <c r="DN189" s="79"/>
      <c r="DO189" s="79"/>
      <c r="DP189" s="79"/>
      <c r="DQ189" s="79"/>
      <c r="DR189" s="79"/>
      <c r="DS189" s="79"/>
      <c r="DT189" s="79"/>
      <c r="DU189" s="79"/>
      <c r="DV189" s="79"/>
      <c r="DW189" s="79"/>
      <c r="DX189" s="79"/>
      <c r="DY189" s="78"/>
    </row>
    <row r="190" spans="1:129" x14ac:dyDescent="0.35">
      <c r="A190" s="42" t="s">
        <v>4743</v>
      </c>
      <c r="B190" s="42" t="s">
        <v>5717</v>
      </c>
      <c r="C190" s="42" t="s">
        <v>409</v>
      </c>
      <c r="D190" s="43" t="s">
        <v>410</v>
      </c>
      <c r="F190" s="44" t="s">
        <v>5718</v>
      </c>
      <c r="G190" s="42" t="s">
        <v>4955</v>
      </c>
      <c r="H190" s="42" t="s">
        <v>68</v>
      </c>
      <c r="I190" s="43" t="s">
        <v>68</v>
      </c>
      <c r="J190" s="43" t="s">
        <v>68</v>
      </c>
      <c r="K190" s="43"/>
      <c r="L190" s="43" t="s">
        <v>69</v>
      </c>
      <c r="M190" s="43">
        <v>3</v>
      </c>
      <c r="N190" s="43">
        <v>3</v>
      </c>
      <c r="O190" s="43" t="s">
        <v>69</v>
      </c>
      <c r="P190" s="43">
        <v>4</v>
      </c>
      <c r="Q190" s="43">
        <v>4</v>
      </c>
      <c r="R190" s="43" t="s">
        <v>69</v>
      </c>
      <c r="S190" s="43">
        <v>5</v>
      </c>
      <c r="T190" s="43">
        <v>5</v>
      </c>
      <c r="U190" s="42" t="s">
        <v>5611</v>
      </c>
      <c r="V190" s="42">
        <v>106.75</v>
      </c>
      <c r="W190" s="42">
        <v>106.75</v>
      </c>
      <c r="X190" s="42" t="s">
        <v>5719</v>
      </c>
      <c r="Y190" s="42" t="s">
        <v>5720</v>
      </c>
      <c r="Z190" s="43" t="s">
        <v>4743</v>
      </c>
      <c r="AA190" s="43" t="s">
        <v>4742</v>
      </c>
      <c r="AC190" s="42" t="s">
        <v>4684</v>
      </c>
      <c r="AD190" s="42" t="s">
        <v>4685</v>
      </c>
      <c r="AE190" s="42" t="s">
        <v>4686</v>
      </c>
      <c r="AF190" s="42" t="s">
        <v>409</v>
      </c>
      <c r="AG190" s="42" t="s">
        <v>4685</v>
      </c>
      <c r="AH190" t="s">
        <v>5611</v>
      </c>
      <c r="AI190" s="42" t="s">
        <v>4959</v>
      </c>
      <c r="AJ190" s="42" t="s">
        <v>5614</v>
      </c>
      <c r="AL190" s="42" t="s">
        <v>5615</v>
      </c>
      <c r="AM190" s="43">
        <v>106.75</v>
      </c>
      <c r="AN190" s="43">
        <v>106.75</v>
      </c>
      <c r="AO190" s="43" t="s">
        <v>70</v>
      </c>
      <c r="AQ190" s="43">
        <v>1</v>
      </c>
      <c r="AR190" s="42" t="s">
        <v>5721</v>
      </c>
      <c r="AU190" s="64"/>
      <c r="AV190" s="64">
        <v>62</v>
      </c>
      <c r="AW190" s="64" t="s">
        <v>4955</v>
      </c>
      <c r="AX190" s="64" t="s">
        <v>4744</v>
      </c>
      <c r="AY190" s="66" t="s">
        <v>478</v>
      </c>
      <c r="AZ190" s="66" t="s">
        <v>409</v>
      </c>
      <c r="BA190" s="64">
        <v>106.75</v>
      </c>
      <c r="BB190" s="64">
        <v>106.75</v>
      </c>
      <c r="BC190" s="64" t="s">
        <v>5719</v>
      </c>
      <c r="BD190" s="64" t="s">
        <v>5720</v>
      </c>
      <c r="BE190" s="64" t="s">
        <v>5719</v>
      </c>
      <c r="BF190" s="64" t="s">
        <v>5720</v>
      </c>
      <c r="BG190" s="64" t="s">
        <v>4963</v>
      </c>
      <c r="BH190" s="64" t="s">
        <v>5611</v>
      </c>
      <c r="BI190" s="64" t="s">
        <v>5718</v>
      </c>
      <c r="BJ190" s="79"/>
      <c r="BK190" s="64" t="s">
        <v>474</v>
      </c>
      <c r="BL190" s="64" t="s">
        <v>474</v>
      </c>
      <c r="BM190" s="66" t="s">
        <v>1271</v>
      </c>
      <c r="BN190" s="66" t="s">
        <v>1468</v>
      </c>
      <c r="BO190" s="66" t="s">
        <v>1468</v>
      </c>
      <c r="BP190" s="66" t="s">
        <v>1474</v>
      </c>
      <c r="BQ190" s="66" t="s">
        <v>1479</v>
      </c>
      <c r="BR190" s="79"/>
      <c r="BS190" s="64">
        <v>0.01</v>
      </c>
      <c r="BT190" s="66">
        <v>30</v>
      </c>
      <c r="BU190" s="79"/>
      <c r="BV190" s="79"/>
      <c r="BW190" s="79"/>
      <c r="BX190" s="79"/>
      <c r="BY190" s="79"/>
      <c r="BZ190" s="79"/>
      <c r="CA190" s="79"/>
      <c r="CB190" s="79"/>
      <c r="CC190" s="79"/>
      <c r="CD190" s="79"/>
      <c r="CE190" s="79"/>
      <c r="CF190" s="79"/>
      <c r="CG190" s="79"/>
      <c r="CH190" s="79"/>
      <c r="CI190" s="79"/>
      <c r="CJ190" s="79"/>
      <c r="CK190" s="79"/>
      <c r="CL190" s="79"/>
      <c r="CM190" s="79"/>
      <c r="CN190" s="79"/>
      <c r="CO190" s="79"/>
      <c r="CP190" s="79"/>
      <c r="CQ190" s="79"/>
      <c r="CR190" s="79"/>
      <c r="CS190" s="79"/>
      <c r="CT190" s="79"/>
      <c r="CU190" s="79"/>
      <c r="CV190" s="79"/>
      <c r="CW190" s="79"/>
      <c r="CX190" s="79"/>
      <c r="CY190" s="79"/>
      <c r="CZ190" s="79"/>
      <c r="DA190" s="79"/>
      <c r="DB190" s="79"/>
      <c r="DC190" s="79"/>
      <c r="DD190" s="79"/>
      <c r="DE190" s="79"/>
      <c r="DF190" s="79"/>
      <c r="DG190" s="79"/>
      <c r="DH190" s="79"/>
      <c r="DI190" s="79"/>
      <c r="DJ190" s="79"/>
      <c r="DK190" s="79"/>
      <c r="DL190" s="79"/>
      <c r="DM190" s="79"/>
      <c r="DN190" s="79"/>
      <c r="DO190" s="79"/>
      <c r="DP190" s="79"/>
      <c r="DQ190" s="79"/>
      <c r="DR190" s="79"/>
      <c r="DS190" s="79"/>
      <c r="DT190" s="79"/>
      <c r="DU190" s="79"/>
      <c r="DV190" s="79"/>
      <c r="DW190" s="79"/>
      <c r="DX190" s="79"/>
      <c r="DY190" s="78"/>
    </row>
    <row r="191" spans="1:129" x14ac:dyDescent="0.35">
      <c r="A191" s="42" t="s">
        <v>4743</v>
      </c>
      <c r="B191" s="42" t="s">
        <v>5722</v>
      </c>
      <c r="C191" s="42" t="s">
        <v>409</v>
      </c>
      <c r="D191" s="43" t="s">
        <v>410</v>
      </c>
      <c r="F191" s="44" t="s">
        <v>5723</v>
      </c>
      <c r="G191" s="42" t="s">
        <v>4955</v>
      </c>
      <c r="H191" s="42" t="s">
        <v>68</v>
      </c>
      <c r="I191" s="43" t="s">
        <v>68</v>
      </c>
      <c r="J191" s="43" t="s">
        <v>68</v>
      </c>
      <c r="K191" s="43"/>
      <c r="L191" s="43" t="s">
        <v>69</v>
      </c>
      <c r="M191" s="43">
        <v>3</v>
      </c>
      <c r="N191" s="43">
        <v>3</v>
      </c>
      <c r="O191" s="43" t="s">
        <v>69</v>
      </c>
      <c r="P191" s="43">
        <v>4</v>
      </c>
      <c r="Q191" s="43">
        <v>4</v>
      </c>
      <c r="R191" s="43" t="s">
        <v>69</v>
      </c>
      <c r="S191" s="43">
        <v>5</v>
      </c>
      <c r="T191" s="43">
        <v>5</v>
      </c>
      <c r="U191" s="42" t="s">
        <v>5611</v>
      </c>
      <c r="V191" s="42">
        <v>106.74</v>
      </c>
      <c r="W191" s="42">
        <v>106.75</v>
      </c>
      <c r="X191" s="42" t="s">
        <v>5724</v>
      </c>
      <c r="Y191" s="42" t="s">
        <v>5725</v>
      </c>
      <c r="Z191" s="43" t="s">
        <v>4743</v>
      </c>
      <c r="AA191" s="43" t="s">
        <v>4742</v>
      </c>
      <c r="AC191" s="42" t="s">
        <v>4684</v>
      </c>
      <c r="AD191" s="42" t="s">
        <v>4685</v>
      </c>
      <c r="AE191" s="42" t="s">
        <v>4686</v>
      </c>
      <c r="AF191" s="42" t="s">
        <v>409</v>
      </c>
      <c r="AG191" s="42" t="s">
        <v>4685</v>
      </c>
      <c r="AH191" t="s">
        <v>5611</v>
      </c>
      <c r="AI191" s="42" t="s">
        <v>4959</v>
      </c>
      <c r="AJ191" s="42" t="s">
        <v>5614</v>
      </c>
      <c r="AL191" s="42" t="s">
        <v>5615</v>
      </c>
      <c r="AM191" s="43">
        <v>106.74</v>
      </c>
      <c r="AN191" s="43">
        <v>106.75</v>
      </c>
      <c r="AO191" s="43" t="s">
        <v>70</v>
      </c>
      <c r="AQ191" s="43">
        <v>1</v>
      </c>
      <c r="AR191" s="42" t="s">
        <v>5726</v>
      </c>
      <c r="AU191" s="64"/>
      <c r="AV191" s="64">
        <v>62</v>
      </c>
      <c r="AW191" s="64" t="s">
        <v>4955</v>
      </c>
      <c r="AX191" s="64" t="s">
        <v>4744</v>
      </c>
      <c r="AY191" s="66" t="s">
        <v>478</v>
      </c>
      <c r="AZ191" s="66" t="s">
        <v>409</v>
      </c>
      <c r="BA191" s="64">
        <v>106.74</v>
      </c>
      <c r="BB191" s="64">
        <v>106.75</v>
      </c>
      <c r="BC191" s="64" t="s">
        <v>5724</v>
      </c>
      <c r="BD191" s="64" t="s">
        <v>5725</v>
      </c>
      <c r="BE191" s="64" t="s">
        <v>5724</v>
      </c>
      <c r="BF191" s="64" t="s">
        <v>5725</v>
      </c>
      <c r="BG191" s="64" t="s">
        <v>4963</v>
      </c>
      <c r="BH191" s="64" t="s">
        <v>5611</v>
      </c>
      <c r="BI191" s="64" t="s">
        <v>5723</v>
      </c>
      <c r="BJ191" s="79"/>
      <c r="BK191" s="64" t="s">
        <v>474</v>
      </c>
      <c r="BL191" s="64" t="s">
        <v>474</v>
      </c>
      <c r="BM191" s="66" t="s">
        <v>1271</v>
      </c>
      <c r="BN191" s="66" t="s">
        <v>1468</v>
      </c>
      <c r="BO191" s="66" t="s">
        <v>1468</v>
      </c>
      <c r="BP191" s="66" t="s">
        <v>1474</v>
      </c>
      <c r="BQ191" s="66" t="s">
        <v>1479</v>
      </c>
      <c r="BR191" s="79"/>
      <c r="BS191" s="64">
        <v>0.01</v>
      </c>
      <c r="BT191" s="66">
        <v>30</v>
      </c>
      <c r="BU191" s="79"/>
      <c r="BV191" s="79"/>
      <c r="BW191" s="79"/>
      <c r="BX191" s="79"/>
      <c r="BY191" s="79"/>
      <c r="BZ191" s="79"/>
      <c r="CA191" s="79"/>
      <c r="CB191" s="79"/>
      <c r="CC191" s="79"/>
      <c r="CD191" s="79"/>
      <c r="CE191" s="79"/>
      <c r="CF191" s="79"/>
      <c r="CG191" s="79"/>
      <c r="CH191" s="79"/>
      <c r="CI191" s="79"/>
      <c r="CJ191" s="79"/>
      <c r="CK191" s="79"/>
      <c r="CL191" s="79"/>
      <c r="CM191" s="79"/>
      <c r="CN191" s="79"/>
      <c r="CO191" s="79"/>
      <c r="CP191" s="79"/>
      <c r="CQ191" s="79"/>
      <c r="CR191" s="79"/>
      <c r="CS191" s="79"/>
      <c r="CT191" s="79"/>
      <c r="CU191" s="79"/>
      <c r="CV191" s="79"/>
      <c r="CW191" s="79"/>
      <c r="CX191" s="79"/>
      <c r="CY191" s="79"/>
      <c r="CZ191" s="79"/>
      <c r="DA191" s="79"/>
      <c r="DB191" s="79"/>
      <c r="DC191" s="79"/>
      <c r="DD191" s="79"/>
      <c r="DE191" s="79"/>
      <c r="DF191" s="79"/>
      <c r="DG191" s="79"/>
      <c r="DH191" s="79"/>
      <c r="DI191" s="79"/>
      <c r="DJ191" s="79"/>
      <c r="DK191" s="79"/>
      <c r="DL191" s="79"/>
      <c r="DM191" s="79"/>
      <c r="DN191" s="79"/>
      <c r="DO191" s="79"/>
      <c r="DP191" s="79"/>
      <c r="DQ191" s="79"/>
      <c r="DR191" s="79"/>
      <c r="DS191" s="79"/>
      <c r="DT191" s="79"/>
      <c r="DU191" s="79"/>
      <c r="DV191" s="79"/>
      <c r="DW191" s="79"/>
      <c r="DX191" s="79"/>
      <c r="DY191" s="78"/>
    </row>
    <row r="192" spans="1:129" x14ac:dyDescent="0.35">
      <c r="A192" s="42" t="s">
        <v>4743</v>
      </c>
      <c r="B192" s="42" t="s">
        <v>5727</v>
      </c>
      <c r="C192" s="42" t="s">
        <v>409</v>
      </c>
      <c r="D192" s="43" t="s">
        <v>410</v>
      </c>
      <c r="F192" s="44" t="s">
        <v>5728</v>
      </c>
      <c r="G192" s="42" t="s">
        <v>4955</v>
      </c>
      <c r="H192" s="42" t="s">
        <v>68</v>
      </c>
      <c r="I192" s="43" t="s">
        <v>68</v>
      </c>
      <c r="J192" s="43" t="s">
        <v>68</v>
      </c>
      <c r="K192" s="43"/>
      <c r="L192" s="43" t="s">
        <v>69</v>
      </c>
      <c r="M192" s="43">
        <v>3</v>
      </c>
      <c r="N192" s="43">
        <v>3</v>
      </c>
      <c r="O192" s="43" t="s">
        <v>69</v>
      </c>
      <c r="P192" s="43">
        <v>4</v>
      </c>
      <c r="Q192" s="43">
        <v>4</v>
      </c>
      <c r="R192" s="43" t="s">
        <v>69</v>
      </c>
      <c r="S192" s="43">
        <v>5</v>
      </c>
      <c r="T192" s="43">
        <v>5</v>
      </c>
      <c r="U192" s="42" t="s">
        <v>5611</v>
      </c>
      <c r="V192" s="42">
        <v>106.74</v>
      </c>
      <c r="W192" s="42">
        <v>106.75</v>
      </c>
      <c r="X192" s="42" t="s">
        <v>5729</v>
      </c>
      <c r="Y192" s="42" t="s">
        <v>5730</v>
      </c>
      <c r="Z192" s="43" t="s">
        <v>4743</v>
      </c>
      <c r="AA192" s="43" t="s">
        <v>4742</v>
      </c>
      <c r="AC192" s="42" t="s">
        <v>4684</v>
      </c>
      <c r="AD192" s="42" t="s">
        <v>4685</v>
      </c>
      <c r="AE192" s="42" t="s">
        <v>4686</v>
      </c>
      <c r="AF192" s="42" t="s">
        <v>409</v>
      </c>
      <c r="AG192" s="42" t="s">
        <v>4685</v>
      </c>
      <c r="AH192" t="s">
        <v>5611</v>
      </c>
      <c r="AI192" s="42" t="s">
        <v>4959</v>
      </c>
      <c r="AJ192" s="42" t="s">
        <v>5614</v>
      </c>
      <c r="AL192" s="42" t="s">
        <v>5615</v>
      </c>
      <c r="AM192" s="43">
        <v>106.74</v>
      </c>
      <c r="AN192" s="43">
        <v>106.75</v>
      </c>
      <c r="AO192" s="43" t="s">
        <v>70</v>
      </c>
      <c r="AQ192" s="43">
        <v>1</v>
      </c>
      <c r="AR192" s="42" t="s">
        <v>5731</v>
      </c>
      <c r="AU192" s="64"/>
      <c r="AV192" s="64">
        <v>62</v>
      </c>
      <c r="AW192" s="64" t="s">
        <v>4955</v>
      </c>
      <c r="AX192" s="64" t="s">
        <v>4744</v>
      </c>
      <c r="AY192" s="66" t="s">
        <v>478</v>
      </c>
      <c r="AZ192" s="66" t="s">
        <v>409</v>
      </c>
      <c r="BA192" s="64">
        <v>106.74</v>
      </c>
      <c r="BB192" s="64">
        <v>106.75</v>
      </c>
      <c r="BC192" s="64" t="s">
        <v>5729</v>
      </c>
      <c r="BD192" s="64" t="s">
        <v>5730</v>
      </c>
      <c r="BE192" s="64" t="s">
        <v>5729</v>
      </c>
      <c r="BF192" s="64" t="s">
        <v>5730</v>
      </c>
      <c r="BG192" s="64" t="s">
        <v>4963</v>
      </c>
      <c r="BH192" s="64" t="s">
        <v>5611</v>
      </c>
      <c r="BI192" s="64" t="s">
        <v>5728</v>
      </c>
      <c r="BJ192" s="79"/>
      <c r="BK192" s="64" t="s">
        <v>474</v>
      </c>
      <c r="BL192" s="64" t="s">
        <v>474</v>
      </c>
      <c r="BM192" s="66" t="s">
        <v>1271</v>
      </c>
      <c r="BN192" s="66" t="s">
        <v>1468</v>
      </c>
      <c r="BO192" s="66" t="s">
        <v>1468</v>
      </c>
      <c r="BP192" s="66" t="s">
        <v>1474</v>
      </c>
      <c r="BQ192" s="66" t="s">
        <v>1479</v>
      </c>
      <c r="BR192" s="79"/>
      <c r="BS192" s="64">
        <v>0.01</v>
      </c>
      <c r="BT192" s="66">
        <v>30</v>
      </c>
      <c r="BU192" s="79"/>
      <c r="BV192" s="79"/>
      <c r="BW192" s="79"/>
      <c r="BX192" s="79"/>
      <c r="BY192" s="79"/>
      <c r="BZ192" s="79"/>
      <c r="CA192" s="79"/>
      <c r="CB192" s="79"/>
      <c r="CC192" s="79"/>
      <c r="CD192" s="79"/>
      <c r="CE192" s="79"/>
      <c r="CF192" s="79"/>
      <c r="CG192" s="79"/>
      <c r="CH192" s="79"/>
      <c r="CI192" s="79"/>
      <c r="CJ192" s="79"/>
      <c r="CK192" s="79"/>
      <c r="CL192" s="79"/>
      <c r="CM192" s="79"/>
      <c r="CN192" s="79"/>
      <c r="CO192" s="79"/>
      <c r="CP192" s="79"/>
      <c r="CQ192" s="79"/>
      <c r="CR192" s="79"/>
      <c r="CS192" s="79"/>
      <c r="CT192" s="79"/>
      <c r="CU192" s="79"/>
      <c r="CV192" s="79"/>
      <c r="CW192" s="79"/>
      <c r="CX192" s="79"/>
      <c r="CY192" s="79"/>
      <c r="CZ192" s="79"/>
      <c r="DA192" s="79"/>
      <c r="DB192" s="79"/>
      <c r="DC192" s="79"/>
      <c r="DD192" s="79"/>
      <c r="DE192" s="79"/>
      <c r="DF192" s="79"/>
      <c r="DG192" s="79"/>
      <c r="DH192" s="79"/>
      <c r="DI192" s="79"/>
      <c r="DJ192" s="79"/>
      <c r="DK192" s="79"/>
      <c r="DL192" s="79"/>
      <c r="DM192" s="79"/>
      <c r="DN192" s="79"/>
      <c r="DO192" s="79"/>
      <c r="DP192" s="79"/>
      <c r="DQ192" s="79"/>
      <c r="DR192" s="79"/>
      <c r="DS192" s="79"/>
      <c r="DT192" s="79"/>
      <c r="DU192" s="79"/>
      <c r="DV192" s="79"/>
      <c r="DW192" s="79"/>
      <c r="DX192" s="79"/>
      <c r="DY192" s="78"/>
    </row>
    <row r="193" spans="1:129" x14ac:dyDescent="0.35">
      <c r="A193" s="42" t="s">
        <v>4743</v>
      </c>
      <c r="B193" s="42" t="s">
        <v>5732</v>
      </c>
      <c r="C193" s="42" t="s">
        <v>409</v>
      </c>
      <c r="D193" s="43" t="s">
        <v>410</v>
      </c>
      <c r="F193" s="44" t="s">
        <v>5733</v>
      </c>
      <c r="G193" s="42" t="s">
        <v>4955</v>
      </c>
      <c r="H193" s="42" t="s">
        <v>68</v>
      </c>
      <c r="I193" s="43" t="s">
        <v>68</v>
      </c>
      <c r="J193" s="43" t="s">
        <v>68</v>
      </c>
      <c r="K193" s="43"/>
      <c r="L193" s="43" t="s">
        <v>69</v>
      </c>
      <c r="M193" s="43">
        <v>3</v>
      </c>
      <c r="N193" s="43">
        <v>3</v>
      </c>
      <c r="O193" s="43" t="s">
        <v>69</v>
      </c>
      <c r="P193" s="43">
        <v>4</v>
      </c>
      <c r="Q193" s="43">
        <v>4</v>
      </c>
      <c r="R193" s="43" t="s">
        <v>69</v>
      </c>
      <c r="S193" s="43">
        <v>5</v>
      </c>
      <c r="T193" s="43">
        <v>5</v>
      </c>
      <c r="U193" s="42" t="s">
        <v>5611</v>
      </c>
      <c r="V193" s="42">
        <v>106.74</v>
      </c>
      <c r="W193" s="42">
        <v>106.74</v>
      </c>
      <c r="X193" s="42" t="s">
        <v>5734</v>
      </c>
      <c r="Y193" s="42" t="s">
        <v>5735</v>
      </c>
      <c r="Z193" s="43" t="s">
        <v>4743</v>
      </c>
      <c r="AA193" s="43" t="s">
        <v>4742</v>
      </c>
      <c r="AC193" s="42" t="s">
        <v>4684</v>
      </c>
      <c r="AD193" s="42" t="s">
        <v>4685</v>
      </c>
      <c r="AE193" s="42" t="s">
        <v>4686</v>
      </c>
      <c r="AF193" s="42" t="s">
        <v>409</v>
      </c>
      <c r="AG193" s="42" t="s">
        <v>4685</v>
      </c>
      <c r="AH193" t="s">
        <v>5611</v>
      </c>
      <c r="AI193" s="42" t="s">
        <v>4959</v>
      </c>
      <c r="AJ193" s="42" t="s">
        <v>5614</v>
      </c>
      <c r="AL193" s="42" t="s">
        <v>5615</v>
      </c>
      <c r="AM193" s="43">
        <v>106.74</v>
      </c>
      <c r="AN193" s="43">
        <v>106.74</v>
      </c>
      <c r="AO193" s="43" t="s">
        <v>70</v>
      </c>
      <c r="AQ193" s="43">
        <v>1</v>
      </c>
      <c r="AR193" s="42" t="s">
        <v>5736</v>
      </c>
      <c r="AU193" s="64"/>
      <c r="AV193" s="64">
        <v>62</v>
      </c>
      <c r="AW193" s="64" t="s">
        <v>4955</v>
      </c>
      <c r="AX193" s="64" t="s">
        <v>4744</v>
      </c>
      <c r="AY193" s="66" t="s">
        <v>478</v>
      </c>
      <c r="AZ193" s="66" t="s">
        <v>409</v>
      </c>
      <c r="BA193" s="64">
        <v>106.74</v>
      </c>
      <c r="BB193" s="64">
        <v>106.74</v>
      </c>
      <c r="BC193" s="64" t="s">
        <v>5734</v>
      </c>
      <c r="BD193" s="64" t="s">
        <v>5735</v>
      </c>
      <c r="BE193" s="64" t="s">
        <v>5734</v>
      </c>
      <c r="BF193" s="64" t="s">
        <v>5735</v>
      </c>
      <c r="BG193" s="64" t="s">
        <v>4963</v>
      </c>
      <c r="BH193" s="64" t="s">
        <v>5611</v>
      </c>
      <c r="BI193" s="64" t="s">
        <v>5733</v>
      </c>
      <c r="BJ193" s="79"/>
      <c r="BK193" s="64" t="s">
        <v>474</v>
      </c>
      <c r="BL193" s="64" t="s">
        <v>474</v>
      </c>
      <c r="BM193" s="66" t="s">
        <v>1271</v>
      </c>
      <c r="BN193" s="66" t="s">
        <v>1468</v>
      </c>
      <c r="BO193" s="66" t="s">
        <v>1468</v>
      </c>
      <c r="BP193" s="66" t="s">
        <v>1474</v>
      </c>
      <c r="BQ193" s="66" t="s">
        <v>1479</v>
      </c>
      <c r="BR193" s="79"/>
      <c r="BS193" s="64">
        <v>0.01</v>
      </c>
      <c r="BT193" s="66">
        <v>30</v>
      </c>
      <c r="BU193" s="79"/>
      <c r="BV193" s="79"/>
      <c r="BW193" s="79"/>
      <c r="BX193" s="79"/>
      <c r="BY193" s="79"/>
      <c r="BZ193" s="79"/>
      <c r="CA193" s="79"/>
      <c r="CB193" s="79"/>
      <c r="CC193" s="79"/>
      <c r="CD193" s="79"/>
      <c r="CE193" s="79"/>
      <c r="CF193" s="79"/>
      <c r="CG193" s="79"/>
      <c r="CH193" s="79"/>
      <c r="CI193" s="79"/>
      <c r="CJ193" s="79"/>
      <c r="CK193" s="79"/>
      <c r="CL193" s="79"/>
      <c r="CM193" s="79"/>
      <c r="CN193" s="79"/>
      <c r="CO193" s="79"/>
      <c r="CP193" s="79"/>
      <c r="CQ193" s="79"/>
      <c r="CR193" s="79"/>
      <c r="CS193" s="79"/>
      <c r="CT193" s="79"/>
      <c r="CU193" s="79"/>
      <c r="CV193" s="79"/>
      <c r="CW193" s="79"/>
      <c r="CX193" s="79"/>
      <c r="CY193" s="79"/>
      <c r="CZ193" s="79"/>
      <c r="DA193" s="79"/>
      <c r="DB193" s="79"/>
      <c r="DC193" s="79"/>
      <c r="DD193" s="79"/>
      <c r="DE193" s="79"/>
      <c r="DF193" s="79"/>
      <c r="DG193" s="79"/>
      <c r="DH193" s="79"/>
      <c r="DI193" s="79"/>
      <c r="DJ193" s="79"/>
      <c r="DK193" s="79"/>
      <c r="DL193" s="79"/>
      <c r="DM193" s="79"/>
      <c r="DN193" s="79"/>
      <c r="DO193" s="79"/>
      <c r="DP193" s="79"/>
      <c r="DQ193" s="79"/>
      <c r="DR193" s="79"/>
      <c r="DS193" s="79"/>
      <c r="DT193" s="79"/>
      <c r="DU193" s="79"/>
      <c r="DV193" s="79"/>
      <c r="DW193" s="79"/>
      <c r="DX193" s="79"/>
      <c r="DY193" s="78"/>
    </row>
    <row r="194" spans="1:129" x14ac:dyDescent="0.35">
      <c r="A194" s="42" t="s">
        <v>4743</v>
      </c>
      <c r="B194" s="42" t="s">
        <v>5737</v>
      </c>
      <c r="C194" s="42" t="s">
        <v>409</v>
      </c>
      <c r="D194" s="43" t="s">
        <v>410</v>
      </c>
      <c r="F194" s="44" t="s">
        <v>5738</v>
      </c>
      <c r="G194" s="42" t="s">
        <v>4955</v>
      </c>
      <c r="H194" s="42" t="s">
        <v>68</v>
      </c>
      <c r="I194" s="43" t="s">
        <v>68</v>
      </c>
      <c r="J194" s="43" t="s">
        <v>68</v>
      </c>
      <c r="K194" s="43"/>
      <c r="L194" s="43" t="s">
        <v>69</v>
      </c>
      <c r="M194" s="43">
        <v>3</v>
      </c>
      <c r="N194" s="43">
        <v>3</v>
      </c>
      <c r="O194" s="43" t="s">
        <v>69</v>
      </c>
      <c r="P194" s="43">
        <v>4</v>
      </c>
      <c r="Q194" s="43">
        <v>4</v>
      </c>
      <c r="R194" s="43" t="s">
        <v>69</v>
      </c>
      <c r="S194" s="43">
        <v>5</v>
      </c>
      <c r="T194" s="43">
        <v>5</v>
      </c>
      <c r="U194" s="42" t="s">
        <v>5611</v>
      </c>
      <c r="V194" s="42">
        <v>106.74</v>
      </c>
      <c r="W194" s="42">
        <v>106.74</v>
      </c>
      <c r="X194" s="42" t="s">
        <v>5739</v>
      </c>
      <c r="Y194" s="42" t="s">
        <v>5740</v>
      </c>
      <c r="Z194" s="43" t="s">
        <v>4743</v>
      </c>
      <c r="AA194" s="43" t="s">
        <v>4742</v>
      </c>
      <c r="AC194" s="42" t="s">
        <v>4684</v>
      </c>
      <c r="AD194" s="42" t="s">
        <v>4685</v>
      </c>
      <c r="AE194" s="42" t="s">
        <v>4686</v>
      </c>
      <c r="AF194" s="42" t="s">
        <v>409</v>
      </c>
      <c r="AG194" s="42" t="s">
        <v>4685</v>
      </c>
      <c r="AH194" t="s">
        <v>5611</v>
      </c>
      <c r="AI194" s="42" t="s">
        <v>4959</v>
      </c>
      <c r="AJ194" s="42" t="s">
        <v>5614</v>
      </c>
      <c r="AL194" s="42" t="s">
        <v>5615</v>
      </c>
      <c r="AM194" s="43">
        <v>106.74</v>
      </c>
      <c r="AN194" s="43">
        <v>106.74</v>
      </c>
      <c r="AO194" s="43" t="s">
        <v>70</v>
      </c>
      <c r="AQ194" s="43">
        <v>1</v>
      </c>
      <c r="AR194" s="42" t="s">
        <v>5741</v>
      </c>
      <c r="AU194" s="64"/>
      <c r="AV194" s="64">
        <v>62</v>
      </c>
      <c r="AW194" s="64" t="s">
        <v>4955</v>
      </c>
      <c r="AX194" s="64" t="s">
        <v>4744</v>
      </c>
      <c r="AY194" s="66" t="s">
        <v>478</v>
      </c>
      <c r="AZ194" s="66" t="s">
        <v>409</v>
      </c>
      <c r="BA194" s="64">
        <v>106.74</v>
      </c>
      <c r="BB194" s="64">
        <v>106.74</v>
      </c>
      <c r="BC194" s="64" t="s">
        <v>5739</v>
      </c>
      <c r="BD194" s="64" t="s">
        <v>5740</v>
      </c>
      <c r="BE194" s="64" t="s">
        <v>5739</v>
      </c>
      <c r="BF194" s="64" t="s">
        <v>5740</v>
      </c>
      <c r="BG194" s="64" t="s">
        <v>4963</v>
      </c>
      <c r="BH194" s="64" t="s">
        <v>5611</v>
      </c>
      <c r="BI194" s="64" t="s">
        <v>5738</v>
      </c>
      <c r="BJ194" s="79"/>
      <c r="BK194" s="64" t="s">
        <v>474</v>
      </c>
      <c r="BL194" s="64" t="s">
        <v>474</v>
      </c>
      <c r="BM194" s="66" t="s">
        <v>1271</v>
      </c>
      <c r="BN194" s="66" t="s">
        <v>1468</v>
      </c>
      <c r="BO194" s="66" t="s">
        <v>1468</v>
      </c>
      <c r="BP194" s="66" t="s">
        <v>1474</v>
      </c>
      <c r="BQ194" s="66" t="s">
        <v>1479</v>
      </c>
      <c r="BR194" s="79"/>
      <c r="BS194" s="64">
        <v>0.01</v>
      </c>
      <c r="BT194" s="66">
        <v>30</v>
      </c>
      <c r="BU194" s="79"/>
      <c r="BV194" s="79"/>
      <c r="BW194" s="79"/>
      <c r="BX194" s="79"/>
      <c r="BY194" s="79"/>
      <c r="BZ194" s="79"/>
      <c r="CA194" s="79"/>
      <c r="CB194" s="79"/>
      <c r="CC194" s="79"/>
      <c r="CD194" s="79"/>
      <c r="CE194" s="79"/>
      <c r="CF194" s="79"/>
      <c r="CG194" s="79"/>
      <c r="CH194" s="79"/>
      <c r="CI194" s="79"/>
      <c r="CJ194" s="79"/>
      <c r="CK194" s="79"/>
      <c r="CL194" s="79"/>
      <c r="CM194" s="79"/>
      <c r="CN194" s="79"/>
      <c r="CO194" s="79"/>
      <c r="CP194" s="79"/>
      <c r="CQ194" s="79"/>
      <c r="CR194" s="79"/>
      <c r="CS194" s="79"/>
      <c r="CT194" s="79"/>
      <c r="CU194" s="79"/>
      <c r="CV194" s="79"/>
      <c r="CW194" s="79"/>
      <c r="CX194" s="79"/>
      <c r="CY194" s="79"/>
      <c r="CZ194" s="79"/>
      <c r="DA194" s="79"/>
      <c r="DB194" s="79"/>
      <c r="DC194" s="79"/>
      <c r="DD194" s="79"/>
      <c r="DE194" s="79"/>
      <c r="DF194" s="79"/>
      <c r="DG194" s="79"/>
      <c r="DH194" s="79"/>
      <c r="DI194" s="79"/>
      <c r="DJ194" s="79"/>
      <c r="DK194" s="79"/>
      <c r="DL194" s="79"/>
      <c r="DM194" s="79"/>
      <c r="DN194" s="79"/>
      <c r="DO194" s="79"/>
      <c r="DP194" s="79"/>
      <c r="DQ194" s="79"/>
      <c r="DR194" s="79"/>
      <c r="DS194" s="79"/>
      <c r="DT194" s="79"/>
      <c r="DU194" s="79"/>
      <c r="DV194" s="79"/>
      <c r="DW194" s="79"/>
      <c r="DX194" s="79"/>
      <c r="DY194" s="78"/>
    </row>
    <row r="195" spans="1:129" x14ac:dyDescent="0.35">
      <c r="A195" s="42" t="s">
        <v>4743</v>
      </c>
      <c r="B195" s="42" t="s">
        <v>5742</v>
      </c>
      <c r="C195" s="42" t="s">
        <v>409</v>
      </c>
      <c r="D195" s="43" t="s">
        <v>410</v>
      </c>
      <c r="F195" s="44" t="s">
        <v>5743</v>
      </c>
      <c r="G195" s="42" t="s">
        <v>4955</v>
      </c>
      <c r="H195" s="42" t="s">
        <v>68</v>
      </c>
      <c r="I195" s="43" t="s">
        <v>68</v>
      </c>
      <c r="J195" s="43" t="s">
        <v>68</v>
      </c>
      <c r="K195" s="43"/>
      <c r="L195" s="43" t="s">
        <v>69</v>
      </c>
      <c r="M195" s="43">
        <v>3</v>
      </c>
      <c r="N195" s="43">
        <v>3</v>
      </c>
      <c r="O195" s="43" t="s">
        <v>69</v>
      </c>
      <c r="P195" s="43">
        <v>4</v>
      </c>
      <c r="Q195" s="43">
        <v>4</v>
      </c>
      <c r="R195" s="43" t="s">
        <v>69</v>
      </c>
      <c r="S195" s="43">
        <v>5</v>
      </c>
      <c r="T195" s="43">
        <v>5</v>
      </c>
      <c r="U195" s="42" t="s">
        <v>5611</v>
      </c>
      <c r="V195" s="42">
        <v>106.73</v>
      </c>
      <c r="W195" s="42">
        <v>106.74</v>
      </c>
      <c r="X195" s="42" t="s">
        <v>5744</v>
      </c>
      <c r="Y195" s="42" t="s">
        <v>5745</v>
      </c>
      <c r="Z195" s="43" t="s">
        <v>4743</v>
      </c>
      <c r="AA195" s="43" t="s">
        <v>4742</v>
      </c>
      <c r="AC195" s="42" t="s">
        <v>4684</v>
      </c>
      <c r="AD195" s="42" t="s">
        <v>4685</v>
      </c>
      <c r="AE195" s="42" t="s">
        <v>4686</v>
      </c>
      <c r="AF195" s="42" t="s">
        <v>409</v>
      </c>
      <c r="AG195" s="42" t="s">
        <v>4685</v>
      </c>
      <c r="AH195" t="s">
        <v>5611</v>
      </c>
      <c r="AI195" s="42" t="s">
        <v>4959</v>
      </c>
      <c r="AJ195" s="42" t="s">
        <v>5614</v>
      </c>
      <c r="AL195" s="42" t="s">
        <v>5615</v>
      </c>
      <c r="AM195" s="43">
        <v>106.73</v>
      </c>
      <c r="AN195" s="43">
        <v>106.74</v>
      </c>
      <c r="AO195" s="43" t="s">
        <v>70</v>
      </c>
      <c r="AQ195" s="43">
        <v>1</v>
      </c>
      <c r="AR195" s="42" t="s">
        <v>5746</v>
      </c>
      <c r="AU195" s="64"/>
      <c r="AV195" s="64">
        <v>62</v>
      </c>
      <c r="AW195" s="64" t="s">
        <v>4955</v>
      </c>
      <c r="AX195" s="64" t="s">
        <v>4744</v>
      </c>
      <c r="AY195" s="66" t="s">
        <v>478</v>
      </c>
      <c r="AZ195" s="66" t="s">
        <v>409</v>
      </c>
      <c r="BA195" s="64">
        <v>106.73</v>
      </c>
      <c r="BB195" s="64">
        <v>106.74</v>
      </c>
      <c r="BC195" s="64" t="s">
        <v>5744</v>
      </c>
      <c r="BD195" s="64" t="s">
        <v>5745</v>
      </c>
      <c r="BE195" s="64" t="s">
        <v>5744</v>
      </c>
      <c r="BF195" s="64" t="s">
        <v>5745</v>
      </c>
      <c r="BG195" s="64" t="s">
        <v>4963</v>
      </c>
      <c r="BH195" s="64" t="s">
        <v>5611</v>
      </c>
      <c r="BI195" s="64" t="s">
        <v>5743</v>
      </c>
      <c r="BJ195" s="79"/>
      <c r="BK195" s="64" t="s">
        <v>474</v>
      </c>
      <c r="BL195" s="64" t="s">
        <v>474</v>
      </c>
      <c r="BM195" s="66" t="s">
        <v>1271</v>
      </c>
      <c r="BN195" s="66" t="s">
        <v>1468</v>
      </c>
      <c r="BO195" s="66" t="s">
        <v>1468</v>
      </c>
      <c r="BP195" s="66" t="s">
        <v>1474</v>
      </c>
      <c r="BQ195" s="66" t="s">
        <v>1479</v>
      </c>
      <c r="BR195" s="79"/>
      <c r="BS195" s="64">
        <v>0.01</v>
      </c>
      <c r="BT195" s="66">
        <v>30</v>
      </c>
      <c r="BU195" s="79"/>
      <c r="BV195" s="79"/>
      <c r="BW195" s="79"/>
      <c r="BX195" s="79"/>
      <c r="BY195" s="79"/>
      <c r="BZ195" s="79"/>
      <c r="CA195" s="79"/>
      <c r="CB195" s="79"/>
      <c r="CC195" s="79"/>
      <c r="CD195" s="79"/>
      <c r="CE195" s="79"/>
      <c r="CF195" s="79"/>
      <c r="CG195" s="79"/>
      <c r="CH195" s="79"/>
      <c r="CI195" s="79"/>
      <c r="CJ195" s="79"/>
      <c r="CK195" s="79"/>
      <c r="CL195" s="79"/>
      <c r="CM195" s="79"/>
      <c r="CN195" s="79"/>
      <c r="CO195" s="79"/>
      <c r="CP195" s="79"/>
      <c r="CQ195" s="79"/>
      <c r="CR195" s="79"/>
      <c r="CS195" s="79"/>
      <c r="CT195" s="79"/>
      <c r="CU195" s="79"/>
      <c r="CV195" s="79"/>
      <c r="CW195" s="79"/>
      <c r="CX195" s="79"/>
      <c r="CY195" s="79"/>
      <c r="CZ195" s="79"/>
      <c r="DA195" s="79"/>
      <c r="DB195" s="79"/>
      <c r="DC195" s="79"/>
      <c r="DD195" s="79"/>
      <c r="DE195" s="79"/>
      <c r="DF195" s="79"/>
      <c r="DG195" s="79"/>
      <c r="DH195" s="79"/>
      <c r="DI195" s="79"/>
      <c r="DJ195" s="79"/>
      <c r="DK195" s="79"/>
      <c r="DL195" s="79"/>
      <c r="DM195" s="79"/>
      <c r="DN195" s="79"/>
      <c r="DO195" s="79"/>
      <c r="DP195" s="79"/>
      <c r="DQ195" s="79"/>
      <c r="DR195" s="79"/>
      <c r="DS195" s="79"/>
      <c r="DT195" s="79"/>
      <c r="DU195" s="79"/>
      <c r="DV195" s="79"/>
      <c r="DW195" s="79"/>
      <c r="DX195" s="79"/>
      <c r="DY195" s="78"/>
    </row>
    <row r="196" spans="1:129" x14ac:dyDescent="0.35">
      <c r="A196" s="42" t="s">
        <v>4743</v>
      </c>
      <c r="B196" s="42" t="s">
        <v>5747</v>
      </c>
      <c r="C196" s="42" t="s">
        <v>409</v>
      </c>
      <c r="D196" s="43" t="s">
        <v>410</v>
      </c>
      <c r="F196" s="44" t="s">
        <v>5748</v>
      </c>
      <c r="G196" s="42" t="s">
        <v>4955</v>
      </c>
      <c r="H196" s="42" t="s">
        <v>68</v>
      </c>
      <c r="I196" s="43" t="s">
        <v>68</v>
      </c>
      <c r="J196" s="43" t="s">
        <v>68</v>
      </c>
      <c r="K196" s="43"/>
      <c r="L196" s="43" t="s">
        <v>69</v>
      </c>
      <c r="M196" s="43">
        <v>3</v>
      </c>
      <c r="N196" s="43">
        <v>3</v>
      </c>
      <c r="O196" s="43" t="s">
        <v>69</v>
      </c>
      <c r="P196" s="43">
        <v>4</v>
      </c>
      <c r="Q196" s="43">
        <v>4</v>
      </c>
      <c r="R196" s="43" t="s">
        <v>69</v>
      </c>
      <c r="S196" s="43">
        <v>5</v>
      </c>
      <c r="T196" s="43">
        <v>5</v>
      </c>
      <c r="U196" s="42" t="s">
        <v>5611</v>
      </c>
      <c r="V196" s="42">
        <v>106.73</v>
      </c>
      <c r="W196" s="42">
        <v>106.73</v>
      </c>
      <c r="X196" s="42" t="s">
        <v>5749</v>
      </c>
      <c r="Y196" s="42" t="s">
        <v>5750</v>
      </c>
      <c r="Z196" s="43" t="s">
        <v>4743</v>
      </c>
      <c r="AA196" s="43" t="s">
        <v>4742</v>
      </c>
      <c r="AC196" s="42" t="s">
        <v>4684</v>
      </c>
      <c r="AD196" s="42" t="s">
        <v>4685</v>
      </c>
      <c r="AE196" s="42" t="s">
        <v>4686</v>
      </c>
      <c r="AF196" s="42" t="s">
        <v>409</v>
      </c>
      <c r="AG196" s="42" t="s">
        <v>4685</v>
      </c>
      <c r="AH196" t="s">
        <v>5611</v>
      </c>
      <c r="AI196" s="42" t="s">
        <v>4959</v>
      </c>
      <c r="AJ196" s="42" t="s">
        <v>5614</v>
      </c>
      <c r="AL196" s="42" t="s">
        <v>5615</v>
      </c>
      <c r="AM196" s="43">
        <v>106.73</v>
      </c>
      <c r="AN196" s="43">
        <v>106.73</v>
      </c>
      <c r="AO196" s="43" t="s">
        <v>70</v>
      </c>
      <c r="AQ196" s="43">
        <v>1</v>
      </c>
      <c r="AR196" s="42" t="s">
        <v>5751</v>
      </c>
      <c r="AU196" s="64"/>
      <c r="AV196" s="64">
        <v>62</v>
      </c>
      <c r="AW196" s="64" t="s">
        <v>4955</v>
      </c>
      <c r="AX196" s="64" t="s">
        <v>4744</v>
      </c>
      <c r="AY196" s="66" t="s">
        <v>478</v>
      </c>
      <c r="AZ196" s="66" t="s">
        <v>409</v>
      </c>
      <c r="BA196" s="64">
        <v>106.73</v>
      </c>
      <c r="BB196" s="64">
        <v>106.73</v>
      </c>
      <c r="BC196" s="64" t="s">
        <v>5749</v>
      </c>
      <c r="BD196" s="64" t="s">
        <v>5750</v>
      </c>
      <c r="BE196" s="64" t="s">
        <v>5749</v>
      </c>
      <c r="BF196" s="64" t="s">
        <v>5750</v>
      </c>
      <c r="BG196" s="64" t="s">
        <v>4963</v>
      </c>
      <c r="BH196" s="64" t="s">
        <v>5611</v>
      </c>
      <c r="BI196" s="64" t="s">
        <v>5748</v>
      </c>
      <c r="BJ196" s="79"/>
      <c r="BK196" s="64" t="s">
        <v>474</v>
      </c>
      <c r="BL196" s="64" t="s">
        <v>474</v>
      </c>
      <c r="BM196" s="66" t="s">
        <v>1271</v>
      </c>
      <c r="BN196" s="66" t="s">
        <v>1468</v>
      </c>
      <c r="BO196" s="66" t="s">
        <v>1468</v>
      </c>
      <c r="BP196" s="66" t="s">
        <v>1474</v>
      </c>
      <c r="BQ196" s="66" t="s">
        <v>1479</v>
      </c>
      <c r="BR196" s="79"/>
      <c r="BS196" s="64">
        <v>0.01</v>
      </c>
      <c r="BT196" s="66">
        <v>30</v>
      </c>
      <c r="BU196" s="79"/>
      <c r="BV196" s="79"/>
      <c r="BW196" s="79"/>
      <c r="BX196" s="79"/>
      <c r="BY196" s="79"/>
      <c r="BZ196" s="79"/>
      <c r="CA196" s="79"/>
      <c r="CB196" s="79"/>
      <c r="CC196" s="79"/>
      <c r="CD196" s="79"/>
      <c r="CE196" s="79"/>
      <c r="CF196" s="79"/>
      <c r="CG196" s="79"/>
      <c r="CH196" s="79"/>
      <c r="CI196" s="79"/>
      <c r="CJ196" s="79"/>
      <c r="CK196" s="79"/>
      <c r="CL196" s="79"/>
      <c r="CM196" s="79"/>
      <c r="CN196" s="79"/>
      <c r="CO196" s="79"/>
      <c r="CP196" s="79"/>
      <c r="CQ196" s="79"/>
      <c r="CR196" s="79"/>
      <c r="CS196" s="79"/>
      <c r="CT196" s="79"/>
      <c r="CU196" s="79"/>
      <c r="CV196" s="79"/>
      <c r="CW196" s="79"/>
      <c r="CX196" s="79"/>
      <c r="CY196" s="79"/>
      <c r="CZ196" s="79"/>
      <c r="DA196" s="79"/>
      <c r="DB196" s="79"/>
      <c r="DC196" s="79"/>
      <c r="DD196" s="79"/>
      <c r="DE196" s="79"/>
      <c r="DF196" s="79"/>
      <c r="DG196" s="79"/>
      <c r="DH196" s="79"/>
      <c r="DI196" s="79"/>
      <c r="DJ196" s="79"/>
      <c r="DK196" s="79"/>
      <c r="DL196" s="79"/>
      <c r="DM196" s="79"/>
      <c r="DN196" s="79"/>
      <c r="DO196" s="79"/>
      <c r="DP196" s="79"/>
      <c r="DQ196" s="79"/>
      <c r="DR196" s="79"/>
      <c r="DS196" s="79"/>
      <c r="DT196" s="79"/>
      <c r="DU196" s="79"/>
      <c r="DV196" s="79"/>
      <c r="DW196" s="79"/>
      <c r="DX196" s="79"/>
      <c r="DY196" s="78"/>
    </row>
    <row r="197" spans="1:129" x14ac:dyDescent="0.35">
      <c r="A197" s="42" t="s">
        <v>4743</v>
      </c>
      <c r="B197" s="42" t="s">
        <v>5752</v>
      </c>
      <c r="C197" s="42" t="s">
        <v>409</v>
      </c>
      <c r="D197" s="43" t="s">
        <v>410</v>
      </c>
      <c r="F197" s="44" t="s">
        <v>5753</v>
      </c>
      <c r="G197" s="42" t="s">
        <v>4955</v>
      </c>
      <c r="H197" s="42" t="s">
        <v>68</v>
      </c>
      <c r="I197" s="43" t="s">
        <v>68</v>
      </c>
      <c r="J197" s="43" t="s">
        <v>68</v>
      </c>
      <c r="K197" s="43"/>
      <c r="L197" s="43" t="s">
        <v>69</v>
      </c>
      <c r="M197" s="43">
        <v>3</v>
      </c>
      <c r="N197" s="43">
        <v>3</v>
      </c>
      <c r="O197" s="43" t="s">
        <v>69</v>
      </c>
      <c r="P197" s="43">
        <v>4</v>
      </c>
      <c r="Q197" s="43">
        <v>4</v>
      </c>
      <c r="R197" s="43" t="s">
        <v>69</v>
      </c>
      <c r="S197" s="43">
        <v>5</v>
      </c>
      <c r="T197" s="43">
        <v>5</v>
      </c>
      <c r="U197" s="42" t="s">
        <v>5611</v>
      </c>
      <c r="V197" s="42">
        <v>106.73</v>
      </c>
      <c r="W197" s="42">
        <v>106.73</v>
      </c>
      <c r="X197" s="42" t="s">
        <v>5754</v>
      </c>
      <c r="Y197" s="42" t="s">
        <v>5755</v>
      </c>
      <c r="Z197" s="43" t="s">
        <v>4743</v>
      </c>
      <c r="AA197" s="43" t="s">
        <v>4742</v>
      </c>
      <c r="AC197" s="42" t="s">
        <v>4684</v>
      </c>
      <c r="AD197" s="42" t="s">
        <v>4685</v>
      </c>
      <c r="AE197" s="42" t="s">
        <v>4686</v>
      </c>
      <c r="AF197" s="42" t="s">
        <v>409</v>
      </c>
      <c r="AG197" s="42" t="s">
        <v>4685</v>
      </c>
      <c r="AH197" t="s">
        <v>5611</v>
      </c>
      <c r="AI197" s="42" t="s">
        <v>4959</v>
      </c>
      <c r="AJ197" s="42" t="s">
        <v>5614</v>
      </c>
      <c r="AL197" s="42" t="s">
        <v>5615</v>
      </c>
      <c r="AM197" s="43">
        <v>106.73</v>
      </c>
      <c r="AN197" s="43">
        <v>106.73</v>
      </c>
      <c r="AO197" s="43" t="s">
        <v>70</v>
      </c>
      <c r="AQ197" s="43">
        <v>1</v>
      </c>
      <c r="AR197" s="42" t="s">
        <v>5756</v>
      </c>
      <c r="AU197" s="64"/>
      <c r="AV197" s="64">
        <v>62</v>
      </c>
      <c r="AW197" s="64" t="s">
        <v>4955</v>
      </c>
      <c r="AX197" s="64" t="s">
        <v>4744</v>
      </c>
      <c r="AY197" s="66" t="s">
        <v>478</v>
      </c>
      <c r="AZ197" s="66" t="s">
        <v>409</v>
      </c>
      <c r="BA197" s="64">
        <v>106.73</v>
      </c>
      <c r="BB197" s="64">
        <v>106.73</v>
      </c>
      <c r="BC197" s="64" t="s">
        <v>5754</v>
      </c>
      <c r="BD197" s="64" t="s">
        <v>5755</v>
      </c>
      <c r="BE197" s="64" t="s">
        <v>5754</v>
      </c>
      <c r="BF197" s="64" t="s">
        <v>5755</v>
      </c>
      <c r="BG197" s="64" t="s">
        <v>4963</v>
      </c>
      <c r="BH197" s="64" t="s">
        <v>5611</v>
      </c>
      <c r="BI197" s="64" t="s">
        <v>5753</v>
      </c>
      <c r="BJ197" s="79"/>
      <c r="BK197" s="64" t="s">
        <v>474</v>
      </c>
      <c r="BL197" s="64" t="s">
        <v>474</v>
      </c>
      <c r="BM197" s="66" t="s">
        <v>1271</v>
      </c>
      <c r="BN197" s="66" t="s">
        <v>1468</v>
      </c>
      <c r="BO197" s="66" t="s">
        <v>1468</v>
      </c>
      <c r="BP197" s="66" t="s">
        <v>1474</v>
      </c>
      <c r="BQ197" s="66" t="s">
        <v>1479</v>
      </c>
      <c r="BR197" s="79"/>
      <c r="BS197" s="64">
        <v>0.01</v>
      </c>
      <c r="BT197" s="66">
        <v>30</v>
      </c>
      <c r="BU197" s="79"/>
      <c r="BV197" s="79"/>
      <c r="BW197" s="79"/>
      <c r="BX197" s="79"/>
      <c r="BY197" s="79"/>
      <c r="BZ197" s="79"/>
      <c r="CA197" s="79"/>
      <c r="CB197" s="79"/>
      <c r="CC197" s="79"/>
      <c r="CD197" s="79"/>
      <c r="CE197" s="79"/>
      <c r="CF197" s="79"/>
      <c r="CG197" s="79"/>
      <c r="CH197" s="79"/>
      <c r="CI197" s="79"/>
      <c r="CJ197" s="79"/>
      <c r="CK197" s="79"/>
      <c r="CL197" s="79"/>
      <c r="CM197" s="79"/>
      <c r="CN197" s="79"/>
      <c r="CO197" s="79"/>
      <c r="CP197" s="79"/>
      <c r="CQ197" s="79"/>
      <c r="CR197" s="79"/>
      <c r="CS197" s="79"/>
      <c r="CT197" s="79"/>
      <c r="CU197" s="79"/>
      <c r="CV197" s="79"/>
      <c r="CW197" s="79"/>
      <c r="CX197" s="79"/>
      <c r="CY197" s="79"/>
      <c r="CZ197" s="79"/>
      <c r="DA197" s="79"/>
      <c r="DB197" s="79"/>
      <c r="DC197" s="79"/>
      <c r="DD197" s="79"/>
      <c r="DE197" s="79"/>
      <c r="DF197" s="79"/>
      <c r="DG197" s="79"/>
      <c r="DH197" s="79"/>
      <c r="DI197" s="79"/>
      <c r="DJ197" s="79"/>
      <c r="DK197" s="79"/>
      <c r="DL197" s="79"/>
      <c r="DM197" s="79"/>
      <c r="DN197" s="79"/>
      <c r="DO197" s="79"/>
      <c r="DP197" s="79"/>
      <c r="DQ197" s="79"/>
      <c r="DR197" s="79"/>
      <c r="DS197" s="79"/>
      <c r="DT197" s="79"/>
      <c r="DU197" s="79"/>
      <c r="DV197" s="79"/>
      <c r="DW197" s="79"/>
      <c r="DX197" s="79"/>
      <c r="DY197" s="78"/>
    </row>
    <row r="198" spans="1:129" x14ac:dyDescent="0.35">
      <c r="A198" s="42" t="s">
        <v>4743</v>
      </c>
      <c r="B198" s="42" t="s">
        <v>5757</v>
      </c>
      <c r="C198" s="42" t="s">
        <v>409</v>
      </c>
      <c r="D198" s="43" t="s">
        <v>410</v>
      </c>
      <c r="F198" s="44" t="s">
        <v>5758</v>
      </c>
      <c r="G198" s="42" t="s">
        <v>4955</v>
      </c>
      <c r="H198" s="42" t="s">
        <v>68</v>
      </c>
      <c r="I198" s="43" t="s">
        <v>68</v>
      </c>
      <c r="J198" s="43" t="s">
        <v>68</v>
      </c>
      <c r="K198" s="43"/>
      <c r="L198" s="43" t="s">
        <v>69</v>
      </c>
      <c r="M198" s="43">
        <v>3</v>
      </c>
      <c r="N198" s="43">
        <v>3</v>
      </c>
      <c r="O198" s="43" t="s">
        <v>69</v>
      </c>
      <c r="P198" s="43">
        <v>4</v>
      </c>
      <c r="Q198" s="43">
        <v>4</v>
      </c>
      <c r="R198" s="43" t="s">
        <v>69</v>
      </c>
      <c r="S198" s="43">
        <v>5</v>
      </c>
      <c r="T198" s="43">
        <v>5</v>
      </c>
      <c r="U198" s="42" t="s">
        <v>5611</v>
      </c>
      <c r="V198" s="42">
        <v>106.73</v>
      </c>
      <c r="W198" s="42">
        <v>106.73</v>
      </c>
      <c r="X198" s="42" t="s">
        <v>5759</v>
      </c>
      <c r="Y198" s="42" t="s">
        <v>5760</v>
      </c>
      <c r="Z198" s="43" t="s">
        <v>4743</v>
      </c>
      <c r="AA198" s="43" t="s">
        <v>4742</v>
      </c>
      <c r="AC198" s="42" t="s">
        <v>4684</v>
      </c>
      <c r="AD198" s="42" t="s">
        <v>4685</v>
      </c>
      <c r="AE198" s="42" t="s">
        <v>4686</v>
      </c>
      <c r="AF198" s="42" t="s">
        <v>409</v>
      </c>
      <c r="AG198" s="42" t="s">
        <v>4685</v>
      </c>
      <c r="AH198" t="s">
        <v>5611</v>
      </c>
      <c r="AI198" s="42" t="s">
        <v>4959</v>
      </c>
      <c r="AJ198" s="42" t="s">
        <v>5614</v>
      </c>
      <c r="AL198" s="42" t="s">
        <v>5615</v>
      </c>
      <c r="AM198" s="43">
        <v>106.73</v>
      </c>
      <c r="AN198" s="43">
        <v>106.73</v>
      </c>
      <c r="AO198" s="43" t="s">
        <v>70</v>
      </c>
      <c r="AQ198" s="43">
        <v>1</v>
      </c>
      <c r="AR198" s="42" t="s">
        <v>5761</v>
      </c>
      <c r="AU198" s="64"/>
      <c r="AV198" s="64">
        <v>62</v>
      </c>
      <c r="AW198" s="64" t="s">
        <v>4955</v>
      </c>
      <c r="AX198" s="64" t="s">
        <v>4744</v>
      </c>
      <c r="AY198" s="66" t="s">
        <v>478</v>
      </c>
      <c r="AZ198" s="66" t="s">
        <v>409</v>
      </c>
      <c r="BA198" s="64">
        <v>106.73</v>
      </c>
      <c r="BB198" s="64">
        <v>106.73</v>
      </c>
      <c r="BC198" s="64" t="s">
        <v>5759</v>
      </c>
      <c r="BD198" s="64" t="s">
        <v>5760</v>
      </c>
      <c r="BE198" s="64" t="s">
        <v>5759</v>
      </c>
      <c r="BF198" s="64" t="s">
        <v>5760</v>
      </c>
      <c r="BG198" s="64" t="s">
        <v>4963</v>
      </c>
      <c r="BH198" s="64" t="s">
        <v>5611</v>
      </c>
      <c r="BI198" s="64" t="s">
        <v>5758</v>
      </c>
      <c r="BJ198" s="79"/>
      <c r="BK198" s="64" t="s">
        <v>474</v>
      </c>
      <c r="BL198" s="64" t="s">
        <v>474</v>
      </c>
      <c r="BM198" s="66" t="s">
        <v>1271</v>
      </c>
      <c r="BN198" s="66" t="s">
        <v>1468</v>
      </c>
      <c r="BO198" s="66" t="s">
        <v>1468</v>
      </c>
      <c r="BP198" s="66" t="s">
        <v>1474</v>
      </c>
      <c r="BQ198" s="66" t="s">
        <v>1479</v>
      </c>
      <c r="BR198" s="79"/>
      <c r="BS198" s="64">
        <v>0.01</v>
      </c>
      <c r="BT198" s="66">
        <v>30</v>
      </c>
      <c r="BU198" s="79"/>
      <c r="BV198" s="79"/>
      <c r="BW198" s="79"/>
      <c r="BX198" s="79"/>
      <c r="BY198" s="79"/>
      <c r="BZ198" s="79"/>
      <c r="CA198" s="79"/>
      <c r="CB198" s="79"/>
      <c r="CC198" s="79"/>
      <c r="CD198" s="79"/>
      <c r="CE198" s="79"/>
      <c r="CF198" s="79"/>
      <c r="CG198" s="79"/>
      <c r="CH198" s="79"/>
      <c r="CI198" s="79"/>
      <c r="CJ198" s="79"/>
      <c r="CK198" s="79"/>
      <c r="CL198" s="79"/>
      <c r="CM198" s="79"/>
      <c r="CN198" s="79"/>
      <c r="CO198" s="79"/>
      <c r="CP198" s="79"/>
      <c r="CQ198" s="79"/>
      <c r="CR198" s="79"/>
      <c r="CS198" s="79"/>
      <c r="CT198" s="79"/>
      <c r="CU198" s="79"/>
      <c r="CV198" s="79"/>
      <c r="CW198" s="79"/>
      <c r="CX198" s="79"/>
      <c r="CY198" s="79"/>
      <c r="CZ198" s="79"/>
      <c r="DA198" s="79"/>
      <c r="DB198" s="79"/>
      <c r="DC198" s="79"/>
      <c r="DD198" s="79"/>
      <c r="DE198" s="79"/>
      <c r="DF198" s="79"/>
      <c r="DG198" s="79"/>
      <c r="DH198" s="79"/>
      <c r="DI198" s="79"/>
      <c r="DJ198" s="79"/>
      <c r="DK198" s="79"/>
      <c r="DL198" s="79"/>
      <c r="DM198" s="79"/>
      <c r="DN198" s="79"/>
      <c r="DO198" s="79"/>
      <c r="DP198" s="79"/>
      <c r="DQ198" s="79"/>
      <c r="DR198" s="79"/>
      <c r="DS198" s="79"/>
      <c r="DT198" s="79"/>
      <c r="DU198" s="79"/>
      <c r="DV198" s="79"/>
      <c r="DW198" s="79"/>
      <c r="DX198" s="79"/>
      <c r="DY198" s="78"/>
    </row>
    <row r="199" spans="1:129" x14ac:dyDescent="0.35">
      <c r="A199" s="42" t="s">
        <v>4743</v>
      </c>
      <c r="B199" s="42" t="s">
        <v>5762</v>
      </c>
      <c r="C199" s="42" t="s">
        <v>409</v>
      </c>
      <c r="D199" s="43" t="s">
        <v>410</v>
      </c>
      <c r="F199" s="44" t="s">
        <v>5763</v>
      </c>
      <c r="G199" s="42" t="s">
        <v>4955</v>
      </c>
      <c r="H199" s="42" t="s">
        <v>68</v>
      </c>
      <c r="I199" s="43" t="s">
        <v>68</v>
      </c>
      <c r="J199" s="43" t="s">
        <v>68</v>
      </c>
      <c r="K199" s="43"/>
      <c r="L199" s="43" t="s">
        <v>69</v>
      </c>
      <c r="M199" s="43">
        <v>3</v>
      </c>
      <c r="N199" s="43">
        <v>3</v>
      </c>
      <c r="O199" s="43" t="s">
        <v>69</v>
      </c>
      <c r="P199" s="43">
        <v>4</v>
      </c>
      <c r="Q199" s="43">
        <v>4</v>
      </c>
      <c r="R199" s="43" t="s">
        <v>69</v>
      </c>
      <c r="S199" s="43">
        <v>5</v>
      </c>
      <c r="T199" s="43">
        <v>5</v>
      </c>
      <c r="U199" s="42" t="s">
        <v>5611</v>
      </c>
      <c r="V199" s="42">
        <v>106.73</v>
      </c>
      <c r="W199" s="42">
        <v>106.73</v>
      </c>
      <c r="X199" s="42" t="s">
        <v>5764</v>
      </c>
      <c r="Y199" s="42" t="s">
        <v>5765</v>
      </c>
      <c r="Z199" s="43" t="s">
        <v>4743</v>
      </c>
      <c r="AA199" s="43" t="s">
        <v>4742</v>
      </c>
      <c r="AC199" s="42" t="s">
        <v>4684</v>
      </c>
      <c r="AD199" s="42" t="s">
        <v>4685</v>
      </c>
      <c r="AE199" s="42" t="s">
        <v>4686</v>
      </c>
      <c r="AF199" s="42" t="s">
        <v>409</v>
      </c>
      <c r="AG199" s="42" t="s">
        <v>4685</v>
      </c>
      <c r="AH199" t="s">
        <v>5611</v>
      </c>
      <c r="AI199" s="42" t="s">
        <v>4959</v>
      </c>
      <c r="AJ199" s="42" t="s">
        <v>5614</v>
      </c>
      <c r="AL199" s="42" t="s">
        <v>5615</v>
      </c>
      <c r="AM199" s="43">
        <v>106.73</v>
      </c>
      <c r="AN199" s="43">
        <v>106.73</v>
      </c>
      <c r="AO199" s="43" t="s">
        <v>70</v>
      </c>
      <c r="AQ199" s="43">
        <v>1</v>
      </c>
      <c r="AR199" s="42" t="s">
        <v>5766</v>
      </c>
      <c r="AU199" s="64"/>
      <c r="AV199" s="64">
        <v>62</v>
      </c>
      <c r="AW199" s="64" t="s">
        <v>4955</v>
      </c>
      <c r="AX199" s="64" t="s">
        <v>4744</v>
      </c>
      <c r="AY199" s="66" t="s">
        <v>478</v>
      </c>
      <c r="AZ199" s="66" t="s">
        <v>409</v>
      </c>
      <c r="BA199" s="64">
        <v>106.73</v>
      </c>
      <c r="BB199" s="64">
        <v>106.73</v>
      </c>
      <c r="BC199" s="64" t="s">
        <v>5764</v>
      </c>
      <c r="BD199" s="64" t="s">
        <v>5765</v>
      </c>
      <c r="BE199" s="64" t="s">
        <v>5764</v>
      </c>
      <c r="BF199" s="64" t="s">
        <v>5765</v>
      </c>
      <c r="BG199" s="64" t="s">
        <v>4963</v>
      </c>
      <c r="BH199" s="64" t="s">
        <v>5611</v>
      </c>
      <c r="BI199" s="64" t="s">
        <v>5763</v>
      </c>
      <c r="BJ199" s="79"/>
      <c r="BK199" s="64" t="s">
        <v>474</v>
      </c>
      <c r="BL199" s="64" t="s">
        <v>474</v>
      </c>
      <c r="BM199" s="66" t="s">
        <v>1271</v>
      </c>
      <c r="BN199" s="66" t="s">
        <v>1468</v>
      </c>
      <c r="BO199" s="66" t="s">
        <v>1468</v>
      </c>
      <c r="BP199" s="66" t="s">
        <v>1474</v>
      </c>
      <c r="BQ199" s="66" t="s">
        <v>1479</v>
      </c>
      <c r="BR199" s="79"/>
      <c r="BS199" s="64">
        <v>0.01</v>
      </c>
      <c r="BT199" s="66">
        <v>30</v>
      </c>
      <c r="BU199" s="79"/>
      <c r="BV199" s="79"/>
      <c r="BW199" s="79"/>
      <c r="BX199" s="79"/>
      <c r="BY199" s="79"/>
      <c r="BZ199" s="79"/>
      <c r="CA199" s="79"/>
      <c r="CB199" s="79"/>
      <c r="CC199" s="79"/>
      <c r="CD199" s="79"/>
      <c r="CE199" s="79"/>
      <c r="CF199" s="79"/>
      <c r="CG199" s="79"/>
      <c r="CH199" s="79"/>
      <c r="CI199" s="79"/>
      <c r="CJ199" s="79"/>
      <c r="CK199" s="79"/>
      <c r="CL199" s="79"/>
      <c r="CM199" s="79"/>
      <c r="CN199" s="79"/>
      <c r="CO199" s="79"/>
      <c r="CP199" s="79"/>
      <c r="CQ199" s="79"/>
      <c r="CR199" s="79"/>
      <c r="CS199" s="79"/>
      <c r="CT199" s="79"/>
      <c r="CU199" s="79"/>
      <c r="CV199" s="79"/>
      <c r="CW199" s="79"/>
      <c r="CX199" s="79"/>
      <c r="CY199" s="79"/>
      <c r="CZ199" s="79"/>
      <c r="DA199" s="79"/>
      <c r="DB199" s="79"/>
      <c r="DC199" s="79"/>
      <c r="DD199" s="79"/>
      <c r="DE199" s="79"/>
      <c r="DF199" s="79"/>
      <c r="DG199" s="79"/>
      <c r="DH199" s="79"/>
      <c r="DI199" s="79"/>
      <c r="DJ199" s="79"/>
      <c r="DK199" s="79"/>
      <c r="DL199" s="79"/>
      <c r="DM199" s="79"/>
      <c r="DN199" s="79"/>
      <c r="DO199" s="79"/>
      <c r="DP199" s="79"/>
      <c r="DQ199" s="79"/>
      <c r="DR199" s="79"/>
      <c r="DS199" s="79"/>
      <c r="DT199" s="79"/>
      <c r="DU199" s="79"/>
      <c r="DV199" s="79"/>
      <c r="DW199" s="79"/>
      <c r="DX199" s="79"/>
      <c r="DY199" s="78"/>
    </row>
    <row r="200" spans="1:129" x14ac:dyDescent="0.35">
      <c r="A200" s="42" t="s">
        <v>4743</v>
      </c>
      <c r="B200" s="42" t="s">
        <v>5767</v>
      </c>
      <c r="C200" s="42" t="s">
        <v>409</v>
      </c>
      <c r="D200" s="43" t="s">
        <v>410</v>
      </c>
      <c r="F200" s="44" t="s">
        <v>5768</v>
      </c>
      <c r="G200" s="42" t="s">
        <v>4955</v>
      </c>
      <c r="H200" s="42" t="s">
        <v>68</v>
      </c>
      <c r="I200" s="43" t="s">
        <v>68</v>
      </c>
      <c r="J200" s="43" t="s">
        <v>68</v>
      </c>
      <c r="K200" s="43"/>
      <c r="L200" s="43" t="s">
        <v>69</v>
      </c>
      <c r="M200" s="43">
        <v>3</v>
      </c>
      <c r="N200" s="43">
        <v>3</v>
      </c>
      <c r="O200" s="43" t="s">
        <v>69</v>
      </c>
      <c r="P200" s="43">
        <v>4</v>
      </c>
      <c r="Q200" s="43">
        <v>4</v>
      </c>
      <c r="R200" s="43" t="s">
        <v>69</v>
      </c>
      <c r="S200" s="43">
        <v>5</v>
      </c>
      <c r="T200" s="43">
        <v>5</v>
      </c>
      <c r="U200" s="42" t="s">
        <v>5611</v>
      </c>
      <c r="V200" s="42">
        <v>106.73</v>
      </c>
      <c r="W200" s="42">
        <v>106.73</v>
      </c>
      <c r="X200" s="42" t="s">
        <v>5769</v>
      </c>
      <c r="Y200" s="42" t="s">
        <v>5770</v>
      </c>
      <c r="Z200" s="43" t="s">
        <v>4743</v>
      </c>
      <c r="AA200" s="43" t="s">
        <v>4742</v>
      </c>
      <c r="AC200" s="42" t="s">
        <v>4684</v>
      </c>
      <c r="AD200" s="42" t="s">
        <v>4685</v>
      </c>
      <c r="AE200" s="42" t="s">
        <v>4686</v>
      </c>
      <c r="AF200" s="42" t="s">
        <v>409</v>
      </c>
      <c r="AG200" s="42" t="s">
        <v>4685</v>
      </c>
      <c r="AH200" t="s">
        <v>5611</v>
      </c>
      <c r="AI200" s="42" t="s">
        <v>4959</v>
      </c>
      <c r="AJ200" s="42" t="s">
        <v>5614</v>
      </c>
      <c r="AL200" s="42" t="s">
        <v>5615</v>
      </c>
      <c r="AM200" s="43">
        <v>106.73</v>
      </c>
      <c r="AN200" s="43">
        <v>106.73</v>
      </c>
      <c r="AO200" s="43" t="s">
        <v>70</v>
      </c>
      <c r="AQ200" s="43">
        <v>1</v>
      </c>
      <c r="AR200" s="42" t="s">
        <v>5771</v>
      </c>
      <c r="AU200" s="64"/>
      <c r="AV200" s="64">
        <v>62</v>
      </c>
      <c r="AW200" s="64" t="s">
        <v>4955</v>
      </c>
      <c r="AX200" s="64" t="s">
        <v>4744</v>
      </c>
      <c r="AY200" s="66" t="s">
        <v>478</v>
      </c>
      <c r="AZ200" s="66" t="s">
        <v>409</v>
      </c>
      <c r="BA200" s="64">
        <v>106.73</v>
      </c>
      <c r="BB200" s="64">
        <v>106.73</v>
      </c>
      <c r="BC200" s="64" t="s">
        <v>5769</v>
      </c>
      <c r="BD200" s="64" t="s">
        <v>5770</v>
      </c>
      <c r="BE200" s="64" t="s">
        <v>5769</v>
      </c>
      <c r="BF200" s="64" t="s">
        <v>5770</v>
      </c>
      <c r="BG200" s="64" t="s">
        <v>4963</v>
      </c>
      <c r="BH200" s="64" t="s">
        <v>5611</v>
      </c>
      <c r="BI200" s="64" t="s">
        <v>5768</v>
      </c>
      <c r="BJ200" s="79"/>
      <c r="BK200" s="64" t="s">
        <v>474</v>
      </c>
      <c r="BL200" s="64" t="s">
        <v>474</v>
      </c>
      <c r="BM200" s="66" t="s">
        <v>1271</v>
      </c>
      <c r="BN200" s="66" t="s">
        <v>1468</v>
      </c>
      <c r="BO200" s="66" t="s">
        <v>1468</v>
      </c>
      <c r="BP200" s="66" t="s">
        <v>1474</v>
      </c>
      <c r="BQ200" s="66" t="s">
        <v>1479</v>
      </c>
      <c r="BR200" s="79"/>
      <c r="BS200" s="64">
        <v>0.01</v>
      </c>
      <c r="BT200" s="66">
        <v>30</v>
      </c>
      <c r="BU200" s="79"/>
      <c r="BV200" s="79"/>
      <c r="BW200" s="79"/>
      <c r="BX200" s="79"/>
      <c r="BY200" s="79"/>
      <c r="BZ200" s="79"/>
      <c r="CA200" s="79"/>
      <c r="CB200" s="79"/>
      <c r="CC200" s="79"/>
      <c r="CD200" s="79"/>
      <c r="CE200" s="79"/>
      <c r="CF200" s="79"/>
      <c r="CG200" s="79"/>
      <c r="CH200" s="79"/>
      <c r="CI200" s="79"/>
      <c r="CJ200" s="79"/>
      <c r="CK200" s="79"/>
      <c r="CL200" s="79"/>
      <c r="CM200" s="79"/>
      <c r="CN200" s="79"/>
      <c r="CO200" s="79"/>
      <c r="CP200" s="79"/>
      <c r="CQ200" s="79"/>
      <c r="CR200" s="79"/>
      <c r="CS200" s="79"/>
      <c r="CT200" s="79"/>
      <c r="CU200" s="79"/>
      <c r="CV200" s="79"/>
      <c r="CW200" s="79"/>
      <c r="CX200" s="79"/>
      <c r="CY200" s="79"/>
      <c r="CZ200" s="79"/>
      <c r="DA200" s="79"/>
      <c r="DB200" s="79"/>
      <c r="DC200" s="79"/>
      <c r="DD200" s="79"/>
      <c r="DE200" s="79"/>
      <c r="DF200" s="79"/>
      <c r="DG200" s="79"/>
      <c r="DH200" s="79"/>
      <c r="DI200" s="79"/>
      <c r="DJ200" s="79"/>
      <c r="DK200" s="79"/>
      <c r="DL200" s="79"/>
      <c r="DM200" s="79"/>
      <c r="DN200" s="79"/>
      <c r="DO200" s="79"/>
      <c r="DP200" s="79"/>
      <c r="DQ200" s="79"/>
      <c r="DR200" s="79"/>
      <c r="DS200" s="79"/>
      <c r="DT200" s="79"/>
      <c r="DU200" s="79"/>
      <c r="DV200" s="79"/>
      <c r="DW200" s="79"/>
      <c r="DX200" s="79"/>
      <c r="DY200" s="78"/>
    </row>
    <row r="201" spans="1:129" x14ac:dyDescent="0.35">
      <c r="A201" s="42" t="s">
        <v>4743</v>
      </c>
      <c r="B201" s="42" t="s">
        <v>5772</v>
      </c>
      <c r="C201" s="42" t="s">
        <v>409</v>
      </c>
      <c r="D201" s="43" t="s">
        <v>410</v>
      </c>
      <c r="F201" s="44" t="s">
        <v>5773</v>
      </c>
      <c r="G201" s="42" t="s">
        <v>4955</v>
      </c>
      <c r="H201" s="42" t="s">
        <v>68</v>
      </c>
      <c r="I201" s="43" t="s">
        <v>68</v>
      </c>
      <c r="J201" s="43" t="s">
        <v>68</v>
      </c>
      <c r="K201" s="43"/>
      <c r="L201" s="43" t="s">
        <v>69</v>
      </c>
      <c r="M201" s="43">
        <v>3</v>
      </c>
      <c r="N201" s="43">
        <v>3</v>
      </c>
      <c r="O201" s="43" t="s">
        <v>69</v>
      </c>
      <c r="P201" s="43">
        <v>4</v>
      </c>
      <c r="Q201" s="43">
        <v>4</v>
      </c>
      <c r="R201" s="43" t="s">
        <v>69</v>
      </c>
      <c r="S201" s="43">
        <v>5</v>
      </c>
      <c r="T201" s="43">
        <v>5</v>
      </c>
      <c r="U201" s="42" t="s">
        <v>5611</v>
      </c>
      <c r="V201" s="42">
        <v>106.73</v>
      </c>
      <c r="W201" s="42">
        <v>106.73</v>
      </c>
      <c r="X201" s="42" t="s">
        <v>5774</v>
      </c>
      <c r="Y201" s="42" t="s">
        <v>5775</v>
      </c>
      <c r="Z201" s="43" t="s">
        <v>4743</v>
      </c>
      <c r="AA201" s="43" t="s">
        <v>4742</v>
      </c>
      <c r="AC201" s="42" t="s">
        <v>4684</v>
      </c>
      <c r="AD201" s="42" t="s">
        <v>4685</v>
      </c>
      <c r="AE201" s="42" t="s">
        <v>4686</v>
      </c>
      <c r="AF201" s="42" t="s">
        <v>409</v>
      </c>
      <c r="AG201" s="42" t="s">
        <v>4685</v>
      </c>
      <c r="AH201" t="s">
        <v>5611</v>
      </c>
      <c r="AI201" s="42" t="s">
        <v>4959</v>
      </c>
      <c r="AJ201" s="42" t="s">
        <v>5614</v>
      </c>
      <c r="AL201" s="42" t="s">
        <v>5615</v>
      </c>
      <c r="AM201" s="43">
        <v>106.73</v>
      </c>
      <c r="AN201" s="43">
        <v>106.73</v>
      </c>
      <c r="AO201" s="43" t="s">
        <v>70</v>
      </c>
      <c r="AQ201" s="43">
        <v>1</v>
      </c>
      <c r="AR201" s="42" t="s">
        <v>5776</v>
      </c>
      <c r="AU201" s="64"/>
      <c r="AV201" s="64">
        <v>62</v>
      </c>
      <c r="AW201" s="64" t="s">
        <v>4955</v>
      </c>
      <c r="AX201" s="64" t="s">
        <v>4744</v>
      </c>
      <c r="AY201" s="66" t="s">
        <v>478</v>
      </c>
      <c r="AZ201" s="66" t="s">
        <v>409</v>
      </c>
      <c r="BA201" s="64">
        <v>106.73</v>
      </c>
      <c r="BB201" s="64">
        <v>106.73</v>
      </c>
      <c r="BC201" s="64" t="s">
        <v>5774</v>
      </c>
      <c r="BD201" s="64" t="s">
        <v>5775</v>
      </c>
      <c r="BE201" s="64" t="s">
        <v>5774</v>
      </c>
      <c r="BF201" s="64" t="s">
        <v>5775</v>
      </c>
      <c r="BG201" s="64" t="s">
        <v>4963</v>
      </c>
      <c r="BH201" s="64" t="s">
        <v>5611</v>
      </c>
      <c r="BI201" s="64" t="s">
        <v>5773</v>
      </c>
      <c r="BJ201" s="79"/>
      <c r="BK201" s="64" t="s">
        <v>474</v>
      </c>
      <c r="BL201" s="64" t="s">
        <v>474</v>
      </c>
      <c r="BM201" s="66" t="s">
        <v>1271</v>
      </c>
      <c r="BN201" s="66" t="s">
        <v>1468</v>
      </c>
      <c r="BO201" s="66" t="s">
        <v>1468</v>
      </c>
      <c r="BP201" s="66" t="s">
        <v>1474</v>
      </c>
      <c r="BQ201" s="66" t="s">
        <v>1479</v>
      </c>
      <c r="BR201" s="79"/>
      <c r="BS201" s="64">
        <v>0.01</v>
      </c>
      <c r="BT201" s="66">
        <v>30</v>
      </c>
      <c r="BU201" s="79"/>
      <c r="BV201" s="79"/>
      <c r="BW201" s="79"/>
      <c r="BX201" s="79"/>
      <c r="BY201" s="79"/>
      <c r="BZ201" s="79"/>
      <c r="CA201" s="79"/>
      <c r="CB201" s="79"/>
      <c r="CC201" s="79"/>
      <c r="CD201" s="79"/>
      <c r="CE201" s="79"/>
      <c r="CF201" s="79"/>
      <c r="CG201" s="79"/>
      <c r="CH201" s="79"/>
      <c r="CI201" s="79"/>
      <c r="CJ201" s="79"/>
      <c r="CK201" s="79"/>
      <c r="CL201" s="79"/>
      <c r="CM201" s="79"/>
      <c r="CN201" s="79"/>
      <c r="CO201" s="79"/>
      <c r="CP201" s="79"/>
      <c r="CQ201" s="79"/>
      <c r="CR201" s="79"/>
      <c r="CS201" s="79"/>
      <c r="CT201" s="79"/>
      <c r="CU201" s="79"/>
      <c r="CV201" s="79"/>
      <c r="CW201" s="79"/>
      <c r="CX201" s="79"/>
      <c r="CY201" s="79"/>
      <c r="CZ201" s="79"/>
      <c r="DA201" s="79"/>
      <c r="DB201" s="79"/>
      <c r="DC201" s="79"/>
      <c r="DD201" s="79"/>
      <c r="DE201" s="79"/>
      <c r="DF201" s="79"/>
      <c r="DG201" s="79"/>
      <c r="DH201" s="79"/>
      <c r="DI201" s="79"/>
      <c r="DJ201" s="79"/>
      <c r="DK201" s="79"/>
      <c r="DL201" s="79"/>
      <c r="DM201" s="79"/>
      <c r="DN201" s="79"/>
      <c r="DO201" s="79"/>
      <c r="DP201" s="79"/>
      <c r="DQ201" s="79"/>
      <c r="DR201" s="79"/>
      <c r="DS201" s="79"/>
      <c r="DT201" s="79"/>
      <c r="DU201" s="79"/>
      <c r="DV201" s="79"/>
      <c r="DW201" s="79"/>
      <c r="DX201" s="79"/>
      <c r="DY201" s="78"/>
    </row>
    <row r="202" spans="1:129" x14ac:dyDescent="0.35">
      <c r="A202" s="42" t="s">
        <v>4743</v>
      </c>
      <c r="B202" s="42" t="s">
        <v>5777</v>
      </c>
      <c r="C202" s="42" t="s">
        <v>409</v>
      </c>
      <c r="D202" s="43" t="s">
        <v>410</v>
      </c>
      <c r="F202" s="44" t="s">
        <v>5778</v>
      </c>
      <c r="G202" s="42" t="s">
        <v>4955</v>
      </c>
      <c r="H202" s="42" t="s">
        <v>68</v>
      </c>
      <c r="I202" s="43" t="s">
        <v>68</v>
      </c>
      <c r="J202" s="43" t="s">
        <v>68</v>
      </c>
      <c r="K202" s="43"/>
      <c r="L202" s="43" t="s">
        <v>69</v>
      </c>
      <c r="M202" s="43">
        <v>3</v>
      </c>
      <c r="N202" s="43">
        <v>3</v>
      </c>
      <c r="O202" s="43" t="s">
        <v>69</v>
      </c>
      <c r="P202" s="43">
        <v>4</v>
      </c>
      <c r="Q202" s="43">
        <v>4</v>
      </c>
      <c r="R202" s="43" t="s">
        <v>69</v>
      </c>
      <c r="S202" s="43">
        <v>5</v>
      </c>
      <c r="T202" s="43">
        <v>5</v>
      </c>
      <c r="U202" s="42" t="s">
        <v>5611</v>
      </c>
      <c r="V202" s="42">
        <v>106.73</v>
      </c>
      <c r="W202" s="42">
        <v>106.73</v>
      </c>
      <c r="X202" s="42" t="s">
        <v>5779</v>
      </c>
      <c r="Y202" s="42" t="s">
        <v>5780</v>
      </c>
      <c r="Z202" s="43" t="s">
        <v>4743</v>
      </c>
      <c r="AA202" s="43" t="s">
        <v>4742</v>
      </c>
      <c r="AC202" s="42" t="s">
        <v>4684</v>
      </c>
      <c r="AD202" s="42" t="s">
        <v>4685</v>
      </c>
      <c r="AE202" s="42" t="s">
        <v>4686</v>
      </c>
      <c r="AF202" s="42" t="s">
        <v>409</v>
      </c>
      <c r="AG202" s="42" t="s">
        <v>4685</v>
      </c>
      <c r="AH202" t="s">
        <v>5611</v>
      </c>
      <c r="AI202" s="42" t="s">
        <v>4959</v>
      </c>
      <c r="AJ202" s="42" t="s">
        <v>5614</v>
      </c>
      <c r="AL202" s="42" t="s">
        <v>5615</v>
      </c>
      <c r="AM202" s="43">
        <v>106.73</v>
      </c>
      <c r="AN202" s="43">
        <v>106.73</v>
      </c>
      <c r="AO202" s="43" t="s">
        <v>70</v>
      </c>
      <c r="AQ202" s="43">
        <v>1</v>
      </c>
      <c r="AR202" s="42" t="s">
        <v>5781</v>
      </c>
      <c r="AU202" s="80"/>
      <c r="AV202" s="80">
        <v>62</v>
      </c>
      <c r="AW202" s="64" t="s">
        <v>4955</v>
      </c>
      <c r="AX202" s="64" t="s">
        <v>4744</v>
      </c>
      <c r="AY202" s="81" t="s">
        <v>478</v>
      </c>
      <c r="AZ202" s="66" t="s">
        <v>409</v>
      </c>
      <c r="BA202" s="64">
        <v>106.73</v>
      </c>
      <c r="BB202" s="64">
        <v>106.73</v>
      </c>
      <c r="BC202" s="64" t="s">
        <v>5779</v>
      </c>
      <c r="BD202" s="64" t="s">
        <v>5780</v>
      </c>
      <c r="BE202" s="80" t="s">
        <v>5779</v>
      </c>
      <c r="BF202" s="80" t="s">
        <v>5780</v>
      </c>
      <c r="BG202" s="64" t="s">
        <v>4963</v>
      </c>
      <c r="BH202" s="64" t="s">
        <v>5611</v>
      </c>
      <c r="BI202" s="64" t="s">
        <v>5778</v>
      </c>
      <c r="BJ202" s="83"/>
      <c r="BK202" s="80" t="s">
        <v>474</v>
      </c>
      <c r="BL202" s="80" t="s">
        <v>474</v>
      </c>
      <c r="BM202" s="66" t="s">
        <v>1271</v>
      </c>
      <c r="BN202" s="81" t="s">
        <v>1468</v>
      </c>
      <c r="BO202" s="81" t="s">
        <v>1468</v>
      </c>
      <c r="BP202" s="81" t="s">
        <v>1474</v>
      </c>
      <c r="BQ202" s="81" t="s">
        <v>1479</v>
      </c>
      <c r="BR202" s="83"/>
      <c r="BS202" s="64">
        <v>0.01</v>
      </c>
      <c r="BT202" s="66">
        <v>30</v>
      </c>
      <c r="BU202" s="83"/>
      <c r="BV202" s="83"/>
      <c r="BW202" s="83"/>
      <c r="BX202" s="83"/>
      <c r="BY202" s="83"/>
      <c r="BZ202" s="83"/>
      <c r="CA202" s="83"/>
      <c r="CB202" s="83"/>
      <c r="CC202" s="83"/>
      <c r="CD202" s="83"/>
      <c r="CE202" s="83"/>
      <c r="CF202" s="83"/>
      <c r="CG202" s="83"/>
      <c r="CH202" s="83"/>
      <c r="CI202" s="83"/>
      <c r="CJ202" s="83"/>
      <c r="CK202" s="83"/>
      <c r="CL202" s="83"/>
      <c r="CM202" s="83"/>
      <c r="CN202" s="83"/>
      <c r="CO202" s="83"/>
      <c r="CP202" s="83"/>
      <c r="CQ202" s="83"/>
      <c r="CR202" s="83"/>
      <c r="CS202" s="83"/>
      <c r="CT202" s="83"/>
      <c r="CU202" s="83"/>
      <c r="CV202" s="83"/>
      <c r="CW202" s="83"/>
      <c r="CX202" s="83"/>
      <c r="CY202" s="83"/>
      <c r="CZ202" s="83"/>
      <c r="DA202" s="83"/>
      <c r="DB202" s="83"/>
      <c r="DC202" s="83"/>
      <c r="DD202" s="83"/>
      <c r="DE202" s="83"/>
      <c r="DF202" s="83"/>
      <c r="DG202" s="79"/>
      <c r="DH202" s="83"/>
      <c r="DI202" s="83"/>
      <c r="DJ202" s="83"/>
      <c r="DK202" s="83"/>
      <c r="DL202" s="83"/>
      <c r="DM202" s="83"/>
      <c r="DN202" s="83"/>
      <c r="DO202" s="83"/>
      <c r="DP202" s="83"/>
      <c r="DQ202" s="83"/>
      <c r="DR202" s="83"/>
      <c r="DS202" s="83"/>
      <c r="DT202" s="83"/>
      <c r="DU202" s="83"/>
      <c r="DV202" s="83"/>
      <c r="DW202" s="83"/>
      <c r="DX202" s="83"/>
      <c r="DY202" s="82"/>
    </row>
  </sheetData>
  <autoFilter ref="A2:DY202" xr:uid="{A3C75B98-41D1-41F1-8F8E-630EA49704DF}"/>
  <mergeCells count="2">
    <mergeCell ref="AC1:AF1"/>
    <mergeCell ref="AR1:AR2"/>
  </mergeCells>
  <phoneticPr fontId="31" type="noConversion"/>
  <conditionalFormatting sqref="D1:D202">
    <cfRule type="containsErrors" dxfId="11" priority="4">
      <formula>ISERROR(D1)</formula>
    </cfRule>
  </conditionalFormatting>
  <conditionalFormatting sqref="B3:B202">
    <cfRule type="duplicateValues" dxfId="10" priority="7"/>
  </conditionalFormatting>
  <pageMargins left="0.7" right="0.7" top="0.75" bottom="0.75" header="0.3" footer="0.3"/>
  <pageSetup paperSize="9" orientation="portrait" horizontalDpi="4294967293" verticalDpi="4294967293" r:id="rId1"/>
  <extLst>
    <ext xmlns:x14="http://schemas.microsoft.com/office/spreadsheetml/2009/9/main" uri="{CCE6A557-97BC-4b89-ADB6-D9C93CAAB3DF}">
      <x14:dataValidations xmlns:xm="http://schemas.microsoft.com/office/excel/2006/main" count="16">
        <x14:dataValidation type="list" allowBlank="1" showInputMessage="1" showErrorMessage="1" xr:uid="{AF84FC72-5B63-452A-9B1F-9822CA846A04}">
          <x14:formula1>
            <xm:f>att_matrix!$I$5:$BK$5</xm:f>
          </x14:formula1>
          <xm:sqref>AY3:AY202</xm:sqref>
        </x14:dataValidation>
        <x14:dataValidation type="list" allowBlank="1" showInputMessage="1" showErrorMessage="1" xr:uid="{3663343C-8974-4241-A0FA-5E69D44F2F45}">
          <x14:formula1>
            <xm:f>att_matrix!$I$6:$EE$6</xm:f>
          </x14:formula1>
          <xm:sqref>AZ3:AZ202</xm:sqref>
        </x14:dataValidation>
        <x14:dataValidation type="list" allowBlank="1" showInputMessage="1" showErrorMessage="1" xr:uid="{05F02A59-4128-40DE-976C-B2BF83D6E9CD}">
          <x14:formula1>
            <xm:f>att_matrix!$I$22:$J$22</xm:f>
          </x14:formula1>
          <xm:sqref>BN3:BN202</xm:sqref>
        </x14:dataValidation>
        <x14:dataValidation type="list" allowBlank="1" showInputMessage="1" showErrorMessage="1" xr:uid="{C4B4E091-2F66-44DD-ACC1-03FA057FDEF4}">
          <x14:formula1>
            <xm:f>att_matrix!$I$24:$J$24</xm:f>
          </x14:formula1>
          <xm:sqref>BP3:BP202</xm:sqref>
        </x14:dataValidation>
        <x14:dataValidation type="list" allowBlank="1" showInputMessage="1" showErrorMessage="1" xr:uid="{7F4F9E5B-9E3C-46BB-B6AB-6F049EE89789}">
          <x14:formula1>
            <xm:f>att_matrix!$I$25:$K$25</xm:f>
          </x14:formula1>
          <xm:sqref>BQ3:BQ202</xm:sqref>
        </x14:dataValidation>
        <x14:dataValidation type="list" allowBlank="1" showInputMessage="1" showErrorMessage="1" xr:uid="{B75D019B-CBD7-4FAA-9CDD-9407B1C42075}">
          <x14:formula1>
            <xm:f>att_matrix!$I$37:$Q$37</xm:f>
          </x14:formula1>
          <xm:sqref>BT3:BT202</xm:sqref>
        </x14:dataValidation>
        <x14:dataValidation type="list" allowBlank="1" showInputMessage="1" showErrorMessage="1" xr:uid="{552F9E02-8F77-4A7B-B013-03609D6C6E64}">
          <x14:formula1>
            <xm:f>att_matrix!$I$20:$HP$20</xm:f>
          </x14:formula1>
          <xm:sqref>BM3:BM202</xm:sqref>
        </x14:dataValidation>
        <x14:dataValidation type="list" allowBlank="1" showInputMessage="1" showErrorMessage="1" xr:uid="{18DE7CC0-CC04-464C-A343-D006F97AFECD}">
          <x14:formula1>
            <xm:f>att_matrix!$I$42:$J$42</xm:f>
          </x14:formula1>
          <xm:sqref>CG168 CG22:CG31</xm:sqref>
        </x14:dataValidation>
        <x14:dataValidation type="list" allowBlank="1" showInputMessage="1" showErrorMessage="1" xr:uid="{9AA1D733-1B35-4386-B708-E57C17A57B29}">
          <x14:formula1>
            <xm:f>att_matrix!$I$59:$J$59</xm:f>
          </x14:formula1>
          <xm:sqref>CM102:CM105</xm:sqref>
        </x14:dataValidation>
        <x14:dataValidation type="list" allowBlank="1" showInputMessage="1" showErrorMessage="1" xr:uid="{3CE1A91B-7ACC-459C-BBF6-E91D93103926}">
          <x14:formula1>
            <xm:f>att_matrix!$I$70:$O$70</xm:f>
          </x14:formula1>
          <xm:sqref>CP166:CP167 CP90:CP101 CP144:CP157</xm:sqref>
        </x14:dataValidation>
        <x14:dataValidation type="list" allowBlank="1" showInputMessage="1" showErrorMessage="1" xr:uid="{CE01DD52-0C96-4D73-94DC-F8C5B1BBC9D1}">
          <x14:formula1>
            <xm:f>att_matrix!$I$78:$R$78</xm:f>
          </x14:formula1>
          <xm:sqref>CT22:CT31 CT102:CT105</xm:sqref>
        </x14:dataValidation>
        <x14:dataValidation type="list" allowBlank="1" showInputMessage="1" showErrorMessage="1" xr:uid="{99F6A7C7-0200-4A0D-B91E-6F2C12820226}">
          <x14:formula1>
            <xm:f>att_matrix!$I$83:$N$83</xm:f>
          </x14:formula1>
          <xm:sqref>CY22:CY31 CY102:CY105</xm:sqref>
        </x14:dataValidation>
        <x14:dataValidation type="list" allowBlank="1" showInputMessage="1" showErrorMessage="1" xr:uid="{E5F8BF47-DD33-43BD-A5E8-D65F8943AAFA}">
          <x14:formula1>
            <xm:f>att_matrix!$I$90:$O$90</xm:f>
          </x14:formula1>
          <xm:sqref>DF22:DF31 DF102:DF105</xm:sqref>
        </x14:dataValidation>
        <x14:dataValidation type="list" allowBlank="1" showInputMessage="1" showErrorMessage="1" xr:uid="{3C3DA495-57E4-457C-9F4C-87FE02BCF148}">
          <x14:formula1>
            <xm:f>att_matrix!$I$123:$P$123</xm:f>
          </x14:formula1>
          <xm:sqref>DR78:DR89 DR3:DR11 DR106:DR165</xm:sqref>
        </x14:dataValidation>
        <x14:dataValidation type="list" allowBlank="1" showInputMessage="1" showErrorMessage="1" xr:uid="{2A2ECD65-78BF-41D2-8572-6863DE179D78}">
          <x14:formula1>
            <xm:f>att_matrix!$I$124:$K$124</xm:f>
          </x14:formula1>
          <xm:sqref>DS3:DS11 DS78:DS89 DS106:DS165</xm:sqref>
        </x14:dataValidation>
        <x14:dataValidation type="list" allowBlank="1" showInputMessage="1" showErrorMessage="1" xr:uid="{39DEBEA8-F25A-402F-B6EF-38584C2BF3E0}">
          <x14:formula1>
            <xm:f>att_matrix!$I$23:$J$23</xm:f>
          </x14:formula1>
          <xm:sqref>BO3:BO202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A5710-0551-48BC-9664-210B2C766011}">
  <sheetPr codeName="Sheet4">
    <tabColor rgb="FF00B0F0"/>
  </sheetPr>
  <dimension ref="A1:HP142"/>
  <sheetViews>
    <sheetView workbookViewId="0"/>
  </sheetViews>
  <sheetFormatPr defaultColWidth="9.08984375" defaultRowHeight="14.5" x14ac:dyDescent="0.35"/>
  <cols>
    <col min="1" max="1" width="108.54296875" customWidth="1"/>
    <col min="2" max="2" width="45.6328125" customWidth="1"/>
    <col min="3" max="3" width="24.453125" customWidth="1"/>
    <col min="7" max="7" width="23.36328125" customWidth="1"/>
    <col min="9" max="9" width="26.08984375" customWidth="1"/>
    <col min="10" max="10" width="34.54296875" customWidth="1"/>
    <col min="11" max="11" width="27" customWidth="1"/>
    <col min="12" max="12" width="22.6328125" customWidth="1"/>
    <col min="13" max="13" width="12.54296875" customWidth="1"/>
    <col min="14" max="14" width="19.90625" customWidth="1"/>
    <col min="15" max="15" width="16.6328125" customWidth="1"/>
    <col min="24" max="24" width="18.90625" customWidth="1"/>
    <col min="26" max="26" width="14.6328125" customWidth="1"/>
    <col min="27" max="27" width="14" customWidth="1"/>
    <col min="28" max="28" width="13.453125" customWidth="1"/>
    <col min="29" max="29" width="27.90625" customWidth="1"/>
    <col min="31" max="31" width="16.54296875" customWidth="1"/>
    <col min="33" max="33" width="28.6328125" customWidth="1"/>
    <col min="34" max="34" width="16.08984375" customWidth="1"/>
    <col min="35" max="35" width="17.54296875" customWidth="1"/>
    <col min="37" max="37" width="23" customWidth="1"/>
    <col min="38" max="38" width="17.36328125" customWidth="1"/>
    <col min="39" max="39" width="15.90625" customWidth="1"/>
    <col min="41" max="41" width="16.6328125" customWidth="1"/>
    <col min="42" max="42" width="21.54296875" customWidth="1"/>
    <col min="43" max="43" width="12.453125" customWidth="1"/>
    <col min="45" max="45" width="17" customWidth="1"/>
    <col min="46" max="46" width="38.453125" customWidth="1"/>
    <col min="47" max="47" width="12" customWidth="1"/>
    <col min="48" max="48" width="20" customWidth="1"/>
    <col min="51" max="51" width="19.08984375" customWidth="1"/>
    <col min="52" max="52" width="21.90625" customWidth="1"/>
    <col min="53" max="53" width="14.36328125" customWidth="1"/>
    <col min="54" max="54" width="23.08984375" customWidth="1"/>
    <col min="55" max="55" width="17.6328125" customWidth="1"/>
    <col min="56" max="56" width="21.36328125" customWidth="1"/>
    <col min="57" max="57" width="14.453125" customWidth="1"/>
    <col min="58" max="59" width="18.54296875" customWidth="1"/>
    <col min="70" max="70" width="20.90625" customWidth="1"/>
    <col min="103" max="103" width="38.453125" customWidth="1"/>
    <col min="104" max="104" width="38.6328125" customWidth="1"/>
    <col min="105" max="105" width="27.36328125" customWidth="1"/>
    <col min="106" max="106" width="25.54296875" customWidth="1"/>
    <col min="107" max="107" width="45.08984375" customWidth="1"/>
    <col min="108" max="108" width="25.6328125" customWidth="1"/>
    <col min="109" max="109" width="48" customWidth="1"/>
    <col min="110" max="110" width="38" customWidth="1"/>
    <col min="111" max="111" width="26.90625" customWidth="1"/>
    <col min="112" max="112" width="28" customWidth="1"/>
    <col min="113" max="113" width="23.36328125" customWidth="1"/>
    <col min="114" max="114" width="23" customWidth="1"/>
    <col min="115" max="115" width="21.54296875" customWidth="1"/>
    <col min="116" max="116" width="20.08984375" customWidth="1"/>
    <col min="117" max="117" width="27" customWidth="1"/>
    <col min="118" max="118" width="44.36328125" customWidth="1"/>
    <col min="119" max="119" width="47.36328125" customWidth="1"/>
    <col min="120" max="120" width="28.90625" customWidth="1"/>
    <col min="121" max="121" width="31.36328125" customWidth="1"/>
    <col min="122" max="122" width="23.453125" customWidth="1"/>
    <col min="412" max="412" width="16.08984375" customWidth="1"/>
  </cols>
  <sheetData>
    <row r="1" spans="1:135" ht="15" customHeight="1" x14ac:dyDescent="0.35">
      <c r="A1" s="47" t="s">
        <v>1974</v>
      </c>
      <c r="C1" t="s">
        <v>1093</v>
      </c>
      <c r="G1" t="s">
        <v>1094</v>
      </c>
      <c r="H1">
        <v>1</v>
      </c>
    </row>
    <row r="2" spans="1:135" ht="17.25" customHeight="1" x14ac:dyDescent="0.35">
      <c r="A2" s="47" t="s">
        <v>1975</v>
      </c>
      <c r="C2" t="s">
        <v>1096</v>
      </c>
      <c r="G2" t="s">
        <v>1094</v>
      </c>
      <c r="H2">
        <v>1</v>
      </c>
    </row>
    <row r="3" spans="1:135" ht="12.75" customHeight="1" x14ac:dyDescent="0.35">
      <c r="A3" s="47" t="s">
        <v>1095</v>
      </c>
      <c r="B3" t="s">
        <v>1097</v>
      </c>
      <c r="C3" t="s">
        <v>32</v>
      </c>
      <c r="D3">
        <v>2690</v>
      </c>
      <c r="E3" t="s">
        <v>1098</v>
      </c>
      <c r="G3" t="s">
        <v>1099</v>
      </c>
      <c r="H3">
        <v>1</v>
      </c>
      <c r="I3" t="s">
        <v>1100</v>
      </c>
      <c r="J3" t="s">
        <v>1100</v>
      </c>
      <c r="K3" t="s">
        <v>1100</v>
      </c>
      <c r="L3" t="s">
        <v>1100</v>
      </c>
      <c r="M3" t="s">
        <v>1100</v>
      </c>
      <c r="N3" t="s">
        <v>1100</v>
      </c>
      <c r="O3" t="s">
        <v>1100</v>
      </c>
      <c r="P3" t="s">
        <v>1100</v>
      </c>
      <c r="Q3" t="s">
        <v>1100</v>
      </c>
      <c r="R3" t="s">
        <v>1100</v>
      </c>
      <c r="S3" t="s">
        <v>1100</v>
      </c>
      <c r="T3" t="s">
        <v>1100</v>
      </c>
      <c r="U3" t="s">
        <v>1100</v>
      </c>
      <c r="V3" t="s">
        <v>1100</v>
      </c>
      <c r="W3" t="s">
        <v>1100</v>
      </c>
      <c r="X3" t="s">
        <v>1100</v>
      </c>
      <c r="Y3" t="s">
        <v>1100</v>
      </c>
      <c r="Z3" t="s">
        <v>1100</v>
      </c>
      <c r="AA3" t="s">
        <v>1100</v>
      </c>
      <c r="AB3" t="s">
        <v>1100</v>
      </c>
      <c r="AC3" t="s">
        <v>1100</v>
      </c>
    </row>
    <row r="4" spans="1:135" ht="12.75" customHeight="1" x14ac:dyDescent="0.35">
      <c r="A4" s="47" t="s">
        <v>1095</v>
      </c>
      <c r="B4" t="s">
        <v>1101</v>
      </c>
      <c r="C4" t="s">
        <v>1102</v>
      </c>
      <c r="E4" t="s">
        <v>1098</v>
      </c>
      <c r="G4" t="s">
        <v>1099</v>
      </c>
      <c r="H4">
        <v>1</v>
      </c>
    </row>
    <row r="5" spans="1:135" ht="12.75" customHeight="1" x14ac:dyDescent="0.35">
      <c r="A5" s="47" t="s">
        <v>1095</v>
      </c>
      <c r="B5" t="s">
        <v>1103</v>
      </c>
      <c r="C5" t="s">
        <v>1104</v>
      </c>
      <c r="E5" t="s">
        <v>1098</v>
      </c>
      <c r="G5" t="s">
        <v>1099</v>
      </c>
      <c r="H5">
        <v>55</v>
      </c>
      <c r="I5" t="s">
        <v>494</v>
      </c>
      <c r="J5" t="s">
        <v>549</v>
      </c>
      <c r="K5" t="s">
        <v>318</v>
      </c>
      <c r="L5" t="s">
        <v>523</v>
      </c>
      <c r="M5" t="s">
        <v>703</v>
      </c>
      <c r="N5" t="s">
        <v>706</v>
      </c>
      <c r="O5" t="s">
        <v>472</v>
      </c>
      <c r="P5" t="s">
        <v>764</v>
      </c>
      <c r="Q5" t="s">
        <v>500</v>
      </c>
      <c r="R5" t="s">
        <v>306</v>
      </c>
      <c r="S5" t="s">
        <v>957</v>
      </c>
      <c r="T5" t="s">
        <v>722</v>
      </c>
      <c r="U5" t="s">
        <v>502</v>
      </c>
      <c r="V5" t="s">
        <v>1105</v>
      </c>
      <c r="W5" t="s">
        <v>959</v>
      </c>
      <c r="X5" t="s">
        <v>1076</v>
      </c>
      <c r="Y5" t="s">
        <v>746</v>
      </c>
      <c r="Z5" t="s">
        <v>1106</v>
      </c>
      <c r="AA5" t="s">
        <v>736</v>
      </c>
      <c r="AB5" t="s">
        <v>476</v>
      </c>
      <c r="AC5" t="s">
        <v>537</v>
      </c>
      <c r="AD5" t="s">
        <v>687</v>
      </c>
      <c r="AE5" t="s">
        <v>408</v>
      </c>
      <c r="AF5" t="s">
        <v>1045</v>
      </c>
      <c r="AG5" t="s">
        <v>504</v>
      </c>
      <c r="AH5" t="s">
        <v>1070</v>
      </c>
      <c r="AI5" t="s">
        <v>553</v>
      </c>
      <c r="AJ5" t="s">
        <v>516</v>
      </c>
      <c r="AK5" t="s">
        <v>1107</v>
      </c>
      <c r="AL5" t="s">
        <v>478</v>
      </c>
      <c r="AM5" t="s">
        <v>720</v>
      </c>
      <c r="AN5" t="s">
        <v>529</v>
      </c>
      <c r="AO5" t="s">
        <v>520</v>
      </c>
      <c r="AP5" t="s">
        <v>1108</v>
      </c>
      <c r="AQ5" t="s">
        <v>525</v>
      </c>
      <c r="AR5" t="s">
        <v>214</v>
      </c>
      <c r="AS5" t="s">
        <v>480</v>
      </c>
      <c r="AT5" t="s">
        <v>512</v>
      </c>
      <c r="AU5" t="s">
        <v>527</v>
      </c>
      <c r="AV5" t="s">
        <v>555</v>
      </c>
      <c r="AW5" t="s">
        <v>531</v>
      </c>
      <c r="AX5" t="s">
        <v>726</v>
      </c>
      <c r="AY5" t="s">
        <v>1053</v>
      </c>
      <c r="AZ5" t="s">
        <v>1058</v>
      </c>
      <c r="BA5" t="s">
        <v>728</v>
      </c>
      <c r="BB5" t="s">
        <v>732</v>
      </c>
      <c r="BC5" t="s">
        <v>484</v>
      </c>
      <c r="BD5" t="s">
        <v>724</v>
      </c>
      <c r="BE5" t="s">
        <v>486</v>
      </c>
      <c r="BF5" t="s">
        <v>488</v>
      </c>
      <c r="BG5" t="s">
        <v>533</v>
      </c>
      <c r="BH5" t="s">
        <v>490</v>
      </c>
      <c r="BI5" t="s">
        <v>752</v>
      </c>
      <c r="BJ5" t="s">
        <v>1047</v>
      </c>
      <c r="BK5" t="s">
        <v>492</v>
      </c>
    </row>
    <row r="6" spans="1:135" ht="13.5" customHeight="1" x14ac:dyDescent="0.35">
      <c r="A6" s="47" t="s">
        <v>1095</v>
      </c>
      <c r="B6" t="s">
        <v>1109</v>
      </c>
      <c r="C6" t="s">
        <v>1110</v>
      </c>
      <c r="D6">
        <v>2697</v>
      </c>
      <c r="E6" t="s">
        <v>1098</v>
      </c>
      <c r="G6" t="s">
        <v>1099</v>
      </c>
      <c r="H6">
        <v>127</v>
      </c>
      <c r="I6" t="s">
        <v>76</v>
      </c>
      <c r="J6" t="s">
        <v>78</v>
      </c>
      <c r="K6" t="s">
        <v>80</v>
      </c>
      <c r="L6" t="s">
        <v>82</v>
      </c>
      <c r="M6" t="s">
        <v>71</v>
      </c>
      <c r="N6" t="s">
        <v>85</v>
      </c>
      <c r="O6" t="s">
        <v>72</v>
      </c>
      <c r="P6" t="s">
        <v>88</v>
      </c>
      <c r="Q6" t="s">
        <v>90</v>
      </c>
      <c r="R6" t="s">
        <v>92</v>
      </c>
      <c r="S6" t="s">
        <v>94</v>
      </c>
      <c r="T6" t="s">
        <v>96</v>
      </c>
      <c r="U6" t="s">
        <v>98</v>
      </c>
      <c r="V6" t="s">
        <v>100</v>
      </c>
      <c r="W6" t="s">
        <v>102</v>
      </c>
      <c r="X6" t="s">
        <v>104</v>
      </c>
      <c r="Y6" t="s">
        <v>106</v>
      </c>
      <c r="Z6" t="s">
        <v>108</v>
      </c>
      <c r="AA6" t="s">
        <v>110</v>
      </c>
      <c r="AB6" t="s">
        <v>112</v>
      </c>
      <c r="AC6" t="s">
        <v>114</v>
      </c>
      <c r="AD6" t="s">
        <v>116</v>
      </c>
      <c r="AE6" t="s">
        <v>118</v>
      </c>
      <c r="AF6" t="s">
        <v>120</v>
      </c>
      <c r="AG6" t="s">
        <v>122</v>
      </c>
      <c r="AH6" t="s">
        <v>124</v>
      </c>
      <c r="AI6" t="s">
        <v>126</v>
      </c>
      <c r="AJ6" t="s">
        <v>128</v>
      </c>
      <c r="AK6" t="s">
        <v>130</v>
      </c>
      <c r="AL6" t="s">
        <v>132</v>
      </c>
      <c r="AM6" t="s">
        <v>134</v>
      </c>
      <c r="AN6" t="s">
        <v>136</v>
      </c>
      <c r="AO6" t="s">
        <v>138</v>
      </c>
      <c r="AP6" t="s">
        <v>140</v>
      </c>
      <c r="AQ6" t="s">
        <v>142</v>
      </c>
      <c r="AR6" t="s">
        <v>144</v>
      </c>
      <c r="AS6" t="s">
        <v>146</v>
      </c>
      <c r="AT6" t="s">
        <v>148</v>
      </c>
      <c r="AU6" t="s">
        <v>150</v>
      </c>
      <c r="AV6" t="s">
        <v>152</v>
      </c>
      <c r="AW6" t="s">
        <v>154</v>
      </c>
      <c r="AX6" t="s">
        <v>156</v>
      </c>
      <c r="AY6" t="s">
        <v>158</v>
      </c>
      <c r="AZ6" t="s">
        <v>160</v>
      </c>
      <c r="BA6" t="s">
        <v>162</v>
      </c>
      <c r="BB6" t="s">
        <v>164</v>
      </c>
      <c r="BC6" t="s">
        <v>166</v>
      </c>
      <c r="BD6" t="s">
        <v>168</v>
      </c>
      <c r="BE6" t="s">
        <v>170</v>
      </c>
      <c r="BF6" t="s">
        <v>172</v>
      </c>
      <c r="BG6" t="s">
        <v>174</v>
      </c>
      <c r="BH6" t="s">
        <v>176</v>
      </c>
      <c r="BI6" t="s">
        <v>178</v>
      </c>
      <c r="BJ6" t="s">
        <v>180</v>
      </c>
      <c r="BK6" t="s">
        <v>182</v>
      </c>
      <c r="BL6" t="s">
        <v>184</v>
      </c>
      <c r="BM6" t="s">
        <v>974</v>
      </c>
      <c r="BN6" t="s">
        <v>976</v>
      </c>
      <c r="BO6" t="s">
        <v>978</v>
      </c>
      <c r="BP6" s="45" t="s">
        <v>980</v>
      </c>
      <c r="BQ6" s="45" t="s">
        <v>982</v>
      </c>
      <c r="BR6" s="45" t="s">
        <v>984</v>
      </c>
      <c r="BS6" s="45" t="s">
        <v>986</v>
      </c>
      <c r="BT6" s="45" t="s">
        <v>1111</v>
      </c>
      <c r="BU6" s="45" t="s">
        <v>988</v>
      </c>
      <c r="BV6" s="45" t="s">
        <v>990</v>
      </c>
      <c r="BW6" s="45" t="s">
        <v>992</v>
      </c>
      <c r="BX6" s="45" t="s">
        <v>994</v>
      </c>
      <c r="BY6" t="s">
        <v>186</v>
      </c>
      <c r="BZ6" t="s">
        <v>188</v>
      </c>
      <c r="CA6" t="s">
        <v>67</v>
      </c>
      <c r="CB6" t="s">
        <v>191</v>
      </c>
      <c r="CC6" t="s">
        <v>193</v>
      </c>
      <c r="CD6" t="s">
        <v>195</v>
      </c>
      <c r="CE6" t="s">
        <v>197</v>
      </c>
      <c r="CF6" t="s">
        <v>199</v>
      </c>
      <c r="CG6" t="s">
        <v>201</v>
      </c>
      <c r="CH6" t="s">
        <v>203</v>
      </c>
      <c r="CI6" t="s">
        <v>205</v>
      </c>
      <c r="CJ6" t="s">
        <v>207</v>
      </c>
      <c r="CK6" t="s">
        <v>209</v>
      </c>
      <c r="CL6" t="s">
        <v>211</v>
      </c>
      <c r="CM6" t="s">
        <v>213</v>
      </c>
      <c r="CN6" t="s">
        <v>215</v>
      </c>
      <c r="CO6" t="s">
        <v>217</v>
      </c>
      <c r="CP6" t="s">
        <v>219</v>
      </c>
      <c r="CQ6" t="s">
        <v>221</v>
      </c>
      <c r="CR6" t="s">
        <v>223</v>
      </c>
      <c r="CS6" t="s">
        <v>225</v>
      </c>
      <c r="CT6" t="s">
        <v>227</v>
      </c>
      <c r="CU6" t="s">
        <v>229</v>
      </c>
      <c r="CV6" t="s">
        <v>231</v>
      </c>
      <c r="CW6" t="s">
        <v>233</v>
      </c>
      <c r="CX6" t="s">
        <v>235</v>
      </c>
      <c r="CY6" t="s">
        <v>237</v>
      </c>
      <c r="CZ6" t="s">
        <v>239</v>
      </c>
      <c r="DA6" t="s">
        <v>241</v>
      </c>
      <c r="DB6" t="s">
        <v>243</v>
      </c>
      <c r="DC6" t="s">
        <v>245</v>
      </c>
      <c r="DD6" t="s">
        <v>247</v>
      </c>
      <c r="DE6" t="s">
        <v>249</v>
      </c>
      <c r="DF6" t="s">
        <v>251</v>
      </c>
      <c r="DG6" t="s">
        <v>253</v>
      </c>
      <c r="DH6" t="s">
        <v>255</v>
      </c>
      <c r="DI6" t="s">
        <v>257</v>
      </c>
      <c r="DJ6" t="s">
        <v>259</v>
      </c>
      <c r="DK6" t="s">
        <v>261</v>
      </c>
      <c r="DL6" t="s">
        <v>263</v>
      </c>
      <c r="DM6" t="s">
        <v>265</v>
      </c>
      <c r="DN6" t="s">
        <v>267</v>
      </c>
      <c r="DO6" t="s">
        <v>269</v>
      </c>
      <c r="DP6" t="s">
        <v>271</v>
      </c>
      <c r="DQ6" t="s">
        <v>273</v>
      </c>
      <c r="DR6" t="s">
        <v>275</v>
      </c>
      <c r="DS6" t="s">
        <v>277</v>
      </c>
      <c r="DT6" t="s">
        <v>279</v>
      </c>
      <c r="DU6" t="s">
        <v>281</v>
      </c>
      <c r="DV6" t="s">
        <v>283</v>
      </c>
      <c r="DW6" t="s">
        <v>285</v>
      </c>
      <c r="DX6" t="s">
        <v>287</v>
      </c>
      <c r="DY6" t="s">
        <v>289</v>
      </c>
      <c r="DZ6" t="s">
        <v>291</v>
      </c>
      <c r="EA6" t="s">
        <v>293</v>
      </c>
      <c r="EB6" t="s">
        <v>295</v>
      </c>
      <c r="EC6" t="s">
        <v>297</v>
      </c>
      <c r="ED6" t="s">
        <v>299</v>
      </c>
      <c r="EE6" t="s">
        <v>409</v>
      </c>
    </row>
    <row r="7" spans="1:135" ht="15" customHeight="1" x14ac:dyDescent="0.35">
      <c r="A7" s="47" t="s">
        <v>1095</v>
      </c>
      <c r="B7" t="s">
        <v>47</v>
      </c>
      <c r="C7" t="s">
        <v>1112</v>
      </c>
      <c r="D7">
        <v>2692</v>
      </c>
      <c r="E7" t="s">
        <v>1113</v>
      </c>
      <c r="G7" t="s">
        <v>1099</v>
      </c>
      <c r="H7">
        <v>1</v>
      </c>
      <c r="I7" t="s">
        <v>1100</v>
      </c>
      <c r="J7" t="s">
        <v>1100</v>
      </c>
      <c r="K7" t="s">
        <v>1100</v>
      </c>
      <c r="L7" t="s">
        <v>1100</v>
      </c>
      <c r="M7" t="s">
        <v>1100</v>
      </c>
      <c r="N7" t="s">
        <v>1100</v>
      </c>
      <c r="O7" t="s">
        <v>1100</v>
      </c>
      <c r="P7" t="s">
        <v>1100</v>
      </c>
      <c r="Q7" t="s">
        <v>1100</v>
      </c>
      <c r="R7" t="s">
        <v>1100</v>
      </c>
      <c r="S7" t="s">
        <v>1100</v>
      </c>
      <c r="T7" t="s">
        <v>1100</v>
      </c>
      <c r="U7" t="s">
        <v>1100</v>
      </c>
      <c r="V7" t="s">
        <v>1100</v>
      </c>
      <c r="W7" t="s">
        <v>1100</v>
      </c>
      <c r="X7" t="s">
        <v>1100</v>
      </c>
      <c r="Y7" t="s">
        <v>1100</v>
      </c>
      <c r="Z7" t="s">
        <v>1100</v>
      </c>
      <c r="AA7" t="s">
        <v>1100</v>
      </c>
      <c r="AB7" t="s">
        <v>1100</v>
      </c>
      <c r="AC7" t="s">
        <v>1100</v>
      </c>
    </row>
    <row r="8" spans="1:135" ht="15" customHeight="1" x14ac:dyDescent="0.35">
      <c r="A8" s="47" t="s">
        <v>1095</v>
      </c>
      <c r="B8" t="s">
        <v>48</v>
      </c>
      <c r="C8" t="s">
        <v>1114</v>
      </c>
      <c r="D8">
        <v>2693</v>
      </c>
      <c r="E8" t="s">
        <v>1113</v>
      </c>
      <c r="G8" t="s">
        <v>1099</v>
      </c>
      <c r="H8">
        <v>1</v>
      </c>
      <c r="I8" t="s">
        <v>1100</v>
      </c>
      <c r="J8" t="s">
        <v>1100</v>
      </c>
      <c r="K8" t="s">
        <v>1100</v>
      </c>
      <c r="L8" t="s">
        <v>1100</v>
      </c>
      <c r="M8" t="s">
        <v>1100</v>
      </c>
      <c r="N8" t="s">
        <v>1100</v>
      </c>
      <c r="O8" t="s">
        <v>1100</v>
      </c>
      <c r="P8" t="s">
        <v>1100</v>
      </c>
      <c r="Q8" t="s">
        <v>1100</v>
      </c>
      <c r="R8" t="s">
        <v>1100</v>
      </c>
      <c r="S8" t="s">
        <v>1100</v>
      </c>
      <c r="T8" t="s">
        <v>1100</v>
      </c>
      <c r="U8" t="s">
        <v>1100</v>
      </c>
      <c r="V8" t="s">
        <v>1100</v>
      </c>
      <c r="W8" t="s">
        <v>1100</v>
      </c>
      <c r="X8" t="s">
        <v>1100</v>
      </c>
      <c r="Y8" t="s">
        <v>1100</v>
      </c>
      <c r="Z8" t="s">
        <v>1100</v>
      </c>
      <c r="AA8" t="s">
        <v>1100</v>
      </c>
      <c r="AB8" t="s">
        <v>1100</v>
      </c>
      <c r="AC8" t="s">
        <v>1100</v>
      </c>
    </row>
    <row r="9" spans="1:135" ht="15" customHeight="1" x14ac:dyDescent="0.35">
      <c r="A9" s="47" t="s">
        <v>1095</v>
      </c>
      <c r="B9" t="s">
        <v>49</v>
      </c>
      <c r="C9" t="s">
        <v>1115</v>
      </c>
      <c r="D9">
        <v>2694</v>
      </c>
      <c r="E9" t="s">
        <v>1113</v>
      </c>
      <c r="G9" t="s">
        <v>1099</v>
      </c>
      <c r="H9">
        <v>1</v>
      </c>
      <c r="I9" t="s">
        <v>1100</v>
      </c>
      <c r="J9" t="s">
        <v>1100</v>
      </c>
      <c r="K9" t="s">
        <v>1100</v>
      </c>
      <c r="L9" t="s">
        <v>1100</v>
      </c>
      <c r="M9" t="s">
        <v>1100</v>
      </c>
      <c r="N9" t="s">
        <v>1100</v>
      </c>
      <c r="O9" t="s">
        <v>1100</v>
      </c>
      <c r="P9" t="s">
        <v>1100</v>
      </c>
      <c r="Q9" t="s">
        <v>1100</v>
      </c>
      <c r="R9" t="s">
        <v>1100</v>
      </c>
      <c r="S9" t="s">
        <v>1100</v>
      </c>
      <c r="T9" t="s">
        <v>1100</v>
      </c>
      <c r="U9" t="s">
        <v>1100</v>
      </c>
      <c r="V9" t="s">
        <v>1100</v>
      </c>
      <c r="W9" t="s">
        <v>1100</v>
      </c>
      <c r="X9" t="s">
        <v>1100</v>
      </c>
      <c r="Y9" t="s">
        <v>1100</v>
      </c>
      <c r="Z9" t="s">
        <v>1100</v>
      </c>
      <c r="AA9" t="s">
        <v>1100</v>
      </c>
      <c r="AB9" t="s">
        <v>1100</v>
      </c>
      <c r="AC9" t="s">
        <v>1100</v>
      </c>
    </row>
    <row r="10" spans="1:135" ht="21" customHeight="1" x14ac:dyDescent="0.35">
      <c r="A10" s="47" t="s">
        <v>1095</v>
      </c>
      <c r="B10" t="s">
        <v>50</v>
      </c>
      <c r="C10" t="s">
        <v>1116</v>
      </c>
      <c r="D10">
        <v>2695</v>
      </c>
      <c r="E10" t="s">
        <v>1113</v>
      </c>
      <c r="G10" t="s">
        <v>1099</v>
      </c>
      <c r="H10">
        <v>1</v>
      </c>
      <c r="I10" t="s">
        <v>1100</v>
      </c>
      <c r="J10" t="s">
        <v>1100</v>
      </c>
      <c r="K10" t="s">
        <v>1100</v>
      </c>
      <c r="L10" t="s">
        <v>1100</v>
      </c>
      <c r="M10" t="s">
        <v>1100</v>
      </c>
      <c r="N10" t="s">
        <v>1100</v>
      </c>
      <c r="O10" t="s">
        <v>1100</v>
      </c>
      <c r="P10" t="s">
        <v>1100</v>
      </c>
      <c r="Q10" t="s">
        <v>1100</v>
      </c>
      <c r="R10" t="s">
        <v>1100</v>
      </c>
      <c r="S10" t="s">
        <v>1100</v>
      </c>
      <c r="T10" t="s">
        <v>1100</v>
      </c>
      <c r="U10" t="s">
        <v>1100</v>
      </c>
      <c r="V10" t="s">
        <v>1100</v>
      </c>
      <c r="W10" t="s">
        <v>1100</v>
      </c>
      <c r="X10" t="s">
        <v>1100</v>
      </c>
      <c r="Y10" t="s">
        <v>1100</v>
      </c>
      <c r="Z10" t="s">
        <v>1100</v>
      </c>
      <c r="AA10" t="s">
        <v>1100</v>
      </c>
      <c r="AB10" t="s">
        <v>1100</v>
      </c>
      <c r="AC10" t="s">
        <v>1100</v>
      </c>
    </row>
    <row r="11" spans="1:135" ht="21" customHeight="1" x14ac:dyDescent="0.35">
      <c r="A11" s="47" t="s">
        <v>1095</v>
      </c>
      <c r="B11" t="s">
        <v>1117</v>
      </c>
      <c r="C11" t="s">
        <v>1118</v>
      </c>
      <c r="E11" t="s">
        <v>1113</v>
      </c>
      <c r="G11" t="s">
        <v>1099</v>
      </c>
      <c r="H11">
        <v>1</v>
      </c>
    </row>
    <row r="12" spans="1:135" ht="21" customHeight="1" x14ac:dyDescent="0.35">
      <c r="A12" s="47" t="s">
        <v>1095</v>
      </c>
      <c r="B12" t="s">
        <v>1119</v>
      </c>
      <c r="C12" t="s">
        <v>1120</v>
      </c>
      <c r="E12" t="s">
        <v>1113</v>
      </c>
      <c r="G12" t="s">
        <v>1099</v>
      </c>
      <c r="H12">
        <v>1</v>
      </c>
    </row>
    <row r="13" spans="1:135" ht="13.5" customHeight="1" x14ac:dyDescent="0.35">
      <c r="A13" s="47" t="s">
        <v>1976</v>
      </c>
      <c r="B13" t="s">
        <v>1121</v>
      </c>
      <c r="C13" t="s">
        <v>1122</v>
      </c>
      <c r="D13">
        <v>2691</v>
      </c>
      <c r="E13" t="s">
        <v>1098</v>
      </c>
      <c r="G13" t="s">
        <v>1099</v>
      </c>
      <c r="H13">
        <v>1</v>
      </c>
      <c r="I13" t="s">
        <v>1100</v>
      </c>
      <c r="J13" t="s">
        <v>1100</v>
      </c>
      <c r="K13" t="s">
        <v>1100</v>
      </c>
      <c r="L13" t="s">
        <v>1100</v>
      </c>
      <c r="M13" t="s">
        <v>1100</v>
      </c>
      <c r="N13" t="s">
        <v>1100</v>
      </c>
      <c r="O13" t="s">
        <v>1100</v>
      </c>
      <c r="P13" t="s">
        <v>1100</v>
      </c>
      <c r="Q13" t="s">
        <v>1100</v>
      </c>
      <c r="R13" t="s">
        <v>1100</v>
      </c>
      <c r="S13" t="s">
        <v>1100</v>
      </c>
      <c r="T13" t="s">
        <v>1100</v>
      </c>
      <c r="U13" t="s">
        <v>1100</v>
      </c>
      <c r="V13" t="s">
        <v>1100</v>
      </c>
      <c r="W13" t="s">
        <v>1100</v>
      </c>
      <c r="X13" t="s">
        <v>1100</v>
      </c>
      <c r="Y13" t="s">
        <v>1100</v>
      </c>
      <c r="Z13" t="s">
        <v>1100</v>
      </c>
      <c r="AA13" t="s">
        <v>1100</v>
      </c>
      <c r="AB13" t="s">
        <v>1100</v>
      </c>
      <c r="AC13" t="s">
        <v>1100</v>
      </c>
    </row>
    <row r="14" spans="1:135" ht="15" customHeight="1" x14ac:dyDescent="0.35">
      <c r="A14" s="47" t="s">
        <v>1123</v>
      </c>
      <c r="B14" t="s">
        <v>46</v>
      </c>
      <c r="C14" t="s">
        <v>1124</v>
      </c>
      <c r="D14">
        <v>2696</v>
      </c>
      <c r="E14" t="s">
        <v>1098</v>
      </c>
      <c r="G14" t="s">
        <v>1099</v>
      </c>
      <c r="H14">
        <v>1</v>
      </c>
      <c r="I14" t="s">
        <v>1100</v>
      </c>
      <c r="J14" t="s">
        <v>1100</v>
      </c>
      <c r="K14" t="s">
        <v>1100</v>
      </c>
      <c r="L14" t="s">
        <v>1100</v>
      </c>
      <c r="M14" t="s">
        <v>1100</v>
      </c>
      <c r="N14" t="s">
        <v>1100</v>
      </c>
      <c r="O14" t="s">
        <v>1100</v>
      </c>
      <c r="P14" t="s">
        <v>1100</v>
      </c>
      <c r="Q14" t="s">
        <v>1100</v>
      </c>
      <c r="R14" t="s">
        <v>1100</v>
      </c>
      <c r="S14" t="s">
        <v>1100</v>
      </c>
      <c r="T14" t="s">
        <v>1100</v>
      </c>
      <c r="U14" t="s">
        <v>1100</v>
      </c>
      <c r="V14" t="s">
        <v>1100</v>
      </c>
      <c r="W14" t="s">
        <v>1100</v>
      </c>
      <c r="X14" t="s">
        <v>1100</v>
      </c>
      <c r="Y14" t="s">
        <v>1100</v>
      </c>
      <c r="Z14" t="s">
        <v>1100</v>
      </c>
      <c r="AA14" t="s">
        <v>1100</v>
      </c>
      <c r="AB14" t="s">
        <v>1100</v>
      </c>
      <c r="AC14" t="s">
        <v>1100</v>
      </c>
    </row>
    <row r="15" spans="1:135" ht="15" customHeight="1" x14ac:dyDescent="0.35">
      <c r="A15" s="47" t="s">
        <v>1123</v>
      </c>
      <c r="B15" t="s">
        <v>1462</v>
      </c>
      <c r="C15" t="s">
        <v>33</v>
      </c>
      <c r="D15">
        <v>2689</v>
      </c>
      <c r="E15" t="s">
        <v>1098</v>
      </c>
      <c r="G15" t="s">
        <v>1099</v>
      </c>
      <c r="H15">
        <v>1</v>
      </c>
    </row>
    <row r="16" spans="1:135" x14ac:dyDescent="0.35">
      <c r="A16" t="s">
        <v>1977</v>
      </c>
      <c r="B16" t="s">
        <v>1125</v>
      </c>
      <c r="C16" s="46" t="s">
        <v>1126</v>
      </c>
      <c r="D16">
        <v>1256</v>
      </c>
      <c r="E16" t="s">
        <v>1098</v>
      </c>
      <c r="G16" t="s">
        <v>1127</v>
      </c>
      <c r="H16">
        <v>1</v>
      </c>
      <c r="I16" t="s">
        <v>1100</v>
      </c>
      <c r="J16" t="s">
        <v>1100</v>
      </c>
      <c r="K16" t="s">
        <v>1100</v>
      </c>
      <c r="L16" t="s">
        <v>1100</v>
      </c>
      <c r="M16" t="s">
        <v>1100</v>
      </c>
      <c r="N16" t="s">
        <v>1100</v>
      </c>
      <c r="O16" t="s">
        <v>1100</v>
      </c>
      <c r="P16" t="s">
        <v>1100</v>
      </c>
      <c r="Q16" t="s">
        <v>1100</v>
      </c>
      <c r="R16" t="s">
        <v>1100</v>
      </c>
      <c r="S16" t="s">
        <v>1100</v>
      </c>
      <c r="T16" t="s">
        <v>1100</v>
      </c>
      <c r="U16" t="s">
        <v>1100</v>
      </c>
      <c r="V16" t="s">
        <v>1100</v>
      </c>
      <c r="W16" t="s">
        <v>1100</v>
      </c>
      <c r="X16" t="s">
        <v>1100</v>
      </c>
      <c r="Y16" t="s">
        <v>1100</v>
      </c>
      <c r="Z16" t="s">
        <v>1100</v>
      </c>
      <c r="AA16" t="s">
        <v>1100</v>
      </c>
      <c r="AB16" t="s">
        <v>1100</v>
      </c>
      <c r="AC16" t="s">
        <v>1100</v>
      </c>
    </row>
    <row r="17" spans="1:224" ht="15" customHeight="1" x14ac:dyDescent="0.35">
      <c r="A17" s="47" t="s">
        <v>1971</v>
      </c>
      <c r="B17" t="s">
        <v>1128</v>
      </c>
      <c r="C17" s="46" t="s">
        <v>1129</v>
      </c>
      <c r="D17">
        <v>1680</v>
      </c>
      <c r="E17" t="s">
        <v>1098</v>
      </c>
      <c r="G17" t="s">
        <v>1127</v>
      </c>
      <c r="H17">
        <v>1</v>
      </c>
    </row>
    <row r="18" spans="1:224" ht="15" customHeight="1" x14ac:dyDescent="0.35">
      <c r="A18" s="47" t="s">
        <v>1463</v>
      </c>
      <c r="B18" t="s">
        <v>59</v>
      </c>
      <c r="C18" s="46" t="s">
        <v>1130</v>
      </c>
      <c r="D18">
        <v>620</v>
      </c>
      <c r="E18" t="s">
        <v>1098</v>
      </c>
      <c r="G18" t="s">
        <v>1127</v>
      </c>
      <c r="H18">
        <v>1</v>
      </c>
      <c r="I18" t="s">
        <v>1100</v>
      </c>
      <c r="J18" t="s">
        <v>1100</v>
      </c>
      <c r="K18" t="s">
        <v>1100</v>
      </c>
      <c r="L18" t="s">
        <v>1100</v>
      </c>
      <c r="M18" t="s">
        <v>1100</v>
      </c>
      <c r="N18" t="s">
        <v>1100</v>
      </c>
      <c r="O18" t="s">
        <v>1100</v>
      </c>
      <c r="P18" t="s">
        <v>1100</v>
      </c>
      <c r="Q18" t="s">
        <v>1100</v>
      </c>
      <c r="R18" t="s">
        <v>1100</v>
      </c>
      <c r="S18" t="s">
        <v>1100</v>
      </c>
      <c r="T18" t="s">
        <v>1100</v>
      </c>
      <c r="U18" t="s">
        <v>1100</v>
      </c>
      <c r="V18" t="s">
        <v>1100</v>
      </c>
      <c r="W18" t="s">
        <v>1100</v>
      </c>
      <c r="X18" t="s">
        <v>1100</v>
      </c>
      <c r="Y18" t="s">
        <v>1100</v>
      </c>
      <c r="Z18" t="s">
        <v>1100</v>
      </c>
      <c r="AA18" t="s">
        <v>1100</v>
      </c>
      <c r="AB18" t="s">
        <v>1100</v>
      </c>
      <c r="AC18" t="s">
        <v>1100</v>
      </c>
    </row>
    <row r="19" spans="1:224" ht="15" customHeight="1" x14ac:dyDescent="0.35">
      <c r="A19" s="47" t="s">
        <v>1978</v>
      </c>
      <c r="B19" t="s">
        <v>1131</v>
      </c>
      <c r="C19" s="58" t="s">
        <v>1132</v>
      </c>
      <c r="D19">
        <v>1570</v>
      </c>
      <c r="E19" t="s">
        <v>1113</v>
      </c>
      <c r="G19" t="s">
        <v>1133</v>
      </c>
      <c r="H19">
        <v>1</v>
      </c>
      <c r="I19" t="s">
        <v>1100</v>
      </c>
      <c r="J19" t="s">
        <v>1100</v>
      </c>
      <c r="K19" t="s">
        <v>1100</v>
      </c>
      <c r="L19" t="s">
        <v>1100</v>
      </c>
      <c r="M19" t="s">
        <v>1100</v>
      </c>
      <c r="N19" t="s">
        <v>1100</v>
      </c>
      <c r="O19" t="s">
        <v>1100</v>
      </c>
      <c r="P19" t="s">
        <v>1100</v>
      </c>
      <c r="Q19" t="s">
        <v>1100</v>
      </c>
      <c r="R19" t="s">
        <v>1100</v>
      </c>
      <c r="S19" t="s">
        <v>1100</v>
      </c>
      <c r="T19" t="s">
        <v>1100</v>
      </c>
      <c r="U19" t="s">
        <v>1100</v>
      </c>
      <c r="V19" t="s">
        <v>1100</v>
      </c>
      <c r="W19" t="s">
        <v>1100</v>
      </c>
      <c r="X19" t="s">
        <v>1100</v>
      </c>
      <c r="Y19" t="s">
        <v>1100</v>
      </c>
      <c r="Z19" t="s">
        <v>1100</v>
      </c>
      <c r="AA19" t="s">
        <v>1100</v>
      </c>
      <c r="AB19" t="s">
        <v>1100</v>
      </c>
      <c r="AC19" t="s">
        <v>1100</v>
      </c>
    </row>
    <row r="20" spans="1:224" ht="15" customHeight="1" x14ac:dyDescent="0.35">
      <c r="A20" s="47" t="s">
        <v>1972</v>
      </c>
      <c r="B20" s="48" t="s">
        <v>1134</v>
      </c>
      <c r="C20" s="48" t="s">
        <v>1135</v>
      </c>
      <c r="D20" s="48">
        <v>1854</v>
      </c>
      <c r="E20" s="48" t="s">
        <v>1098</v>
      </c>
      <c r="F20" s="48"/>
      <c r="G20" s="48" t="s">
        <v>1133</v>
      </c>
      <c r="H20" s="48">
        <v>216</v>
      </c>
      <c r="I20" t="s">
        <v>1136</v>
      </c>
      <c r="J20" t="s">
        <v>1137</v>
      </c>
      <c r="K20" t="s">
        <v>1138</v>
      </c>
      <c r="L20" t="s">
        <v>1139</v>
      </c>
      <c r="M20" t="s">
        <v>1140</v>
      </c>
      <c r="N20" t="s">
        <v>1141</v>
      </c>
      <c r="O20" t="s">
        <v>1142</v>
      </c>
      <c r="P20" t="s">
        <v>1958</v>
      </c>
      <c r="Q20" t="s">
        <v>1143</v>
      </c>
      <c r="R20" t="s">
        <v>1144</v>
      </c>
      <c r="S20" t="s">
        <v>4681</v>
      </c>
      <c r="T20" t="s">
        <v>1145</v>
      </c>
      <c r="U20" s="49" t="s">
        <v>1146</v>
      </c>
      <c r="V20" t="s">
        <v>1147</v>
      </c>
      <c r="W20" s="49" t="s">
        <v>1148</v>
      </c>
      <c r="X20" t="s">
        <v>1149</v>
      </c>
      <c r="Y20" t="s">
        <v>1150</v>
      </c>
      <c r="Z20" t="s">
        <v>1151</v>
      </c>
      <c r="AA20" t="s">
        <v>1152</v>
      </c>
      <c r="AB20" t="s">
        <v>1153</v>
      </c>
      <c r="AC20" t="s">
        <v>1154</v>
      </c>
      <c r="AD20" t="s">
        <v>1956</v>
      </c>
      <c r="AE20" t="s">
        <v>1155</v>
      </c>
      <c r="AF20" t="s">
        <v>1156</v>
      </c>
      <c r="AG20" t="s">
        <v>1157</v>
      </c>
      <c r="AH20" t="s">
        <v>1158</v>
      </c>
      <c r="AI20" t="s">
        <v>1159</v>
      </c>
      <c r="AJ20" t="s">
        <v>1160</v>
      </c>
      <c r="AK20" t="s">
        <v>1959</v>
      </c>
      <c r="AL20" t="s">
        <v>1161</v>
      </c>
      <c r="AM20" t="s">
        <v>1162</v>
      </c>
      <c r="AN20" s="50" t="s">
        <v>1163</v>
      </c>
      <c r="AO20" s="49" t="s">
        <v>1164</v>
      </c>
      <c r="AP20" t="s">
        <v>1165</v>
      </c>
      <c r="AQ20" t="s">
        <v>1166</v>
      </c>
      <c r="AR20" t="s">
        <v>1167</v>
      </c>
      <c r="AS20" t="s">
        <v>1168</v>
      </c>
      <c r="AT20" t="s">
        <v>1169</v>
      </c>
      <c r="AU20" t="s">
        <v>1170</v>
      </c>
      <c r="AV20" t="s">
        <v>1171</v>
      </c>
      <c r="AW20" t="s">
        <v>1172</v>
      </c>
      <c r="AX20" t="s">
        <v>1173</v>
      </c>
      <c r="AY20" t="s">
        <v>1174</v>
      </c>
      <c r="AZ20" t="s">
        <v>1175</v>
      </c>
      <c r="BA20" t="s">
        <v>1176</v>
      </c>
      <c r="BB20" t="s">
        <v>1177</v>
      </c>
      <c r="BC20" t="s">
        <v>1178</v>
      </c>
      <c r="BD20" t="s">
        <v>1179</v>
      </c>
      <c r="BE20" t="s">
        <v>1180</v>
      </c>
      <c r="BF20" t="s">
        <v>1181</v>
      </c>
      <c r="BG20" t="s">
        <v>1182</v>
      </c>
      <c r="BH20" t="s">
        <v>1183</v>
      </c>
      <c r="BI20" t="s">
        <v>1184</v>
      </c>
      <c r="BJ20" t="s">
        <v>1185</v>
      </c>
      <c r="BK20" t="s">
        <v>1186</v>
      </c>
      <c r="BL20" t="s">
        <v>1187</v>
      </c>
      <c r="BM20" t="s">
        <v>1188</v>
      </c>
      <c r="BN20" t="s">
        <v>1189</v>
      </c>
      <c r="BO20" t="s">
        <v>1190</v>
      </c>
      <c r="BP20" t="s">
        <v>1191</v>
      </c>
      <c r="BQ20" t="s">
        <v>1192</v>
      </c>
      <c r="BR20" t="s">
        <v>1193</v>
      </c>
      <c r="BS20" t="s">
        <v>1194</v>
      </c>
      <c r="BT20" t="s">
        <v>1195</v>
      </c>
      <c r="BU20" t="s">
        <v>1196</v>
      </c>
      <c r="BV20" t="s">
        <v>1197</v>
      </c>
      <c r="BW20" t="s">
        <v>1198</v>
      </c>
      <c r="BX20" t="s">
        <v>1199</v>
      </c>
      <c r="BY20" t="s">
        <v>1200</v>
      </c>
      <c r="BZ20" t="s">
        <v>1201</v>
      </c>
      <c r="CA20" t="s">
        <v>1202</v>
      </c>
      <c r="CB20" t="s">
        <v>1203</v>
      </c>
      <c r="CC20" t="s">
        <v>1204</v>
      </c>
      <c r="CD20" t="s">
        <v>1205</v>
      </c>
      <c r="CE20" t="s">
        <v>1206</v>
      </c>
      <c r="CF20" t="s">
        <v>1207</v>
      </c>
      <c r="CG20" t="s">
        <v>1208</v>
      </c>
      <c r="CH20" t="s">
        <v>1209</v>
      </c>
      <c r="CI20" t="s">
        <v>1210</v>
      </c>
      <c r="CJ20" t="s">
        <v>1211</v>
      </c>
      <c r="CK20" t="s">
        <v>1212</v>
      </c>
      <c r="CL20" t="s">
        <v>1213</v>
      </c>
      <c r="CM20" t="s">
        <v>1214</v>
      </c>
      <c r="CN20" t="s">
        <v>1215</v>
      </c>
      <c r="CO20" t="s">
        <v>1216</v>
      </c>
      <c r="CP20" t="s">
        <v>1217</v>
      </c>
      <c r="CQ20" t="s">
        <v>1218</v>
      </c>
      <c r="CR20" t="s">
        <v>1219</v>
      </c>
      <c r="CS20" t="s">
        <v>1220</v>
      </c>
      <c r="CT20" t="s">
        <v>1221</v>
      </c>
      <c r="CU20" t="s">
        <v>1222</v>
      </c>
      <c r="CV20" t="s">
        <v>1960</v>
      </c>
      <c r="CW20" t="s">
        <v>1223</v>
      </c>
      <c r="CX20" t="s">
        <v>1224</v>
      </c>
      <c r="CY20" t="s">
        <v>1225</v>
      </c>
      <c r="CZ20" t="s">
        <v>1226</v>
      </c>
      <c r="DA20" t="s">
        <v>1227</v>
      </c>
      <c r="DB20" t="s">
        <v>1228</v>
      </c>
      <c r="DC20" t="s">
        <v>1229</v>
      </c>
      <c r="DD20" t="s">
        <v>1230</v>
      </c>
      <c r="DE20" t="s">
        <v>1231</v>
      </c>
      <c r="DF20" t="s">
        <v>1232</v>
      </c>
      <c r="DG20" t="s">
        <v>1233</v>
      </c>
      <c r="DH20" t="s">
        <v>1234</v>
      </c>
      <c r="DI20" t="s">
        <v>1235</v>
      </c>
      <c r="DJ20" t="s">
        <v>1236</v>
      </c>
      <c r="DK20" t="s">
        <v>1237</v>
      </c>
      <c r="DL20" t="s">
        <v>1238</v>
      </c>
      <c r="DM20" t="s">
        <v>1239</v>
      </c>
      <c r="DN20" t="s">
        <v>1240</v>
      </c>
      <c r="DO20" t="s">
        <v>1241</v>
      </c>
      <c r="DP20" t="s">
        <v>1979</v>
      </c>
      <c r="DQ20" s="51" t="s">
        <v>1242</v>
      </c>
      <c r="DR20" t="s">
        <v>1243</v>
      </c>
      <c r="DS20" t="s">
        <v>1244</v>
      </c>
      <c r="DT20" s="52" t="s">
        <v>1245</v>
      </c>
      <c r="DU20" t="s">
        <v>1246</v>
      </c>
      <c r="DV20" t="s">
        <v>1247</v>
      </c>
      <c r="DW20" t="s">
        <v>1248</v>
      </c>
      <c r="DX20" t="s">
        <v>1249</v>
      </c>
      <c r="DY20" t="s">
        <v>1250</v>
      </c>
      <c r="DZ20" t="s">
        <v>1251</v>
      </c>
      <c r="EA20" t="s">
        <v>1252</v>
      </c>
      <c r="EB20" t="s">
        <v>1253</v>
      </c>
      <c r="EC20" t="s">
        <v>1254</v>
      </c>
      <c r="ED20" t="s">
        <v>1255</v>
      </c>
      <c r="EE20" t="s">
        <v>1256</v>
      </c>
      <c r="EF20" t="s">
        <v>1257</v>
      </c>
      <c r="EG20" t="s">
        <v>1258</v>
      </c>
      <c r="EH20" t="s">
        <v>1259</v>
      </c>
      <c r="EI20" t="s">
        <v>1260</v>
      </c>
      <c r="EJ20" t="s">
        <v>1261</v>
      </c>
      <c r="EK20" t="s">
        <v>1262</v>
      </c>
      <c r="EL20" t="s">
        <v>1263</v>
      </c>
      <c r="EM20" t="s">
        <v>1264</v>
      </c>
      <c r="EN20" s="53" t="s">
        <v>1265</v>
      </c>
      <c r="EO20" s="54" t="s">
        <v>1266</v>
      </c>
      <c r="EP20" s="54" t="s">
        <v>1267</v>
      </c>
      <c r="EQ20" s="54" t="s">
        <v>1268</v>
      </c>
      <c r="ER20" t="s">
        <v>1269</v>
      </c>
      <c r="ES20" t="s">
        <v>1270</v>
      </c>
      <c r="ET20" t="s">
        <v>1271</v>
      </c>
      <c r="EU20" t="s">
        <v>1965</v>
      </c>
      <c r="EV20" t="s">
        <v>1272</v>
      </c>
      <c r="EW20" t="s">
        <v>1273</v>
      </c>
      <c r="EX20" s="51" t="s">
        <v>1274</v>
      </c>
      <c r="EY20" t="s">
        <v>1275</v>
      </c>
      <c r="EZ20" t="s">
        <v>1276</v>
      </c>
      <c r="FA20" t="s">
        <v>1277</v>
      </c>
      <c r="FB20" t="s">
        <v>1278</v>
      </c>
      <c r="FC20" t="s">
        <v>1279</v>
      </c>
      <c r="FD20" t="s">
        <v>1280</v>
      </c>
      <c r="FE20" t="s">
        <v>1281</v>
      </c>
      <c r="FF20" t="s">
        <v>1282</v>
      </c>
      <c r="FG20" t="s">
        <v>1283</v>
      </c>
      <c r="FH20" s="51" t="s">
        <v>1284</v>
      </c>
      <c r="FI20" t="s">
        <v>1285</v>
      </c>
      <c r="FJ20" t="s">
        <v>1286</v>
      </c>
      <c r="FK20" t="s">
        <v>1287</v>
      </c>
      <c r="FL20" t="s">
        <v>1288</v>
      </c>
      <c r="FM20" t="s">
        <v>1289</v>
      </c>
      <c r="FN20" t="s">
        <v>1290</v>
      </c>
      <c r="FO20" t="s">
        <v>1291</v>
      </c>
      <c r="FP20" t="s">
        <v>1292</v>
      </c>
      <c r="FQ20" t="s">
        <v>1293</v>
      </c>
      <c r="FR20" t="s">
        <v>1294</v>
      </c>
      <c r="FS20" t="s">
        <v>1295</v>
      </c>
      <c r="FT20" t="s">
        <v>1296</v>
      </c>
      <c r="FU20" s="51" t="s">
        <v>1297</v>
      </c>
      <c r="FV20" s="49" t="s">
        <v>1298</v>
      </c>
      <c r="FW20" t="s">
        <v>1299</v>
      </c>
      <c r="FX20" t="s">
        <v>1300</v>
      </c>
      <c r="FY20" t="s">
        <v>1301</v>
      </c>
      <c r="FZ20" t="s">
        <v>1302</v>
      </c>
      <c r="GA20" t="s">
        <v>1303</v>
      </c>
      <c r="GB20" t="s">
        <v>1304</v>
      </c>
      <c r="GC20" t="s">
        <v>1305</v>
      </c>
      <c r="GD20" t="s">
        <v>1306</v>
      </c>
      <c r="GE20" s="49" t="s">
        <v>1307</v>
      </c>
      <c r="GF20" t="s">
        <v>1308</v>
      </c>
      <c r="GG20" t="s">
        <v>1309</v>
      </c>
      <c r="GH20" t="s">
        <v>1310</v>
      </c>
      <c r="GI20" t="s">
        <v>4682</v>
      </c>
      <c r="GJ20" s="49" t="s">
        <v>4683</v>
      </c>
      <c r="GK20" t="s">
        <v>1311</v>
      </c>
      <c r="GL20" t="s">
        <v>1957</v>
      </c>
      <c r="GM20" s="49" t="s">
        <v>1312</v>
      </c>
      <c r="GN20" t="s">
        <v>1313</v>
      </c>
      <c r="GO20" t="s">
        <v>1963</v>
      </c>
      <c r="GP20" s="49" t="s">
        <v>1314</v>
      </c>
      <c r="GQ20" s="49" t="s">
        <v>1315</v>
      </c>
      <c r="GR20" s="49" t="s">
        <v>1316</v>
      </c>
      <c r="GS20" s="51" t="s">
        <v>1970</v>
      </c>
      <c r="GT20" t="s">
        <v>1317</v>
      </c>
      <c r="GU20" s="50" t="s">
        <v>1318</v>
      </c>
      <c r="GV20" t="s">
        <v>1319</v>
      </c>
      <c r="GW20" t="s">
        <v>1320</v>
      </c>
      <c r="GX20" t="s">
        <v>1321</v>
      </c>
      <c r="GY20" t="s">
        <v>1955</v>
      </c>
      <c r="GZ20" s="49" t="s">
        <v>1322</v>
      </c>
      <c r="HA20" t="s">
        <v>4680</v>
      </c>
      <c r="HB20" s="49" t="s">
        <v>1964</v>
      </c>
      <c r="HC20" s="55" t="s">
        <v>1323</v>
      </c>
      <c r="HD20" t="s">
        <v>1324</v>
      </c>
      <c r="HE20" t="s">
        <v>1325</v>
      </c>
      <c r="HF20" t="s">
        <v>1326</v>
      </c>
      <c r="HG20" t="s">
        <v>1327</v>
      </c>
      <c r="HH20" t="s">
        <v>1328</v>
      </c>
      <c r="HI20" s="56" t="s">
        <v>1329</v>
      </c>
      <c r="HJ20" t="s">
        <v>1330</v>
      </c>
      <c r="HK20" t="s">
        <v>1331</v>
      </c>
      <c r="HL20" t="s">
        <v>1332</v>
      </c>
      <c r="HM20" t="s">
        <v>1333</v>
      </c>
      <c r="HN20" t="s">
        <v>1334</v>
      </c>
      <c r="HO20" t="s">
        <v>1980</v>
      </c>
      <c r="HP20" t="s">
        <v>250</v>
      </c>
    </row>
    <row r="21" spans="1:224" ht="15" customHeight="1" x14ac:dyDescent="0.35">
      <c r="A21" s="47" t="s">
        <v>1335</v>
      </c>
      <c r="B21" s="48" t="s">
        <v>1336</v>
      </c>
      <c r="C21" s="48" t="s">
        <v>1337</v>
      </c>
      <c r="D21" s="48"/>
      <c r="E21" s="48" t="s">
        <v>1098</v>
      </c>
      <c r="F21" s="48"/>
      <c r="G21" s="48" t="s">
        <v>1133</v>
      </c>
      <c r="H21" s="48">
        <v>152</v>
      </c>
      <c r="I21" t="s">
        <v>1446</v>
      </c>
      <c r="J21" t="s">
        <v>1373</v>
      </c>
      <c r="K21" t="s">
        <v>1374</v>
      </c>
      <c r="L21" t="s">
        <v>1375</v>
      </c>
      <c r="M21" t="s">
        <v>1376</v>
      </c>
      <c r="N21" t="s">
        <v>1377</v>
      </c>
      <c r="O21" t="s">
        <v>1378</v>
      </c>
      <c r="P21" t="s">
        <v>1379</v>
      </c>
      <c r="Q21" t="s">
        <v>1380</v>
      </c>
      <c r="R21" t="s">
        <v>1443</v>
      </c>
      <c r="S21" t="s">
        <v>1460</v>
      </c>
      <c r="T21" t="s">
        <v>1981</v>
      </c>
      <c r="U21" t="s">
        <v>1353</v>
      </c>
      <c r="V21" t="s">
        <v>1354</v>
      </c>
      <c r="W21" t="s">
        <v>1355</v>
      </c>
      <c r="X21" t="s">
        <v>1356</v>
      </c>
      <c r="Y21" t="s">
        <v>1357</v>
      </c>
      <c r="Z21" t="s">
        <v>1968</v>
      </c>
      <c r="AA21" t="s">
        <v>1982</v>
      </c>
      <c r="AB21" t="s">
        <v>1983</v>
      </c>
      <c r="AC21" t="s">
        <v>1984</v>
      </c>
      <c r="AD21" t="s">
        <v>1358</v>
      </c>
      <c r="AE21" t="s">
        <v>1359</v>
      </c>
      <c r="AF21" t="s">
        <v>1360</v>
      </c>
      <c r="AG21" t="s">
        <v>1361</v>
      </c>
      <c r="AH21" t="s">
        <v>1362</v>
      </c>
      <c r="AI21" t="s">
        <v>1985</v>
      </c>
      <c r="AJ21" t="s">
        <v>1363</v>
      </c>
      <c r="AK21" t="s">
        <v>1364</v>
      </c>
      <c r="AL21" t="s">
        <v>1365</v>
      </c>
      <c r="AM21" t="s">
        <v>1366</v>
      </c>
      <c r="AN21" t="s">
        <v>1367</v>
      </c>
      <c r="AO21" t="s">
        <v>1368</v>
      </c>
      <c r="AP21" t="s">
        <v>1369</v>
      </c>
      <c r="AQ21" t="s">
        <v>1370</v>
      </c>
      <c r="AR21" t="s">
        <v>1371</v>
      </c>
      <c r="AS21" t="s">
        <v>1372</v>
      </c>
      <c r="AT21" t="s">
        <v>1425</v>
      </c>
      <c r="AU21" t="s">
        <v>1426</v>
      </c>
      <c r="AV21" t="s">
        <v>1427</v>
      </c>
      <c r="AW21" t="s">
        <v>1428</v>
      </c>
      <c r="AX21" t="s">
        <v>1429</v>
      </c>
      <c r="AY21" t="s">
        <v>1430</v>
      </c>
      <c r="AZ21" t="s">
        <v>1431</v>
      </c>
      <c r="BA21" t="s">
        <v>1969</v>
      </c>
      <c r="BB21" t="s">
        <v>1432</v>
      </c>
      <c r="BC21" t="s">
        <v>1433</v>
      </c>
      <c r="BD21" t="s">
        <v>1434</v>
      </c>
      <c r="BE21" t="s">
        <v>1435</v>
      </c>
      <c r="BF21" t="s">
        <v>1436</v>
      </c>
      <c r="BG21" t="s">
        <v>1437</v>
      </c>
      <c r="BH21" t="s">
        <v>1438</v>
      </c>
      <c r="BI21" t="s">
        <v>1439</v>
      </c>
      <c r="BJ21" t="s">
        <v>1440</v>
      </c>
      <c r="BK21" t="s">
        <v>1441</v>
      </c>
      <c r="BL21" t="s">
        <v>1442</v>
      </c>
      <c r="BM21" t="s">
        <v>1444</v>
      </c>
      <c r="BN21" t="s">
        <v>1445</v>
      </c>
      <c r="BO21" t="s">
        <v>1448</v>
      </c>
      <c r="BP21" t="s">
        <v>1449</v>
      </c>
      <c r="BQ21" t="s">
        <v>1450</v>
      </c>
      <c r="BR21" t="s">
        <v>1451</v>
      </c>
      <c r="BS21" t="s">
        <v>1455</v>
      </c>
      <c r="BT21" t="s">
        <v>1456</v>
      </c>
      <c r="BU21" t="s">
        <v>1457</v>
      </c>
      <c r="BV21" t="s">
        <v>1986</v>
      </c>
      <c r="BW21" t="s">
        <v>1987</v>
      </c>
      <c r="BX21" t="s">
        <v>1458</v>
      </c>
      <c r="BY21" t="s">
        <v>1338</v>
      </c>
      <c r="BZ21" t="s">
        <v>1339</v>
      </c>
      <c r="CA21" t="s">
        <v>1340</v>
      </c>
      <c r="CB21" t="s">
        <v>1341</v>
      </c>
      <c r="CC21" t="s">
        <v>1342</v>
      </c>
      <c r="CD21" t="s">
        <v>1343</v>
      </c>
      <c r="CE21" t="s">
        <v>1344</v>
      </c>
      <c r="CF21" t="s">
        <v>1345</v>
      </c>
      <c r="CG21" t="s">
        <v>1346</v>
      </c>
      <c r="CH21" t="s">
        <v>1347</v>
      </c>
      <c r="CI21" t="s">
        <v>1348</v>
      </c>
      <c r="CJ21" t="s">
        <v>1349</v>
      </c>
      <c r="CK21" t="s">
        <v>1350</v>
      </c>
      <c r="CL21" t="s">
        <v>1351</v>
      </c>
      <c r="CM21" t="s">
        <v>1352</v>
      </c>
      <c r="CN21" t="s">
        <v>1387</v>
      </c>
      <c r="CO21" t="s">
        <v>1388</v>
      </c>
      <c r="CP21" t="s">
        <v>1988</v>
      </c>
      <c r="CQ21" t="s">
        <v>1389</v>
      </c>
      <c r="CR21" t="s">
        <v>1989</v>
      </c>
      <c r="CS21" t="s">
        <v>1395</v>
      </c>
      <c r="CT21" t="s">
        <v>1396</v>
      </c>
      <c r="CU21" t="s">
        <v>1397</v>
      </c>
      <c r="CV21" t="s">
        <v>1990</v>
      </c>
      <c r="CW21" t="s">
        <v>1991</v>
      </c>
      <c r="CX21" t="s">
        <v>1992</v>
      </c>
      <c r="CY21" t="s">
        <v>1390</v>
      </c>
      <c r="CZ21" t="s">
        <v>1391</v>
      </c>
      <c r="DA21" t="s">
        <v>1392</v>
      </c>
      <c r="DB21" t="s">
        <v>1393</v>
      </c>
      <c r="DC21" t="s">
        <v>1398</v>
      </c>
      <c r="DD21" t="s">
        <v>1399</v>
      </c>
      <c r="DE21" t="s">
        <v>1400</v>
      </c>
      <c r="DF21" t="s">
        <v>1401</v>
      </c>
      <c r="DG21" t="s">
        <v>1402</v>
      </c>
      <c r="DH21" t="s">
        <v>1403</v>
      </c>
      <c r="DI21" t="s">
        <v>1404</v>
      </c>
      <c r="DJ21" t="s">
        <v>1993</v>
      </c>
      <c r="DK21" t="s">
        <v>1405</v>
      </c>
      <c r="DL21" t="s">
        <v>1406</v>
      </c>
      <c r="DM21" t="s">
        <v>1407</v>
      </c>
      <c r="DN21" t="s">
        <v>1408</v>
      </c>
      <c r="DO21" t="s">
        <v>1409</v>
      </c>
      <c r="DP21" t="s">
        <v>1410</v>
      </c>
      <c r="DQ21" t="s">
        <v>1411</v>
      </c>
      <c r="DR21" t="s">
        <v>1994</v>
      </c>
      <c r="DS21" t="s">
        <v>1995</v>
      </c>
      <c r="DT21" t="s">
        <v>1962</v>
      </c>
      <c r="DU21" t="s">
        <v>1996</v>
      </c>
      <c r="DV21" t="s">
        <v>1997</v>
      </c>
      <c r="DW21" t="s">
        <v>1998</v>
      </c>
      <c r="DX21" t="s">
        <v>1412</v>
      </c>
      <c r="DY21" t="s">
        <v>1413</v>
      </c>
      <c r="DZ21" t="s">
        <v>1414</v>
      </c>
      <c r="EA21" t="s">
        <v>1415</v>
      </c>
      <c r="EB21" t="s">
        <v>1416</v>
      </c>
      <c r="EC21" t="s">
        <v>1417</v>
      </c>
      <c r="ED21" t="s">
        <v>1418</v>
      </c>
      <c r="EE21" t="s">
        <v>1999</v>
      </c>
      <c r="EF21" t="s">
        <v>2000</v>
      </c>
      <c r="EG21" t="s">
        <v>1419</v>
      </c>
      <c r="EH21" t="s">
        <v>1420</v>
      </c>
      <c r="EI21" t="s">
        <v>1421</v>
      </c>
      <c r="EJ21" t="s">
        <v>1422</v>
      </c>
      <c r="EK21" t="s">
        <v>1423</v>
      </c>
      <c r="EL21" t="s">
        <v>1424</v>
      </c>
      <c r="EM21" t="s">
        <v>1447</v>
      </c>
      <c r="EN21" t="s">
        <v>1452</v>
      </c>
      <c r="EO21" t="s">
        <v>1453</v>
      </c>
      <c r="EP21" t="s">
        <v>1454</v>
      </c>
      <c r="EQ21" t="s">
        <v>2001</v>
      </c>
      <c r="ER21" t="s">
        <v>2002</v>
      </c>
      <c r="ES21" t="s">
        <v>2003</v>
      </c>
      <c r="ET21" t="s">
        <v>1459</v>
      </c>
      <c r="EU21" t="s">
        <v>1461</v>
      </c>
      <c r="EV21" t="s">
        <v>1961</v>
      </c>
      <c r="EW21" t="s">
        <v>1381</v>
      </c>
      <c r="EX21" t="s">
        <v>1382</v>
      </c>
      <c r="EY21" t="s">
        <v>1383</v>
      </c>
      <c r="EZ21" t="s">
        <v>1384</v>
      </c>
      <c r="FA21" t="s">
        <v>1385</v>
      </c>
      <c r="FB21" t="s">
        <v>1386</v>
      </c>
      <c r="FC21" t="s">
        <v>2004</v>
      </c>
      <c r="FD21" t="s">
        <v>1394</v>
      </c>
      <c r="FS21" s="49"/>
      <c r="FU21" s="49"/>
      <c r="FV21" s="49"/>
      <c r="FW21" s="49"/>
      <c r="GC21" s="49"/>
      <c r="GD21" s="55"/>
      <c r="GF21" s="56"/>
      <c r="GN21" s="53"/>
    </row>
    <row r="22" spans="1:224" x14ac:dyDescent="0.35">
      <c r="A22" t="s">
        <v>1463</v>
      </c>
      <c r="B22" t="s">
        <v>1464</v>
      </c>
      <c r="C22" t="s">
        <v>1465</v>
      </c>
      <c r="D22">
        <v>1676</v>
      </c>
      <c r="E22" t="s">
        <v>1098</v>
      </c>
      <c r="G22" t="s">
        <v>1466</v>
      </c>
      <c r="H22">
        <v>2</v>
      </c>
      <c r="I22" t="s">
        <v>1467</v>
      </c>
      <c r="J22" t="s">
        <v>1468</v>
      </c>
      <c r="K22" t="s">
        <v>1100</v>
      </c>
      <c r="L22" t="s">
        <v>1100</v>
      </c>
      <c r="M22" t="s">
        <v>1100</v>
      </c>
      <c r="N22" t="s">
        <v>1100</v>
      </c>
      <c r="O22" t="s">
        <v>1100</v>
      </c>
      <c r="P22" t="s">
        <v>1100</v>
      </c>
      <c r="Q22" t="s">
        <v>1100</v>
      </c>
      <c r="R22" t="s">
        <v>1100</v>
      </c>
      <c r="S22" t="s">
        <v>1100</v>
      </c>
      <c r="T22" t="s">
        <v>1100</v>
      </c>
      <c r="U22" t="s">
        <v>1100</v>
      </c>
      <c r="V22" t="s">
        <v>1100</v>
      </c>
      <c r="W22" t="s">
        <v>1100</v>
      </c>
      <c r="X22" t="s">
        <v>1100</v>
      </c>
      <c r="Y22" t="s">
        <v>1100</v>
      </c>
      <c r="Z22" t="s">
        <v>1100</v>
      </c>
      <c r="AA22" t="s">
        <v>1100</v>
      </c>
      <c r="AB22" t="s">
        <v>1100</v>
      </c>
      <c r="AC22" t="s">
        <v>1100</v>
      </c>
    </row>
    <row r="23" spans="1:224" x14ac:dyDescent="0.35">
      <c r="A23" t="s">
        <v>1463</v>
      </c>
      <c r="B23" t="s">
        <v>1469</v>
      </c>
      <c r="C23" t="s">
        <v>1470</v>
      </c>
      <c r="D23">
        <v>1673</v>
      </c>
      <c r="E23" t="s">
        <v>1098</v>
      </c>
      <c r="G23" t="s">
        <v>1466</v>
      </c>
      <c r="H23">
        <v>2</v>
      </c>
      <c r="I23" t="s">
        <v>1467</v>
      </c>
      <c r="J23" t="s">
        <v>1468</v>
      </c>
      <c r="K23" t="s">
        <v>1100</v>
      </c>
      <c r="L23" t="s">
        <v>1100</v>
      </c>
      <c r="M23" t="s">
        <v>1100</v>
      </c>
      <c r="N23" t="s">
        <v>1100</v>
      </c>
      <c r="O23" t="s">
        <v>1100</v>
      </c>
      <c r="P23" t="s">
        <v>1100</v>
      </c>
      <c r="Q23" t="s">
        <v>1100</v>
      </c>
      <c r="R23" t="s">
        <v>1100</v>
      </c>
      <c r="S23" t="s">
        <v>1100</v>
      </c>
      <c r="T23" t="s">
        <v>1100</v>
      </c>
      <c r="U23" t="s">
        <v>1100</v>
      </c>
      <c r="V23" t="s">
        <v>1100</v>
      </c>
      <c r="W23" t="s">
        <v>1100</v>
      </c>
      <c r="X23" t="s">
        <v>1100</v>
      </c>
      <c r="Y23" t="s">
        <v>1100</v>
      </c>
      <c r="Z23" t="s">
        <v>1100</v>
      </c>
      <c r="AA23" t="s">
        <v>1100</v>
      </c>
      <c r="AB23" t="s">
        <v>1100</v>
      </c>
      <c r="AC23" t="s">
        <v>1100</v>
      </c>
    </row>
    <row r="24" spans="1:224" x14ac:dyDescent="0.35">
      <c r="A24" t="s">
        <v>1463</v>
      </c>
      <c r="B24" t="s">
        <v>1471</v>
      </c>
      <c r="C24" t="s">
        <v>1472</v>
      </c>
      <c r="D24">
        <v>917</v>
      </c>
      <c r="E24" t="s">
        <v>1098</v>
      </c>
      <c r="G24" t="s">
        <v>1466</v>
      </c>
      <c r="H24">
        <v>2</v>
      </c>
      <c r="I24" t="s">
        <v>1473</v>
      </c>
      <c r="J24" t="s">
        <v>1474</v>
      </c>
      <c r="K24" t="s">
        <v>1100</v>
      </c>
      <c r="L24" t="s">
        <v>1100</v>
      </c>
      <c r="M24" t="s">
        <v>1100</v>
      </c>
      <c r="N24" t="s">
        <v>1100</v>
      </c>
      <c r="O24" t="s">
        <v>1100</v>
      </c>
      <c r="P24" t="s">
        <v>1100</v>
      </c>
      <c r="Q24" t="s">
        <v>1100</v>
      </c>
      <c r="R24" t="s">
        <v>1100</v>
      </c>
      <c r="S24" t="s">
        <v>1100</v>
      </c>
      <c r="T24" t="s">
        <v>1100</v>
      </c>
      <c r="U24" t="s">
        <v>1100</v>
      </c>
      <c r="V24" t="s">
        <v>1100</v>
      </c>
      <c r="W24" t="s">
        <v>1100</v>
      </c>
      <c r="X24" t="s">
        <v>1100</v>
      </c>
      <c r="Y24" t="s">
        <v>1100</v>
      </c>
      <c r="Z24" t="s">
        <v>1100</v>
      </c>
      <c r="AA24" t="s">
        <v>1100</v>
      </c>
      <c r="AB24" t="s">
        <v>1100</v>
      </c>
      <c r="AC24" t="s">
        <v>1100</v>
      </c>
    </row>
    <row r="25" spans="1:224" x14ac:dyDescent="0.35">
      <c r="A25" t="s">
        <v>1463</v>
      </c>
      <c r="B25" t="s">
        <v>1475</v>
      </c>
      <c r="C25" t="s">
        <v>1476</v>
      </c>
      <c r="D25">
        <v>1675</v>
      </c>
      <c r="E25" t="s">
        <v>1098</v>
      </c>
      <c r="G25" t="s">
        <v>1466</v>
      </c>
      <c r="H25">
        <v>3</v>
      </c>
      <c r="I25" t="s">
        <v>1477</v>
      </c>
      <c r="J25" t="s">
        <v>1478</v>
      </c>
      <c r="K25" t="s">
        <v>1479</v>
      </c>
      <c r="L25" t="s">
        <v>1100</v>
      </c>
      <c r="M25" t="s">
        <v>1100</v>
      </c>
      <c r="N25" t="s">
        <v>1100</v>
      </c>
      <c r="O25" t="s">
        <v>1100</v>
      </c>
      <c r="P25" t="s">
        <v>1100</v>
      </c>
      <c r="Q25" t="s">
        <v>1100</v>
      </c>
      <c r="R25" t="s">
        <v>1100</v>
      </c>
      <c r="S25" t="s">
        <v>1100</v>
      </c>
      <c r="T25" t="s">
        <v>1100</v>
      </c>
      <c r="U25" t="s">
        <v>1100</v>
      </c>
      <c r="V25" t="s">
        <v>1100</v>
      </c>
      <c r="W25" t="s">
        <v>1100</v>
      </c>
      <c r="X25" t="s">
        <v>1100</v>
      </c>
      <c r="Y25" t="s">
        <v>1100</v>
      </c>
      <c r="Z25" t="s">
        <v>1100</v>
      </c>
      <c r="AA25" t="s">
        <v>1100</v>
      </c>
      <c r="AB25" t="s">
        <v>1100</v>
      </c>
      <c r="AC25" t="s">
        <v>1100</v>
      </c>
    </row>
    <row r="26" spans="1:224" x14ac:dyDescent="0.35">
      <c r="A26" t="s">
        <v>1480</v>
      </c>
      <c r="B26" t="s">
        <v>1481</v>
      </c>
      <c r="C26" t="s">
        <v>1482</v>
      </c>
      <c r="D26">
        <v>1668</v>
      </c>
      <c r="E26" t="s">
        <v>1483</v>
      </c>
      <c r="G26" t="s">
        <v>1127</v>
      </c>
      <c r="H26">
        <v>1</v>
      </c>
      <c r="I26" t="s">
        <v>1100</v>
      </c>
      <c r="J26" t="s">
        <v>1100</v>
      </c>
      <c r="K26" t="s">
        <v>1100</v>
      </c>
      <c r="L26" t="s">
        <v>1100</v>
      </c>
      <c r="M26" t="s">
        <v>1100</v>
      </c>
      <c r="N26" t="s">
        <v>1100</v>
      </c>
      <c r="O26" t="s">
        <v>1100</v>
      </c>
      <c r="P26" t="s">
        <v>1100</v>
      </c>
      <c r="Q26" t="s">
        <v>1100</v>
      </c>
      <c r="R26" t="s">
        <v>1100</v>
      </c>
      <c r="S26" t="s">
        <v>1100</v>
      </c>
      <c r="T26" t="s">
        <v>1100</v>
      </c>
      <c r="U26" t="s">
        <v>1100</v>
      </c>
      <c r="V26" t="s">
        <v>1100</v>
      </c>
      <c r="W26" t="s">
        <v>1100</v>
      </c>
      <c r="X26" t="s">
        <v>1100</v>
      </c>
      <c r="Y26" t="s">
        <v>1100</v>
      </c>
      <c r="Z26" t="s">
        <v>1100</v>
      </c>
      <c r="AA26" t="s">
        <v>1100</v>
      </c>
      <c r="AB26" t="s">
        <v>1100</v>
      </c>
      <c r="AC26" t="s">
        <v>1100</v>
      </c>
    </row>
    <row r="27" spans="1:224" x14ac:dyDescent="0.35">
      <c r="A27" t="s">
        <v>1484</v>
      </c>
      <c r="B27" t="s">
        <v>1485</v>
      </c>
      <c r="C27" t="s">
        <v>1486</v>
      </c>
      <c r="D27">
        <v>1666</v>
      </c>
      <c r="E27" t="s">
        <v>1483</v>
      </c>
      <c r="G27" t="s">
        <v>1127</v>
      </c>
      <c r="H27">
        <v>1</v>
      </c>
      <c r="I27" t="s">
        <v>1100</v>
      </c>
      <c r="J27" t="s">
        <v>1100</v>
      </c>
      <c r="K27" t="s">
        <v>1100</v>
      </c>
      <c r="L27" t="s">
        <v>1100</v>
      </c>
      <c r="M27" t="s">
        <v>1100</v>
      </c>
      <c r="N27" t="s">
        <v>1100</v>
      </c>
      <c r="O27" t="s">
        <v>1100</v>
      </c>
      <c r="P27" t="s">
        <v>1100</v>
      </c>
      <c r="Q27" t="s">
        <v>1100</v>
      </c>
      <c r="R27" t="s">
        <v>1100</v>
      </c>
      <c r="S27" t="s">
        <v>1100</v>
      </c>
      <c r="T27" t="s">
        <v>1100</v>
      </c>
      <c r="U27" t="s">
        <v>1100</v>
      </c>
      <c r="V27" t="s">
        <v>1100</v>
      </c>
      <c r="W27" t="s">
        <v>1100</v>
      </c>
      <c r="X27" t="s">
        <v>1100</v>
      </c>
      <c r="Y27" t="s">
        <v>1100</v>
      </c>
      <c r="Z27" t="s">
        <v>1100</v>
      </c>
      <c r="AA27" t="s">
        <v>1100</v>
      </c>
      <c r="AB27" t="s">
        <v>1100</v>
      </c>
      <c r="AC27" t="s">
        <v>1100</v>
      </c>
    </row>
    <row r="28" spans="1:224" x14ac:dyDescent="0.35">
      <c r="A28" t="s">
        <v>1920</v>
      </c>
      <c r="B28" t="s">
        <v>1487</v>
      </c>
      <c r="C28" s="46" t="s">
        <v>1488</v>
      </c>
      <c r="D28">
        <v>1707</v>
      </c>
      <c r="E28" t="s">
        <v>1098</v>
      </c>
      <c r="G28" t="s">
        <v>1127</v>
      </c>
      <c r="H28">
        <v>1</v>
      </c>
      <c r="I28" t="s">
        <v>1100</v>
      </c>
      <c r="J28" t="s">
        <v>1100</v>
      </c>
      <c r="K28" t="s">
        <v>1100</v>
      </c>
      <c r="L28" t="s">
        <v>1100</v>
      </c>
      <c r="M28" t="s">
        <v>1100</v>
      </c>
      <c r="N28" t="s">
        <v>1100</v>
      </c>
      <c r="O28" t="s">
        <v>1100</v>
      </c>
      <c r="P28" t="s">
        <v>1100</v>
      </c>
      <c r="Q28" t="s">
        <v>1100</v>
      </c>
      <c r="R28" t="s">
        <v>1100</v>
      </c>
      <c r="S28" t="s">
        <v>1100</v>
      </c>
      <c r="T28" t="s">
        <v>1100</v>
      </c>
      <c r="U28" t="s">
        <v>1100</v>
      </c>
      <c r="V28" t="s">
        <v>1100</v>
      </c>
      <c r="W28" t="s">
        <v>1100</v>
      </c>
      <c r="X28" t="s">
        <v>1100</v>
      </c>
      <c r="Y28" t="s">
        <v>1100</v>
      </c>
      <c r="Z28" t="s">
        <v>1100</v>
      </c>
      <c r="AA28" t="s">
        <v>1100</v>
      </c>
      <c r="AB28" t="s">
        <v>1100</v>
      </c>
      <c r="AC28" t="s">
        <v>1100</v>
      </c>
    </row>
    <row r="29" spans="1:224" x14ac:dyDescent="0.35">
      <c r="A29" t="s">
        <v>1489</v>
      </c>
      <c r="B29" t="s">
        <v>1490</v>
      </c>
      <c r="C29" s="58" t="s">
        <v>1491</v>
      </c>
      <c r="D29">
        <v>1846</v>
      </c>
      <c r="E29" t="s">
        <v>1098</v>
      </c>
      <c r="G29" t="s">
        <v>1133</v>
      </c>
      <c r="H29">
        <v>1</v>
      </c>
      <c r="I29" t="s">
        <v>1100</v>
      </c>
      <c r="J29" t="s">
        <v>1100</v>
      </c>
      <c r="K29" t="s">
        <v>1100</v>
      </c>
      <c r="L29" t="s">
        <v>1100</v>
      </c>
      <c r="M29" t="s">
        <v>1100</v>
      </c>
      <c r="N29" t="s">
        <v>1100</v>
      </c>
      <c r="O29" t="s">
        <v>1100</v>
      </c>
      <c r="P29" t="s">
        <v>1100</v>
      </c>
      <c r="Q29" t="s">
        <v>1100</v>
      </c>
      <c r="R29" t="s">
        <v>1100</v>
      </c>
      <c r="S29" t="s">
        <v>1100</v>
      </c>
      <c r="T29" t="s">
        <v>1100</v>
      </c>
      <c r="U29" t="s">
        <v>1100</v>
      </c>
      <c r="V29" t="s">
        <v>1100</v>
      </c>
      <c r="W29" t="s">
        <v>1100</v>
      </c>
      <c r="X29" t="s">
        <v>1100</v>
      </c>
      <c r="Y29" t="s">
        <v>1100</v>
      </c>
      <c r="Z29" t="s">
        <v>1100</v>
      </c>
      <c r="AA29" t="s">
        <v>1100</v>
      </c>
      <c r="AB29" t="s">
        <v>1100</v>
      </c>
      <c r="AC29" t="s">
        <v>1100</v>
      </c>
    </row>
    <row r="30" spans="1:224" x14ac:dyDescent="0.35">
      <c r="A30" t="s">
        <v>1493</v>
      </c>
      <c r="B30" t="s">
        <v>1494</v>
      </c>
      <c r="C30" t="s">
        <v>1495</v>
      </c>
      <c r="D30">
        <v>1848</v>
      </c>
      <c r="E30" t="s">
        <v>1113</v>
      </c>
      <c r="G30" t="s">
        <v>1133</v>
      </c>
      <c r="H30">
        <v>1</v>
      </c>
      <c r="I30" t="s">
        <v>1100</v>
      </c>
      <c r="J30" t="s">
        <v>1100</v>
      </c>
      <c r="K30" t="s">
        <v>1100</v>
      </c>
      <c r="L30" t="s">
        <v>1100</v>
      </c>
      <c r="M30" t="s">
        <v>1100</v>
      </c>
      <c r="N30" t="s">
        <v>1100</v>
      </c>
      <c r="O30" t="s">
        <v>1100</v>
      </c>
      <c r="P30" t="s">
        <v>1100</v>
      </c>
      <c r="Q30" t="s">
        <v>1100</v>
      </c>
      <c r="R30" t="s">
        <v>1100</v>
      </c>
      <c r="S30" t="s">
        <v>1100</v>
      </c>
      <c r="T30" t="s">
        <v>1100</v>
      </c>
      <c r="U30" t="s">
        <v>1100</v>
      </c>
      <c r="V30" t="s">
        <v>1100</v>
      </c>
      <c r="W30" t="s">
        <v>1100</v>
      </c>
      <c r="X30" t="s">
        <v>1100</v>
      </c>
      <c r="Y30" t="s">
        <v>1100</v>
      </c>
      <c r="Z30" t="s">
        <v>1100</v>
      </c>
      <c r="AA30" t="s">
        <v>1100</v>
      </c>
      <c r="AB30" t="s">
        <v>1100</v>
      </c>
      <c r="AC30" t="s">
        <v>1100</v>
      </c>
    </row>
    <row r="31" spans="1:224" x14ac:dyDescent="0.35">
      <c r="A31" t="s">
        <v>1496</v>
      </c>
      <c r="B31" t="s">
        <v>1497</v>
      </c>
      <c r="C31" s="58" t="s">
        <v>1498</v>
      </c>
      <c r="D31">
        <v>1682</v>
      </c>
      <c r="E31" t="s">
        <v>1113</v>
      </c>
      <c r="G31" t="s">
        <v>1133</v>
      </c>
      <c r="H31">
        <v>1</v>
      </c>
      <c r="I31" t="s">
        <v>1100</v>
      </c>
      <c r="J31" t="s">
        <v>1100</v>
      </c>
      <c r="K31" t="s">
        <v>1100</v>
      </c>
      <c r="L31" t="s">
        <v>1100</v>
      </c>
      <c r="M31" t="s">
        <v>1100</v>
      </c>
      <c r="N31" t="s">
        <v>1100</v>
      </c>
      <c r="O31" t="s">
        <v>1100</v>
      </c>
      <c r="P31" t="s">
        <v>1100</v>
      </c>
      <c r="Q31" t="s">
        <v>1100</v>
      </c>
      <c r="R31" t="s">
        <v>1100</v>
      </c>
      <c r="S31" t="s">
        <v>1100</v>
      </c>
      <c r="T31" t="s">
        <v>1100</v>
      </c>
      <c r="U31" t="s">
        <v>1100</v>
      </c>
      <c r="V31" t="s">
        <v>1100</v>
      </c>
      <c r="W31" t="s">
        <v>1100</v>
      </c>
      <c r="X31" t="s">
        <v>1100</v>
      </c>
      <c r="Y31" t="s">
        <v>1100</v>
      </c>
      <c r="Z31" t="s">
        <v>1100</v>
      </c>
      <c r="AA31" t="s">
        <v>1100</v>
      </c>
      <c r="AB31" t="s">
        <v>1100</v>
      </c>
      <c r="AC31" t="s">
        <v>1100</v>
      </c>
    </row>
    <row r="32" spans="1:224" x14ac:dyDescent="0.35">
      <c r="A32" t="s">
        <v>1499</v>
      </c>
      <c r="B32" t="s">
        <v>1500</v>
      </c>
      <c r="C32" t="s">
        <v>1501</v>
      </c>
      <c r="D32">
        <v>1021</v>
      </c>
      <c r="E32" t="s">
        <v>1113</v>
      </c>
      <c r="G32" t="s">
        <v>1133</v>
      </c>
      <c r="H32">
        <v>1</v>
      </c>
      <c r="I32" t="s">
        <v>1100</v>
      </c>
      <c r="J32" t="s">
        <v>1100</v>
      </c>
      <c r="K32" t="s">
        <v>1100</v>
      </c>
      <c r="L32" t="s">
        <v>1100</v>
      </c>
      <c r="M32" t="s">
        <v>1100</v>
      </c>
      <c r="N32" t="s">
        <v>1100</v>
      </c>
      <c r="O32" t="s">
        <v>1100</v>
      </c>
      <c r="P32" t="s">
        <v>1100</v>
      </c>
      <c r="Q32" t="s">
        <v>1100</v>
      </c>
      <c r="R32" t="s">
        <v>1100</v>
      </c>
      <c r="S32" t="s">
        <v>1100</v>
      </c>
      <c r="T32" t="s">
        <v>1100</v>
      </c>
      <c r="U32" t="s">
        <v>1100</v>
      </c>
      <c r="V32" t="s">
        <v>1100</v>
      </c>
      <c r="W32" t="s">
        <v>1100</v>
      </c>
      <c r="X32" t="s">
        <v>1100</v>
      </c>
      <c r="Y32" t="s">
        <v>1100</v>
      </c>
      <c r="Z32" t="s">
        <v>1100</v>
      </c>
      <c r="AA32" t="s">
        <v>1100</v>
      </c>
      <c r="AB32" t="s">
        <v>1100</v>
      </c>
      <c r="AC32" t="s">
        <v>1100</v>
      </c>
    </row>
    <row r="33" spans="1:29" x14ac:dyDescent="0.35">
      <c r="A33" t="s">
        <v>2005</v>
      </c>
      <c r="B33" t="s">
        <v>1502</v>
      </c>
      <c r="C33" t="s">
        <v>1503</v>
      </c>
      <c r="D33">
        <v>1085</v>
      </c>
      <c r="E33" t="s">
        <v>1113</v>
      </c>
      <c r="G33" t="s">
        <v>1133</v>
      </c>
      <c r="H33">
        <v>1</v>
      </c>
      <c r="I33" t="s">
        <v>1100</v>
      </c>
      <c r="J33" t="s">
        <v>1100</v>
      </c>
      <c r="K33" t="s">
        <v>1100</v>
      </c>
      <c r="L33" t="s">
        <v>1100</v>
      </c>
      <c r="M33" t="s">
        <v>1100</v>
      </c>
      <c r="N33" t="s">
        <v>1100</v>
      </c>
      <c r="O33" t="s">
        <v>1100</v>
      </c>
      <c r="P33" t="s">
        <v>1100</v>
      </c>
      <c r="Q33" t="s">
        <v>1100</v>
      </c>
      <c r="R33" t="s">
        <v>1100</v>
      </c>
      <c r="S33" t="s">
        <v>1100</v>
      </c>
      <c r="T33" t="s">
        <v>1100</v>
      </c>
      <c r="U33" t="s">
        <v>1100</v>
      </c>
      <c r="V33" t="s">
        <v>1100</v>
      </c>
      <c r="W33" t="s">
        <v>1100</v>
      </c>
      <c r="X33" t="s">
        <v>1100</v>
      </c>
      <c r="Y33" t="s">
        <v>1100</v>
      </c>
      <c r="Z33" t="s">
        <v>1100</v>
      </c>
      <c r="AA33" t="s">
        <v>1100</v>
      </c>
      <c r="AB33" t="s">
        <v>1100</v>
      </c>
      <c r="AC33" t="s">
        <v>1100</v>
      </c>
    </row>
    <row r="34" spans="1:29" x14ac:dyDescent="0.35">
      <c r="A34" t="s">
        <v>1504</v>
      </c>
      <c r="B34" t="s">
        <v>1505</v>
      </c>
      <c r="C34" s="58" t="s">
        <v>1506</v>
      </c>
      <c r="D34">
        <v>1248</v>
      </c>
      <c r="E34" t="s">
        <v>1113</v>
      </c>
      <c r="G34" t="s">
        <v>1133</v>
      </c>
      <c r="H34">
        <v>1</v>
      </c>
      <c r="I34" t="s">
        <v>1100</v>
      </c>
      <c r="J34" t="s">
        <v>1100</v>
      </c>
      <c r="K34" t="s">
        <v>1100</v>
      </c>
      <c r="L34" t="s">
        <v>1100</v>
      </c>
      <c r="M34" t="s">
        <v>1100</v>
      </c>
      <c r="N34" t="s">
        <v>1100</v>
      </c>
      <c r="O34" t="s">
        <v>1100</v>
      </c>
      <c r="P34" t="s">
        <v>1100</v>
      </c>
      <c r="Q34" t="s">
        <v>1100</v>
      </c>
      <c r="R34" t="s">
        <v>1100</v>
      </c>
      <c r="S34" t="s">
        <v>1100</v>
      </c>
      <c r="T34" t="s">
        <v>1100</v>
      </c>
      <c r="U34" t="s">
        <v>1100</v>
      </c>
      <c r="V34" t="s">
        <v>1100</v>
      </c>
      <c r="W34" t="s">
        <v>1100</v>
      </c>
      <c r="X34" t="s">
        <v>1100</v>
      </c>
      <c r="Y34" t="s">
        <v>1100</v>
      </c>
      <c r="Z34" t="s">
        <v>1100</v>
      </c>
      <c r="AA34" t="s">
        <v>1100</v>
      </c>
      <c r="AB34" t="s">
        <v>1100</v>
      </c>
      <c r="AC34" t="s">
        <v>1100</v>
      </c>
    </row>
    <row r="35" spans="1:29" x14ac:dyDescent="0.35">
      <c r="A35" t="s">
        <v>1504</v>
      </c>
      <c r="B35" t="s">
        <v>1507</v>
      </c>
      <c r="C35" s="58" t="s">
        <v>1508</v>
      </c>
      <c r="D35">
        <v>1249</v>
      </c>
      <c r="E35" t="s">
        <v>1113</v>
      </c>
      <c r="G35" t="s">
        <v>1133</v>
      </c>
      <c r="H35">
        <v>1</v>
      </c>
      <c r="I35" t="s">
        <v>1100</v>
      </c>
      <c r="J35" t="s">
        <v>1100</v>
      </c>
      <c r="K35" t="s">
        <v>1100</v>
      </c>
      <c r="L35" t="s">
        <v>1100</v>
      </c>
      <c r="M35" t="s">
        <v>1100</v>
      </c>
      <c r="N35" t="s">
        <v>1100</v>
      </c>
      <c r="O35" t="s">
        <v>1100</v>
      </c>
      <c r="P35" t="s">
        <v>1100</v>
      </c>
      <c r="Q35" t="s">
        <v>1100</v>
      </c>
      <c r="R35" t="s">
        <v>1100</v>
      </c>
      <c r="S35" t="s">
        <v>1100</v>
      </c>
      <c r="T35" t="s">
        <v>1100</v>
      </c>
      <c r="U35" t="s">
        <v>1100</v>
      </c>
      <c r="V35" t="s">
        <v>1100</v>
      </c>
      <c r="W35" t="s">
        <v>1100</v>
      </c>
      <c r="X35" t="s">
        <v>1100</v>
      </c>
      <c r="Y35" t="s">
        <v>1100</v>
      </c>
      <c r="Z35" t="s">
        <v>1100</v>
      </c>
      <c r="AA35" t="s">
        <v>1100</v>
      </c>
      <c r="AB35" t="s">
        <v>1100</v>
      </c>
      <c r="AC35" t="s">
        <v>1100</v>
      </c>
    </row>
    <row r="36" spans="1:29" ht="29" x14ac:dyDescent="0.35">
      <c r="A36" t="s">
        <v>1509</v>
      </c>
      <c r="B36" s="47" t="s">
        <v>1510</v>
      </c>
      <c r="C36" t="s">
        <v>1511</v>
      </c>
      <c r="D36">
        <v>1678</v>
      </c>
      <c r="E36" t="s">
        <v>1098</v>
      </c>
      <c r="G36" t="s">
        <v>1133</v>
      </c>
      <c r="H36">
        <v>1</v>
      </c>
      <c r="J36" s="57"/>
      <c r="O36" s="57"/>
      <c r="P36" s="57"/>
      <c r="Q36" t="s">
        <v>1100</v>
      </c>
      <c r="R36" t="s">
        <v>1100</v>
      </c>
      <c r="S36" t="s">
        <v>1100</v>
      </c>
      <c r="T36" t="s">
        <v>1100</v>
      </c>
      <c r="U36" t="s">
        <v>1100</v>
      </c>
      <c r="V36" t="s">
        <v>1100</v>
      </c>
      <c r="W36" t="s">
        <v>1100</v>
      </c>
      <c r="X36" t="s">
        <v>1100</v>
      </c>
      <c r="Y36" t="s">
        <v>1100</v>
      </c>
      <c r="Z36" t="s">
        <v>1100</v>
      </c>
      <c r="AA36" t="s">
        <v>1100</v>
      </c>
      <c r="AB36" t="s">
        <v>1100</v>
      </c>
      <c r="AC36" t="s">
        <v>1100</v>
      </c>
    </row>
    <row r="37" spans="1:29" x14ac:dyDescent="0.35">
      <c r="A37" t="s">
        <v>2006</v>
      </c>
      <c r="B37" t="s">
        <v>1512</v>
      </c>
      <c r="C37" s="46" t="s">
        <v>1513</v>
      </c>
      <c r="D37">
        <v>1681</v>
      </c>
      <c r="E37" t="s">
        <v>1492</v>
      </c>
      <c r="G37" t="s">
        <v>1133</v>
      </c>
      <c r="H37">
        <v>9</v>
      </c>
      <c r="I37">
        <v>5</v>
      </c>
      <c r="J37">
        <v>10</v>
      </c>
      <c r="K37">
        <v>15</v>
      </c>
      <c r="L37">
        <v>25</v>
      </c>
      <c r="M37">
        <v>30</v>
      </c>
      <c r="N37">
        <v>40</v>
      </c>
      <c r="O37">
        <v>50</v>
      </c>
      <c r="P37">
        <v>60</v>
      </c>
      <c r="Q37">
        <v>120</v>
      </c>
      <c r="R37" t="s">
        <v>1100</v>
      </c>
      <c r="S37" t="s">
        <v>1100</v>
      </c>
      <c r="T37" t="s">
        <v>1100</v>
      </c>
      <c r="U37" t="s">
        <v>1100</v>
      </c>
      <c r="V37" t="s">
        <v>1100</v>
      </c>
      <c r="W37" t="s">
        <v>1100</v>
      </c>
      <c r="X37" t="s">
        <v>1100</v>
      </c>
      <c r="Y37" t="s">
        <v>1100</v>
      </c>
      <c r="Z37" t="s">
        <v>1100</v>
      </c>
      <c r="AA37" t="s">
        <v>1100</v>
      </c>
      <c r="AB37" t="s">
        <v>1100</v>
      </c>
      <c r="AC37" t="s">
        <v>1100</v>
      </c>
    </row>
    <row r="38" spans="1:29" x14ac:dyDescent="0.35">
      <c r="A38" t="s">
        <v>1514</v>
      </c>
      <c r="B38" t="s">
        <v>1515</v>
      </c>
      <c r="C38" t="s">
        <v>1516</v>
      </c>
      <c r="D38">
        <v>791</v>
      </c>
      <c r="E38" t="s">
        <v>1098</v>
      </c>
      <c r="G38" t="s">
        <v>1133</v>
      </c>
      <c r="H38">
        <v>6</v>
      </c>
      <c r="I38" t="s">
        <v>1517</v>
      </c>
      <c r="J38" t="s">
        <v>1518</v>
      </c>
      <c r="K38" t="s">
        <v>1519</v>
      </c>
      <c r="L38" t="s">
        <v>1520</v>
      </c>
      <c r="M38" t="s">
        <v>1521</v>
      </c>
      <c r="N38" t="s">
        <v>1522</v>
      </c>
      <c r="O38" t="s">
        <v>1100</v>
      </c>
      <c r="P38" t="s">
        <v>1100</v>
      </c>
      <c r="Q38" t="s">
        <v>1100</v>
      </c>
      <c r="R38" t="s">
        <v>1100</v>
      </c>
      <c r="S38" t="s">
        <v>1100</v>
      </c>
      <c r="T38" t="s">
        <v>1100</v>
      </c>
      <c r="U38" t="s">
        <v>1100</v>
      </c>
      <c r="V38" t="s">
        <v>1100</v>
      </c>
      <c r="W38" t="s">
        <v>1100</v>
      </c>
      <c r="X38" t="s">
        <v>1100</v>
      </c>
      <c r="Y38" t="s">
        <v>1100</v>
      </c>
      <c r="Z38" t="s">
        <v>1100</v>
      </c>
      <c r="AA38" t="s">
        <v>1100</v>
      </c>
      <c r="AB38" t="s">
        <v>1100</v>
      </c>
      <c r="AC38" t="s">
        <v>1100</v>
      </c>
    </row>
    <row r="39" spans="1:29" x14ac:dyDescent="0.35">
      <c r="A39" t="s">
        <v>1523</v>
      </c>
      <c r="B39" t="s">
        <v>1524</v>
      </c>
      <c r="C39" t="s">
        <v>1525</v>
      </c>
      <c r="D39">
        <v>793</v>
      </c>
      <c r="E39" t="s">
        <v>1098</v>
      </c>
      <c r="G39" t="s">
        <v>1133</v>
      </c>
      <c r="H39">
        <v>1</v>
      </c>
      <c r="I39" t="s">
        <v>1100</v>
      </c>
      <c r="J39" t="s">
        <v>1100</v>
      </c>
      <c r="K39" t="s">
        <v>1100</v>
      </c>
      <c r="L39" t="s">
        <v>1100</v>
      </c>
      <c r="M39" t="s">
        <v>1100</v>
      </c>
      <c r="N39" t="s">
        <v>1100</v>
      </c>
      <c r="O39" t="s">
        <v>1100</v>
      </c>
      <c r="P39" t="s">
        <v>1100</v>
      </c>
      <c r="Q39" t="s">
        <v>1100</v>
      </c>
      <c r="R39" t="s">
        <v>1100</v>
      </c>
      <c r="S39" t="s">
        <v>1100</v>
      </c>
      <c r="T39" t="s">
        <v>1100</v>
      </c>
      <c r="U39" t="s">
        <v>1100</v>
      </c>
      <c r="V39" t="s">
        <v>1100</v>
      </c>
      <c r="W39" t="s">
        <v>1100</v>
      </c>
      <c r="X39" t="s">
        <v>1100</v>
      </c>
      <c r="Y39" t="s">
        <v>1100</v>
      </c>
      <c r="Z39" t="s">
        <v>1100</v>
      </c>
      <c r="AA39" t="s">
        <v>1100</v>
      </c>
      <c r="AB39" t="s">
        <v>1100</v>
      </c>
      <c r="AC39" t="s">
        <v>1100</v>
      </c>
    </row>
    <row r="40" spans="1:29" x14ac:dyDescent="0.35">
      <c r="A40" t="s">
        <v>1526</v>
      </c>
      <c r="B40" t="s">
        <v>1527</v>
      </c>
      <c r="C40" t="s">
        <v>1528</v>
      </c>
      <c r="D40">
        <v>720</v>
      </c>
      <c r="E40" t="s">
        <v>1098</v>
      </c>
      <c r="G40" t="s">
        <v>1133</v>
      </c>
      <c r="H40">
        <v>1</v>
      </c>
      <c r="I40" t="s">
        <v>1100</v>
      </c>
      <c r="J40" t="s">
        <v>1100</v>
      </c>
      <c r="K40" t="s">
        <v>1100</v>
      </c>
      <c r="L40" t="s">
        <v>1100</v>
      </c>
      <c r="M40" t="s">
        <v>1100</v>
      </c>
      <c r="N40" t="s">
        <v>1100</v>
      </c>
      <c r="O40" t="s">
        <v>1100</v>
      </c>
      <c r="P40" t="s">
        <v>1100</v>
      </c>
      <c r="Q40" t="s">
        <v>1100</v>
      </c>
      <c r="R40" t="s">
        <v>1100</v>
      </c>
      <c r="S40" t="s">
        <v>1100</v>
      </c>
      <c r="T40" t="s">
        <v>1100</v>
      </c>
      <c r="U40" t="s">
        <v>1100</v>
      </c>
      <c r="V40" t="s">
        <v>1100</v>
      </c>
      <c r="W40" t="s">
        <v>1100</v>
      </c>
      <c r="X40" t="s">
        <v>1100</v>
      </c>
      <c r="Y40" t="s">
        <v>1100</v>
      </c>
      <c r="Z40" t="s">
        <v>1100</v>
      </c>
      <c r="AA40" t="s">
        <v>1100</v>
      </c>
      <c r="AB40" t="s">
        <v>1100</v>
      </c>
      <c r="AC40" t="s">
        <v>1100</v>
      </c>
    </row>
    <row r="41" spans="1:29" x14ac:dyDescent="0.35">
      <c r="A41" t="s">
        <v>1529</v>
      </c>
      <c r="B41" t="s">
        <v>1530</v>
      </c>
      <c r="C41" t="s">
        <v>1531</v>
      </c>
      <c r="D41">
        <v>1857</v>
      </c>
      <c r="E41" t="s">
        <v>1098</v>
      </c>
      <c r="G41" t="s">
        <v>1133</v>
      </c>
      <c r="H41">
        <v>1</v>
      </c>
      <c r="I41" t="s">
        <v>1100</v>
      </c>
      <c r="J41" t="s">
        <v>1100</v>
      </c>
      <c r="K41" t="s">
        <v>1100</v>
      </c>
      <c r="L41" t="s">
        <v>1100</v>
      </c>
      <c r="M41" t="s">
        <v>1100</v>
      </c>
      <c r="N41" t="s">
        <v>1100</v>
      </c>
      <c r="O41" t="s">
        <v>1100</v>
      </c>
      <c r="P41" t="s">
        <v>1100</v>
      </c>
      <c r="Q41" t="s">
        <v>1100</v>
      </c>
      <c r="R41" t="s">
        <v>1100</v>
      </c>
      <c r="S41" t="s">
        <v>1100</v>
      </c>
      <c r="T41" t="s">
        <v>1100</v>
      </c>
      <c r="U41" t="s">
        <v>1100</v>
      </c>
      <c r="V41" t="s">
        <v>1100</v>
      </c>
      <c r="W41" t="s">
        <v>1100</v>
      </c>
      <c r="X41" t="s">
        <v>1100</v>
      </c>
      <c r="Y41" t="s">
        <v>1100</v>
      </c>
      <c r="Z41" t="s">
        <v>1100</v>
      </c>
      <c r="AA41" t="s">
        <v>1100</v>
      </c>
      <c r="AB41" t="s">
        <v>1100</v>
      </c>
      <c r="AC41" t="s">
        <v>1100</v>
      </c>
    </row>
    <row r="42" spans="1:29" x14ac:dyDescent="0.35">
      <c r="A42" t="s">
        <v>1532</v>
      </c>
      <c r="B42" t="s">
        <v>1533</v>
      </c>
      <c r="C42" t="s">
        <v>1534</v>
      </c>
      <c r="D42">
        <v>905</v>
      </c>
      <c r="E42" t="s">
        <v>1098</v>
      </c>
      <c r="G42" t="s">
        <v>1133</v>
      </c>
      <c r="H42">
        <v>2</v>
      </c>
      <c r="I42" t="s">
        <v>1473</v>
      </c>
      <c r="J42" t="s">
        <v>1474</v>
      </c>
      <c r="K42" t="s">
        <v>1100</v>
      </c>
      <c r="L42" t="s">
        <v>1100</v>
      </c>
      <c r="M42" t="s">
        <v>1100</v>
      </c>
      <c r="N42" t="s">
        <v>1100</v>
      </c>
      <c r="O42" t="s">
        <v>1100</v>
      </c>
      <c r="P42" t="s">
        <v>1100</v>
      </c>
      <c r="Q42" t="s">
        <v>1100</v>
      </c>
      <c r="R42" t="s">
        <v>1100</v>
      </c>
      <c r="S42" t="s">
        <v>1100</v>
      </c>
      <c r="T42" t="s">
        <v>1100</v>
      </c>
      <c r="U42" t="s">
        <v>1100</v>
      </c>
      <c r="V42" t="s">
        <v>1100</v>
      </c>
      <c r="W42" t="s">
        <v>1100</v>
      </c>
      <c r="X42" t="s">
        <v>1100</v>
      </c>
      <c r="Y42" t="s">
        <v>1100</v>
      </c>
      <c r="Z42" t="s">
        <v>1100</v>
      </c>
      <c r="AA42" t="s">
        <v>1100</v>
      </c>
      <c r="AB42" t="s">
        <v>1100</v>
      </c>
      <c r="AC42" t="s">
        <v>1100</v>
      </c>
    </row>
    <row r="43" spans="1:29" x14ac:dyDescent="0.35">
      <c r="A43" t="s">
        <v>1535</v>
      </c>
      <c r="B43" t="s">
        <v>1536</v>
      </c>
      <c r="C43" t="s">
        <v>1537</v>
      </c>
      <c r="D43">
        <v>1049</v>
      </c>
      <c r="E43" t="s">
        <v>1492</v>
      </c>
      <c r="G43" t="s">
        <v>1133</v>
      </c>
      <c r="H43">
        <v>1</v>
      </c>
      <c r="I43" t="s">
        <v>1100</v>
      </c>
      <c r="J43" t="s">
        <v>1100</v>
      </c>
      <c r="K43" t="s">
        <v>1100</v>
      </c>
      <c r="L43" t="s">
        <v>1100</v>
      </c>
      <c r="M43" t="s">
        <v>1100</v>
      </c>
      <c r="N43" t="s">
        <v>1100</v>
      </c>
      <c r="O43" t="s">
        <v>1100</v>
      </c>
      <c r="P43" t="s">
        <v>1100</v>
      </c>
      <c r="Q43" t="s">
        <v>1100</v>
      </c>
      <c r="R43" t="s">
        <v>1100</v>
      </c>
      <c r="S43" t="s">
        <v>1100</v>
      </c>
      <c r="T43" t="s">
        <v>1100</v>
      </c>
      <c r="U43" t="s">
        <v>1100</v>
      </c>
      <c r="V43" t="s">
        <v>1100</v>
      </c>
      <c r="W43" t="s">
        <v>1100</v>
      </c>
      <c r="X43" t="s">
        <v>1100</v>
      </c>
      <c r="Y43" t="s">
        <v>1100</v>
      </c>
      <c r="Z43" t="s">
        <v>1100</v>
      </c>
      <c r="AA43" t="s">
        <v>1100</v>
      </c>
      <c r="AB43" t="s">
        <v>1100</v>
      </c>
      <c r="AC43" t="s">
        <v>1100</v>
      </c>
    </row>
    <row r="44" spans="1:29" x14ac:dyDescent="0.35">
      <c r="A44" t="s">
        <v>1538</v>
      </c>
      <c r="B44" t="s">
        <v>1539</v>
      </c>
      <c r="C44" t="s">
        <v>1540</v>
      </c>
      <c r="D44">
        <v>1022</v>
      </c>
      <c r="E44" t="s">
        <v>1113</v>
      </c>
      <c r="G44" t="s">
        <v>1133</v>
      </c>
      <c r="H44">
        <v>1</v>
      </c>
      <c r="I44" t="s">
        <v>1100</v>
      </c>
      <c r="J44" t="s">
        <v>1100</v>
      </c>
      <c r="K44" t="s">
        <v>1100</v>
      </c>
      <c r="L44" t="s">
        <v>1100</v>
      </c>
      <c r="M44" t="s">
        <v>1100</v>
      </c>
      <c r="N44" t="s">
        <v>1100</v>
      </c>
      <c r="O44" t="s">
        <v>1100</v>
      </c>
      <c r="P44" t="s">
        <v>1100</v>
      </c>
      <c r="Q44" t="s">
        <v>1100</v>
      </c>
      <c r="R44" t="s">
        <v>1100</v>
      </c>
      <c r="S44" t="s">
        <v>1100</v>
      </c>
      <c r="T44" t="s">
        <v>1100</v>
      </c>
      <c r="U44" t="s">
        <v>1100</v>
      </c>
      <c r="V44" t="s">
        <v>1100</v>
      </c>
      <c r="W44" t="s">
        <v>1100</v>
      </c>
      <c r="X44" t="s">
        <v>1100</v>
      </c>
      <c r="Y44" t="s">
        <v>1100</v>
      </c>
      <c r="Z44" t="s">
        <v>1100</v>
      </c>
      <c r="AA44" t="s">
        <v>1100</v>
      </c>
      <c r="AB44" t="s">
        <v>1100</v>
      </c>
      <c r="AC44" t="s">
        <v>1100</v>
      </c>
    </row>
    <row r="45" spans="1:29" x14ac:dyDescent="0.35">
      <c r="A45" t="s">
        <v>1541</v>
      </c>
      <c r="B45" t="s">
        <v>1542</v>
      </c>
      <c r="C45" t="s">
        <v>1543</v>
      </c>
      <c r="D45">
        <v>1418</v>
      </c>
      <c r="E45" t="s">
        <v>1098</v>
      </c>
      <c r="G45" t="s">
        <v>1133</v>
      </c>
      <c r="H45">
        <v>1</v>
      </c>
      <c r="I45" t="s">
        <v>1100</v>
      </c>
      <c r="J45" t="s">
        <v>1100</v>
      </c>
      <c r="K45" t="s">
        <v>1100</v>
      </c>
      <c r="L45" t="s">
        <v>1100</v>
      </c>
      <c r="M45" t="s">
        <v>1100</v>
      </c>
      <c r="N45" t="s">
        <v>1100</v>
      </c>
      <c r="O45" t="s">
        <v>1100</v>
      </c>
      <c r="P45" t="s">
        <v>1100</v>
      </c>
      <c r="Q45" t="s">
        <v>1100</v>
      </c>
      <c r="R45" t="s">
        <v>1100</v>
      </c>
      <c r="S45" t="s">
        <v>1100</v>
      </c>
      <c r="T45" t="s">
        <v>1100</v>
      </c>
      <c r="U45" t="s">
        <v>1100</v>
      </c>
      <c r="V45" t="s">
        <v>1100</v>
      </c>
      <c r="W45" t="s">
        <v>1100</v>
      </c>
      <c r="X45" t="s">
        <v>1100</v>
      </c>
      <c r="Y45" t="s">
        <v>1100</v>
      </c>
      <c r="Z45" t="s">
        <v>1100</v>
      </c>
      <c r="AA45" t="s">
        <v>1100</v>
      </c>
      <c r="AB45" t="s">
        <v>1100</v>
      </c>
      <c r="AC45" t="s">
        <v>1100</v>
      </c>
    </row>
    <row r="46" spans="1:29" x14ac:dyDescent="0.35">
      <c r="A46" t="s">
        <v>2007</v>
      </c>
      <c r="B46" t="s">
        <v>1544</v>
      </c>
      <c r="C46" t="s">
        <v>1545</v>
      </c>
      <c r="D46">
        <v>1468</v>
      </c>
      <c r="E46" t="s">
        <v>1113</v>
      </c>
      <c r="G46" t="s">
        <v>1133</v>
      </c>
      <c r="H46">
        <v>1</v>
      </c>
      <c r="I46" t="s">
        <v>1100</v>
      </c>
      <c r="J46" t="s">
        <v>1100</v>
      </c>
      <c r="K46" t="s">
        <v>1100</v>
      </c>
      <c r="L46" t="s">
        <v>1100</v>
      </c>
      <c r="M46" t="s">
        <v>1100</v>
      </c>
      <c r="N46" t="s">
        <v>1100</v>
      </c>
      <c r="O46" t="s">
        <v>1100</v>
      </c>
      <c r="P46" t="s">
        <v>1100</v>
      </c>
      <c r="Q46" t="s">
        <v>1100</v>
      </c>
      <c r="R46" t="s">
        <v>1100</v>
      </c>
      <c r="S46" t="s">
        <v>1100</v>
      </c>
      <c r="T46" t="s">
        <v>1100</v>
      </c>
      <c r="U46" t="s">
        <v>1100</v>
      </c>
      <c r="V46" t="s">
        <v>1100</v>
      </c>
      <c r="W46" t="s">
        <v>1100</v>
      </c>
      <c r="X46" t="s">
        <v>1100</v>
      </c>
      <c r="Y46" t="s">
        <v>1100</v>
      </c>
      <c r="Z46" t="s">
        <v>1100</v>
      </c>
      <c r="AA46" t="s">
        <v>1100</v>
      </c>
      <c r="AB46" t="s">
        <v>1100</v>
      </c>
      <c r="AC46" t="s">
        <v>1100</v>
      </c>
    </row>
    <row r="47" spans="1:29" x14ac:dyDescent="0.35">
      <c r="A47" t="s">
        <v>2008</v>
      </c>
      <c r="B47" t="s">
        <v>1546</v>
      </c>
      <c r="C47" s="58" t="s">
        <v>1547</v>
      </c>
      <c r="D47">
        <v>1850</v>
      </c>
      <c r="E47" t="s">
        <v>1113</v>
      </c>
      <c r="G47" t="s">
        <v>1133</v>
      </c>
      <c r="H47">
        <v>1</v>
      </c>
      <c r="I47" t="s">
        <v>1100</v>
      </c>
      <c r="J47" t="s">
        <v>1100</v>
      </c>
      <c r="K47" t="s">
        <v>1100</v>
      </c>
      <c r="L47" t="s">
        <v>1100</v>
      </c>
      <c r="M47" t="s">
        <v>1100</v>
      </c>
      <c r="N47" t="s">
        <v>1100</v>
      </c>
      <c r="O47" t="s">
        <v>1100</v>
      </c>
      <c r="P47" t="s">
        <v>1100</v>
      </c>
      <c r="Q47" t="s">
        <v>1100</v>
      </c>
      <c r="R47" t="s">
        <v>1100</v>
      </c>
      <c r="S47" t="s">
        <v>1100</v>
      </c>
      <c r="T47" t="s">
        <v>1100</v>
      </c>
      <c r="U47" t="s">
        <v>1100</v>
      </c>
      <c r="V47" t="s">
        <v>1100</v>
      </c>
      <c r="W47" t="s">
        <v>1100</v>
      </c>
      <c r="X47" t="s">
        <v>1100</v>
      </c>
      <c r="Y47" t="s">
        <v>1100</v>
      </c>
      <c r="Z47" t="s">
        <v>1100</v>
      </c>
      <c r="AA47" t="s">
        <v>1100</v>
      </c>
      <c r="AB47" t="s">
        <v>1100</v>
      </c>
      <c r="AC47" t="s">
        <v>1100</v>
      </c>
    </row>
    <row r="48" spans="1:29" x14ac:dyDescent="0.35">
      <c r="A48" t="s">
        <v>1548</v>
      </c>
      <c r="B48" t="s">
        <v>1549</v>
      </c>
      <c r="C48" t="s">
        <v>1550</v>
      </c>
      <c r="D48">
        <v>1622</v>
      </c>
      <c r="E48" t="s">
        <v>1113</v>
      </c>
      <c r="G48" t="s">
        <v>1133</v>
      </c>
      <c r="H48">
        <v>1</v>
      </c>
      <c r="I48" t="s">
        <v>1100</v>
      </c>
      <c r="J48" t="s">
        <v>1100</v>
      </c>
      <c r="K48" t="s">
        <v>1100</v>
      </c>
      <c r="L48" t="s">
        <v>1100</v>
      </c>
      <c r="M48" t="s">
        <v>1100</v>
      </c>
      <c r="N48" t="s">
        <v>1100</v>
      </c>
      <c r="O48" t="s">
        <v>1100</v>
      </c>
      <c r="P48" t="s">
        <v>1100</v>
      </c>
      <c r="Q48" t="s">
        <v>1100</v>
      </c>
      <c r="R48" t="s">
        <v>1100</v>
      </c>
      <c r="S48" t="s">
        <v>1100</v>
      </c>
      <c r="T48" t="s">
        <v>1100</v>
      </c>
      <c r="U48" t="s">
        <v>1100</v>
      </c>
      <c r="V48" t="s">
        <v>1100</v>
      </c>
      <c r="W48" t="s">
        <v>1100</v>
      </c>
      <c r="X48" t="s">
        <v>1100</v>
      </c>
      <c r="Y48" t="s">
        <v>1100</v>
      </c>
      <c r="Z48" t="s">
        <v>1100</v>
      </c>
      <c r="AA48" t="s">
        <v>1100</v>
      </c>
      <c r="AB48" t="s">
        <v>1100</v>
      </c>
      <c r="AC48" t="s">
        <v>1100</v>
      </c>
    </row>
    <row r="49" spans="1:39" x14ac:dyDescent="0.35">
      <c r="A49" t="s">
        <v>2009</v>
      </c>
      <c r="B49" t="s">
        <v>1551</v>
      </c>
      <c r="C49" t="s">
        <v>1552</v>
      </c>
      <c r="D49">
        <v>615</v>
      </c>
      <c r="E49" t="s">
        <v>1113</v>
      </c>
      <c r="G49" t="s">
        <v>1133</v>
      </c>
      <c r="H49">
        <v>1</v>
      </c>
      <c r="I49" t="s">
        <v>1100</v>
      </c>
      <c r="J49" t="s">
        <v>1100</v>
      </c>
      <c r="K49" t="s">
        <v>1100</v>
      </c>
      <c r="L49" t="s">
        <v>1100</v>
      </c>
      <c r="M49" t="s">
        <v>1100</v>
      </c>
      <c r="N49" t="s">
        <v>1100</v>
      </c>
      <c r="O49" t="s">
        <v>1100</v>
      </c>
      <c r="P49" t="s">
        <v>1100</v>
      </c>
      <c r="Q49" t="s">
        <v>1100</v>
      </c>
      <c r="R49" t="s">
        <v>1100</v>
      </c>
      <c r="S49" t="s">
        <v>1100</v>
      </c>
      <c r="T49" t="s">
        <v>1100</v>
      </c>
      <c r="U49" t="s">
        <v>1100</v>
      </c>
      <c r="V49" t="s">
        <v>1100</v>
      </c>
      <c r="W49" t="s">
        <v>1100</v>
      </c>
      <c r="X49" t="s">
        <v>1100</v>
      </c>
      <c r="Y49" t="s">
        <v>1100</v>
      </c>
      <c r="Z49" t="s">
        <v>1100</v>
      </c>
      <c r="AA49" t="s">
        <v>1100</v>
      </c>
      <c r="AB49" t="s">
        <v>1100</v>
      </c>
      <c r="AC49" t="s">
        <v>1100</v>
      </c>
    </row>
    <row r="50" spans="1:39" x14ac:dyDescent="0.35">
      <c r="A50" t="s">
        <v>1553</v>
      </c>
      <c r="B50" t="s">
        <v>1554</v>
      </c>
      <c r="C50" t="s">
        <v>1555</v>
      </c>
      <c r="D50">
        <v>736</v>
      </c>
      <c r="E50" t="s">
        <v>1113</v>
      </c>
      <c r="G50" t="s">
        <v>1133</v>
      </c>
      <c r="H50">
        <v>1</v>
      </c>
      <c r="I50" t="s">
        <v>1100</v>
      </c>
      <c r="J50" t="s">
        <v>1100</v>
      </c>
      <c r="K50" t="s">
        <v>1100</v>
      </c>
      <c r="L50" t="s">
        <v>1100</v>
      </c>
      <c r="M50" t="s">
        <v>1100</v>
      </c>
      <c r="N50" t="s">
        <v>1100</v>
      </c>
      <c r="O50" t="s">
        <v>1100</v>
      </c>
      <c r="P50" t="s">
        <v>1100</v>
      </c>
      <c r="Q50" t="s">
        <v>1100</v>
      </c>
      <c r="R50" t="s">
        <v>1100</v>
      </c>
      <c r="S50" t="s">
        <v>1100</v>
      </c>
      <c r="T50" t="s">
        <v>1100</v>
      </c>
      <c r="U50" t="s">
        <v>1100</v>
      </c>
      <c r="V50" t="s">
        <v>1100</v>
      </c>
      <c r="W50" t="s">
        <v>1100</v>
      </c>
      <c r="X50" t="s">
        <v>1100</v>
      </c>
      <c r="Y50" t="s">
        <v>1100</v>
      </c>
      <c r="Z50" t="s">
        <v>1100</v>
      </c>
      <c r="AA50" t="s">
        <v>1100</v>
      </c>
      <c r="AB50" t="s">
        <v>1100</v>
      </c>
      <c r="AC50" t="s">
        <v>1100</v>
      </c>
    </row>
    <row r="51" spans="1:39" x14ac:dyDescent="0.35">
      <c r="A51" t="s">
        <v>1556</v>
      </c>
      <c r="B51" t="s">
        <v>1557</v>
      </c>
      <c r="C51" t="s">
        <v>1558</v>
      </c>
      <c r="D51">
        <v>985</v>
      </c>
      <c r="E51" t="s">
        <v>1113</v>
      </c>
      <c r="G51" t="s">
        <v>1133</v>
      </c>
      <c r="H51">
        <v>1</v>
      </c>
      <c r="I51" t="s">
        <v>1100</v>
      </c>
      <c r="J51" t="s">
        <v>1100</v>
      </c>
      <c r="K51" t="s">
        <v>1100</v>
      </c>
      <c r="L51" t="s">
        <v>1100</v>
      </c>
      <c r="M51" t="s">
        <v>1100</v>
      </c>
      <c r="N51" t="s">
        <v>1100</v>
      </c>
      <c r="O51" t="s">
        <v>1100</v>
      </c>
      <c r="P51" t="s">
        <v>1100</v>
      </c>
      <c r="Q51" t="s">
        <v>1100</v>
      </c>
      <c r="R51" t="s">
        <v>1100</v>
      </c>
      <c r="S51" t="s">
        <v>1100</v>
      </c>
      <c r="T51" t="s">
        <v>1100</v>
      </c>
      <c r="U51" t="s">
        <v>1100</v>
      </c>
      <c r="V51" t="s">
        <v>1100</v>
      </c>
      <c r="W51" t="s">
        <v>1100</v>
      </c>
      <c r="X51" t="s">
        <v>1100</v>
      </c>
      <c r="Y51" t="s">
        <v>1100</v>
      </c>
      <c r="Z51" t="s">
        <v>1100</v>
      </c>
      <c r="AA51" t="s">
        <v>1100</v>
      </c>
      <c r="AB51" t="s">
        <v>1100</v>
      </c>
      <c r="AC51" t="s">
        <v>1100</v>
      </c>
    </row>
    <row r="52" spans="1:39" ht="29" x14ac:dyDescent="0.35">
      <c r="A52" t="s">
        <v>1559</v>
      </c>
      <c r="B52" s="47" t="s">
        <v>1560</v>
      </c>
      <c r="C52" t="s">
        <v>1561</v>
      </c>
      <c r="D52">
        <v>923</v>
      </c>
      <c r="E52" t="s">
        <v>1113</v>
      </c>
      <c r="G52" t="s">
        <v>1133</v>
      </c>
      <c r="H52">
        <v>1</v>
      </c>
      <c r="I52" t="s">
        <v>1100</v>
      </c>
      <c r="J52" t="s">
        <v>1100</v>
      </c>
      <c r="K52" t="s">
        <v>1100</v>
      </c>
      <c r="L52" t="s">
        <v>1100</v>
      </c>
      <c r="M52" t="s">
        <v>1100</v>
      </c>
      <c r="N52" t="s">
        <v>1100</v>
      </c>
      <c r="O52" t="s">
        <v>1100</v>
      </c>
      <c r="P52" t="s">
        <v>1100</v>
      </c>
      <c r="Q52" t="s">
        <v>1100</v>
      </c>
      <c r="R52" t="s">
        <v>1100</v>
      </c>
      <c r="S52" t="s">
        <v>1100</v>
      </c>
      <c r="T52" t="s">
        <v>1100</v>
      </c>
      <c r="U52" t="s">
        <v>1100</v>
      </c>
      <c r="V52" t="s">
        <v>1100</v>
      </c>
      <c r="W52" t="s">
        <v>1100</v>
      </c>
      <c r="X52" t="s">
        <v>1100</v>
      </c>
      <c r="Y52" t="s">
        <v>1100</v>
      </c>
      <c r="Z52" t="s">
        <v>1100</v>
      </c>
      <c r="AA52" t="s">
        <v>1100</v>
      </c>
      <c r="AB52" t="s">
        <v>1100</v>
      </c>
      <c r="AC52" t="s">
        <v>1100</v>
      </c>
    </row>
    <row r="53" spans="1:39" x14ac:dyDescent="0.35">
      <c r="A53" t="s">
        <v>1559</v>
      </c>
      <c r="B53" t="s">
        <v>1562</v>
      </c>
      <c r="C53" t="s">
        <v>1563</v>
      </c>
      <c r="D53">
        <v>924</v>
      </c>
      <c r="E53" t="s">
        <v>1098</v>
      </c>
      <c r="G53" t="s">
        <v>1133</v>
      </c>
      <c r="H53">
        <v>31</v>
      </c>
      <c r="I53" t="s">
        <v>1564</v>
      </c>
      <c r="J53" t="s">
        <v>1565</v>
      </c>
      <c r="K53" t="s">
        <v>1566</v>
      </c>
      <c r="L53" t="s">
        <v>1567</v>
      </c>
      <c r="M53" t="s">
        <v>1568</v>
      </c>
      <c r="N53" t="s">
        <v>1569</v>
      </c>
      <c r="O53" t="s">
        <v>1570</v>
      </c>
      <c r="P53" t="s">
        <v>1571</v>
      </c>
      <c r="Q53" t="s">
        <v>1572</v>
      </c>
      <c r="R53" t="s">
        <v>1573</v>
      </c>
      <c r="S53" t="s">
        <v>1574</v>
      </c>
      <c r="T53" t="s">
        <v>1575</v>
      </c>
      <c r="U53" t="s">
        <v>1576</v>
      </c>
      <c r="V53" t="s">
        <v>1577</v>
      </c>
      <c r="W53" t="s">
        <v>1578</v>
      </c>
      <c r="X53" t="s">
        <v>1579</v>
      </c>
      <c r="Y53" t="s">
        <v>1580</v>
      </c>
      <c r="Z53" t="s">
        <v>1581</v>
      </c>
      <c r="AA53" t="s">
        <v>1582</v>
      </c>
      <c r="AB53" t="s">
        <v>1583</v>
      </c>
      <c r="AC53" t="s">
        <v>1584</v>
      </c>
      <c r="AD53" t="s">
        <v>1585</v>
      </c>
      <c r="AE53" t="s">
        <v>1586</v>
      </c>
      <c r="AF53" t="s">
        <v>1587</v>
      </c>
      <c r="AG53" t="s">
        <v>1588</v>
      </c>
      <c r="AH53" t="s">
        <v>1589</v>
      </c>
      <c r="AI53" t="s">
        <v>1590</v>
      </c>
      <c r="AJ53" t="s">
        <v>1591</v>
      </c>
      <c r="AK53" t="s">
        <v>1592</v>
      </c>
      <c r="AL53" t="s">
        <v>1593</v>
      </c>
      <c r="AM53" t="s">
        <v>1594</v>
      </c>
    </row>
    <row r="54" spans="1:39" x14ac:dyDescent="0.35">
      <c r="A54" t="s">
        <v>1595</v>
      </c>
      <c r="B54" t="s">
        <v>1596</v>
      </c>
      <c r="C54" t="s">
        <v>1597</v>
      </c>
      <c r="D54">
        <v>1291</v>
      </c>
      <c r="E54" t="s">
        <v>1098</v>
      </c>
      <c r="G54" t="s">
        <v>1133</v>
      </c>
      <c r="H54">
        <v>1</v>
      </c>
      <c r="I54" t="s">
        <v>1100</v>
      </c>
      <c r="J54" t="s">
        <v>1100</v>
      </c>
      <c r="K54" t="s">
        <v>1100</v>
      </c>
      <c r="L54" t="s">
        <v>1100</v>
      </c>
      <c r="M54" t="s">
        <v>1100</v>
      </c>
      <c r="N54" t="s">
        <v>1100</v>
      </c>
      <c r="O54" t="s">
        <v>1100</v>
      </c>
      <c r="P54" t="s">
        <v>1100</v>
      </c>
      <c r="Q54" t="s">
        <v>1100</v>
      </c>
      <c r="R54" t="s">
        <v>1100</v>
      </c>
      <c r="S54" t="s">
        <v>1100</v>
      </c>
      <c r="T54" t="s">
        <v>1100</v>
      </c>
      <c r="U54" t="s">
        <v>1100</v>
      </c>
      <c r="V54" t="s">
        <v>1100</v>
      </c>
      <c r="W54" t="s">
        <v>1100</v>
      </c>
      <c r="X54" t="s">
        <v>1100</v>
      </c>
      <c r="Y54" t="s">
        <v>1100</v>
      </c>
      <c r="Z54" t="s">
        <v>1100</v>
      </c>
      <c r="AA54" t="s">
        <v>1100</v>
      </c>
      <c r="AB54" t="s">
        <v>1100</v>
      </c>
      <c r="AC54" t="s">
        <v>1100</v>
      </c>
    </row>
    <row r="55" spans="1:39" x14ac:dyDescent="0.35">
      <c r="A55" t="s">
        <v>1595</v>
      </c>
      <c r="B55" t="s">
        <v>1598</v>
      </c>
      <c r="C55" t="s">
        <v>1599</v>
      </c>
      <c r="D55">
        <v>1292</v>
      </c>
      <c r="E55" t="s">
        <v>1098</v>
      </c>
      <c r="G55" t="s">
        <v>1133</v>
      </c>
      <c r="H55">
        <v>1</v>
      </c>
      <c r="I55" t="s">
        <v>1100</v>
      </c>
      <c r="J55" t="s">
        <v>1100</v>
      </c>
      <c r="K55" t="s">
        <v>1100</v>
      </c>
      <c r="L55" t="s">
        <v>1100</v>
      </c>
      <c r="M55" t="s">
        <v>1100</v>
      </c>
      <c r="N55" t="s">
        <v>1100</v>
      </c>
      <c r="O55" t="s">
        <v>1100</v>
      </c>
      <c r="P55" t="s">
        <v>1100</v>
      </c>
      <c r="Q55" t="s">
        <v>1100</v>
      </c>
      <c r="R55" t="s">
        <v>1100</v>
      </c>
      <c r="S55" t="s">
        <v>1100</v>
      </c>
      <c r="T55" t="s">
        <v>1100</v>
      </c>
      <c r="U55" t="s">
        <v>1100</v>
      </c>
      <c r="V55" t="s">
        <v>1100</v>
      </c>
      <c r="W55" t="s">
        <v>1100</v>
      </c>
      <c r="X55" t="s">
        <v>1100</v>
      </c>
      <c r="Y55" t="s">
        <v>1100</v>
      </c>
      <c r="Z55" t="s">
        <v>1100</v>
      </c>
      <c r="AA55" t="s">
        <v>1100</v>
      </c>
      <c r="AB55" t="s">
        <v>1100</v>
      </c>
      <c r="AC55" t="s">
        <v>1100</v>
      </c>
    </row>
    <row r="56" spans="1:39" x14ac:dyDescent="0.35">
      <c r="A56" t="s">
        <v>1600</v>
      </c>
      <c r="B56" t="s">
        <v>1601</v>
      </c>
      <c r="C56" t="s">
        <v>1602</v>
      </c>
      <c r="D56">
        <v>1293</v>
      </c>
      <c r="E56" t="s">
        <v>1098</v>
      </c>
      <c r="G56" t="s">
        <v>1133</v>
      </c>
      <c r="H56">
        <v>1</v>
      </c>
      <c r="I56" t="s">
        <v>1100</v>
      </c>
      <c r="J56" t="s">
        <v>1100</v>
      </c>
      <c r="K56" t="s">
        <v>1100</v>
      </c>
      <c r="L56" t="s">
        <v>1100</v>
      </c>
      <c r="M56" t="s">
        <v>1100</v>
      </c>
      <c r="N56" t="s">
        <v>1100</v>
      </c>
      <c r="O56" t="s">
        <v>1100</v>
      </c>
      <c r="P56" t="s">
        <v>1100</v>
      </c>
      <c r="Q56" t="s">
        <v>1100</v>
      </c>
      <c r="R56" t="s">
        <v>1100</v>
      </c>
      <c r="S56" t="s">
        <v>1100</v>
      </c>
      <c r="T56" t="s">
        <v>1100</v>
      </c>
      <c r="U56" t="s">
        <v>1100</v>
      </c>
      <c r="V56" t="s">
        <v>1100</v>
      </c>
      <c r="W56" t="s">
        <v>1100</v>
      </c>
      <c r="X56" t="s">
        <v>1100</v>
      </c>
      <c r="Y56" t="s">
        <v>1100</v>
      </c>
      <c r="Z56" t="s">
        <v>1100</v>
      </c>
      <c r="AA56" t="s">
        <v>1100</v>
      </c>
      <c r="AB56" t="s">
        <v>1100</v>
      </c>
      <c r="AC56" t="s">
        <v>1100</v>
      </c>
    </row>
    <row r="57" spans="1:39" x14ac:dyDescent="0.35">
      <c r="A57" t="s">
        <v>1603</v>
      </c>
      <c r="B57" t="s">
        <v>1604</v>
      </c>
      <c r="C57" t="s">
        <v>1605</v>
      </c>
      <c r="D57">
        <v>1320</v>
      </c>
      <c r="E57" t="s">
        <v>1098</v>
      </c>
      <c r="G57" t="s">
        <v>1133</v>
      </c>
      <c r="H57">
        <v>1</v>
      </c>
      <c r="I57" t="s">
        <v>1100</v>
      </c>
      <c r="J57" t="s">
        <v>1100</v>
      </c>
      <c r="K57" t="s">
        <v>1100</v>
      </c>
      <c r="L57" t="s">
        <v>1100</v>
      </c>
      <c r="M57" t="s">
        <v>1100</v>
      </c>
      <c r="N57" t="s">
        <v>1100</v>
      </c>
      <c r="O57" t="s">
        <v>1100</v>
      </c>
      <c r="P57" t="s">
        <v>1100</v>
      </c>
      <c r="Q57" t="s">
        <v>1100</v>
      </c>
      <c r="R57" t="s">
        <v>1100</v>
      </c>
      <c r="S57" t="s">
        <v>1100</v>
      </c>
      <c r="T57" t="s">
        <v>1100</v>
      </c>
      <c r="U57" t="s">
        <v>1100</v>
      </c>
      <c r="V57" t="s">
        <v>1100</v>
      </c>
      <c r="W57" t="s">
        <v>1100</v>
      </c>
      <c r="X57" t="s">
        <v>1100</v>
      </c>
      <c r="Y57" t="s">
        <v>1100</v>
      </c>
      <c r="Z57" t="s">
        <v>1100</v>
      </c>
      <c r="AA57" t="s">
        <v>1100</v>
      </c>
      <c r="AB57" t="s">
        <v>1100</v>
      </c>
      <c r="AC57" t="s">
        <v>1100</v>
      </c>
    </row>
    <row r="58" spans="1:39" x14ac:dyDescent="0.35">
      <c r="A58" t="s">
        <v>1606</v>
      </c>
      <c r="B58" t="s">
        <v>1607</v>
      </c>
      <c r="C58" t="s">
        <v>1608</v>
      </c>
      <c r="D58">
        <v>1360</v>
      </c>
      <c r="E58" t="s">
        <v>1492</v>
      </c>
      <c r="G58" t="s">
        <v>1133</v>
      </c>
      <c r="H58">
        <v>1</v>
      </c>
      <c r="I58" t="s">
        <v>1100</v>
      </c>
      <c r="J58" t="s">
        <v>1100</v>
      </c>
      <c r="K58" t="s">
        <v>1100</v>
      </c>
      <c r="L58" t="s">
        <v>1100</v>
      </c>
      <c r="M58" t="s">
        <v>1100</v>
      </c>
      <c r="N58" t="s">
        <v>1100</v>
      </c>
      <c r="O58" t="s">
        <v>1100</v>
      </c>
      <c r="P58" t="s">
        <v>1100</v>
      </c>
      <c r="Q58" t="s">
        <v>1100</v>
      </c>
      <c r="R58" t="s">
        <v>1100</v>
      </c>
      <c r="S58" t="s">
        <v>1100</v>
      </c>
      <c r="T58" t="s">
        <v>1100</v>
      </c>
      <c r="U58" t="s">
        <v>1100</v>
      </c>
      <c r="V58" t="s">
        <v>1100</v>
      </c>
      <c r="W58" t="s">
        <v>1100</v>
      </c>
      <c r="X58" t="s">
        <v>1100</v>
      </c>
      <c r="Y58" t="s">
        <v>1100</v>
      </c>
      <c r="Z58" t="s">
        <v>1100</v>
      </c>
      <c r="AA58" t="s">
        <v>1100</v>
      </c>
      <c r="AB58" t="s">
        <v>1100</v>
      </c>
      <c r="AC58" t="s">
        <v>1100</v>
      </c>
    </row>
    <row r="59" spans="1:39" x14ac:dyDescent="0.35">
      <c r="A59" t="s">
        <v>1609</v>
      </c>
      <c r="B59" t="s">
        <v>1610</v>
      </c>
      <c r="C59" t="s">
        <v>1611</v>
      </c>
      <c r="D59">
        <v>1419</v>
      </c>
      <c r="E59" t="s">
        <v>1098</v>
      </c>
      <c r="G59" t="s">
        <v>1133</v>
      </c>
      <c r="H59">
        <v>2</v>
      </c>
      <c r="I59" t="s">
        <v>1612</v>
      </c>
      <c r="J59" t="s">
        <v>1613</v>
      </c>
      <c r="K59" t="s">
        <v>1100</v>
      </c>
      <c r="L59" t="s">
        <v>1100</v>
      </c>
      <c r="M59" t="s">
        <v>1100</v>
      </c>
      <c r="N59" t="s">
        <v>1100</v>
      </c>
      <c r="O59" t="s">
        <v>1100</v>
      </c>
      <c r="P59" t="s">
        <v>1100</v>
      </c>
      <c r="Q59" t="s">
        <v>1100</v>
      </c>
      <c r="R59" t="s">
        <v>1100</v>
      </c>
      <c r="S59" t="s">
        <v>1100</v>
      </c>
      <c r="T59" t="s">
        <v>1100</v>
      </c>
      <c r="U59" t="s">
        <v>1100</v>
      </c>
      <c r="V59" t="s">
        <v>1100</v>
      </c>
      <c r="W59" t="s">
        <v>1100</v>
      </c>
      <c r="X59" t="s">
        <v>1100</v>
      </c>
      <c r="Y59" t="s">
        <v>1100</v>
      </c>
      <c r="Z59" t="s">
        <v>1100</v>
      </c>
      <c r="AA59" t="s">
        <v>1100</v>
      </c>
      <c r="AB59" t="s">
        <v>1100</v>
      </c>
      <c r="AC59" t="s">
        <v>1100</v>
      </c>
    </row>
    <row r="60" spans="1:39" x14ac:dyDescent="0.35">
      <c r="A60" t="s">
        <v>1614</v>
      </c>
      <c r="B60" t="s">
        <v>1615</v>
      </c>
      <c r="C60" t="s">
        <v>1616</v>
      </c>
      <c r="D60">
        <v>1490</v>
      </c>
      <c r="E60" t="s">
        <v>1492</v>
      </c>
      <c r="G60" t="s">
        <v>1133</v>
      </c>
      <c r="H60">
        <v>1</v>
      </c>
      <c r="I60" t="s">
        <v>1100</v>
      </c>
      <c r="J60" t="s">
        <v>1100</v>
      </c>
      <c r="K60" t="s">
        <v>1100</v>
      </c>
      <c r="L60" t="s">
        <v>1100</v>
      </c>
      <c r="M60" t="s">
        <v>1100</v>
      </c>
      <c r="N60" t="s">
        <v>1100</v>
      </c>
      <c r="O60" t="s">
        <v>1100</v>
      </c>
      <c r="P60" t="s">
        <v>1100</v>
      </c>
      <c r="Q60" t="s">
        <v>1100</v>
      </c>
      <c r="R60" t="s">
        <v>1100</v>
      </c>
      <c r="S60" t="s">
        <v>1100</v>
      </c>
      <c r="T60" t="s">
        <v>1100</v>
      </c>
      <c r="U60" t="s">
        <v>1100</v>
      </c>
      <c r="V60" t="s">
        <v>1100</v>
      </c>
      <c r="W60" t="s">
        <v>1100</v>
      </c>
      <c r="X60" t="s">
        <v>1100</v>
      </c>
      <c r="Y60" t="s">
        <v>1100</v>
      </c>
      <c r="Z60" t="s">
        <v>1100</v>
      </c>
      <c r="AA60" t="s">
        <v>1100</v>
      </c>
      <c r="AB60" t="s">
        <v>1100</v>
      </c>
      <c r="AC60" t="s">
        <v>1100</v>
      </c>
    </row>
    <row r="61" spans="1:39" x14ac:dyDescent="0.35">
      <c r="A61" t="s">
        <v>1617</v>
      </c>
      <c r="B61" t="s">
        <v>1618</v>
      </c>
      <c r="C61" t="s">
        <v>1619</v>
      </c>
      <c r="D61">
        <v>401</v>
      </c>
      <c r="E61" t="s">
        <v>1113</v>
      </c>
      <c r="G61" t="s">
        <v>1133</v>
      </c>
      <c r="H61">
        <v>1</v>
      </c>
      <c r="I61" t="s">
        <v>1100</v>
      </c>
      <c r="J61" t="s">
        <v>1100</v>
      </c>
      <c r="K61" t="s">
        <v>1100</v>
      </c>
      <c r="L61" t="s">
        <v>1100</v>
      </c>
      <c r="M61" t="s">
        <v>1100</v>
      </c>
      <c r="N61" t="s">
        <v>1100</v>
      </c>
      <c r="O61" t="s">
        <v>1100</v>
      </c>
      <c r="P61" t="s">
        <v>1100</v>
      </c>
      <c r="Q61" t="s">
        <v>1100</v>
      </c>
      <c r="R61" t="s">
        <v>1100</v>
      </c>
      <c r="S61" t="s">
        <v>1100</v>
      </c>
      <c r="T61" t="s">
        <v>1100</v>
      </c>
      <c r="U61" t="s">
        <v>1100</v>
      </c>
      <c r="V61" t="s">
        <v>1100</v>
      </c>
      <c r="W61" t="s">
        <v>1100</v>
      </c>
      <c r="X61" t="s">
        <v>1100</v>
      </c>
      <c r="Y61" t="s">
        <v>1100</v>
      </c>
      <c r="Z61" t="s">
        <v>1100</v>
      </c>
      <c r="AA61" t="s">
        <v>1100</v>
      </c>
      <c r="AB61" t="s">
        <v>1100</v>
      </c>
      <c r="AC61" t="s">
        <v>1100</v>
      </c>
    </row>
    <row r="62" spans="1:39" x14ac:dyDescent="0.35">
      <c r="A62" t="s">
        <v>1620</v>
      </c>
      <c r="B62" t="s">
        <v>1621</v>
      </c>
      <c r="C62" t="s">
        <v>1622</v>
      </c>
      <c r="D62">
        <v>603</v>
      </c>
      <c r="E62" t="s">
        <v>1113</v>
      </c>
      <c r="G62" t="s">
        <v>1133</v>
      </c>
      <c r="H62">
        <v>1</v>
      </c>
      <c r="I62" t="s">
        <v>1100</v>
      </c>
      <c r="J62" t="s">
        <v>1100</v>
      </c>
      <c r="K62" t="s">
        <v>1100</v>
      </c>
      <c r="L62" t="s">
        <v>1100</v>
      </c>
      <c r="M62" t="s">
        <v>1100</v>
      </c>
      <c r="N62" t="s">
        <v>1100</v>
      </c>
      <c r="O62" t="s">
        <v>1100</v>
      </c>
      <c r="P62" t="s">
        <v>1100</v>
      </c>
      <c r="Q62" t="s">
        <v>1100</v>
      </c>
      <c r="R62" t="s">
        <v>1100</v>
      </c>
      <c r="S62" t="s">
        <v>1100</v>
      </c>
      <c r="T62" t="s">
        <v>1100</v>
      </c>
      <c r="U62" t="s">
        <v>1100</v>
      </c>
      <c r="V62" t="s">
        <v>1100</v>
      </c>
      <c r="W62" t="s">
        <v>1100</v>
      </c>
      <c r="X62" t="s">
        <v>1100</v>
      </c>
      <c r="Y62" t="s">
        <v>1100</v>
      </c>
      <c r="Z62" t="s">
        <v>1100</v>
      </c>
      <c r="AA62" t="s">
        <v>1100</v>
      </c>
      <c r="AB62" t="s">
        <v>1100</v>
      </c>
      <c r="AC62" t="s">
        <v>1100</v>
      </c>
    </row>
    <row r="63" spans="1:39" x14ac:dyDescent="0.35">
      <c r="A63" t="s">
        <v>1623</v>
      </c>
      <c r="B63" t="s">
        <v>1624</v>
      </c>
      <c r="C63" t="s">
        <v>1625</v>
      </c>
      <c r="D63">
        <v>604</v>
      </c>
      <c r="E63" t="s">
        <v>1098</v>
      </c>
      <c r="G63" t="s">
        <v>1133</v>
      </c>
      <c r="H63">
        <v>1</v>
      </c>
      <c r="I63" t="s">
        <v>1100</v>
      </c>
      <c r="J63" t="s">
        <v>1100</v>
      </c>
      <c r="K63" t="s">
        <v>1100</v>
      </c>
      <c r="L63" t="s">
        <v>1100</v>
      </c>
      <c r="M63" t="s">
        <v>1100</v>
      </c>
      <c r="N63" t="s">
        <v>1100</v>
      </c>
      <c r="O63" t="s">
        <v>1100</v>
      </c>
      <c r="P63" t="s">
        <v>1100</v>
      </c>
      <c r="Q63" t="s">
        <v>1100</v>
      </c>
      <c r="R63" t="s">
        <v>1100</v>
      </c>
      <c r="S63" t="s">
        <v>1100</v>
      </c>
      <c r="T63" t="s">
        <v>1100</v>
      </c>
      <c r="U63" t="s">
        <v>1100</v>
      </c>
      <c r="V63" t="s">
        <v>1100</v>
      </c>
      <c r="W63" t="s">
        <v>1100</v>
      </c>
      <c r="X63" t="s">
        <v>1100</v>
      </c>
      <c r="Y63" t="s">
        <v>1100</v>
      </c>
      <c r="Z63" t="s">
        <v>1100</v>
      </c>
      <c r="AA63" t="s">
        <v>1100</v>
      </c>
      <c r="AB63" t="s">
        <v>1100</v>
      </c>
      <c r="AC63" t="s">
        <v>1100</v>
      </c>
    </row>
    <row r="64" spans="1:39" x14ac:dyDescent="0.35">
      <c r="A64" t="s">
        <v>1626</v>
      </c>
      <c r="B64" t="s">
        <v>1627</v>
      </c>
      <c r="C64" t="s">
        <v>1628</v>
      </c>
      <c r="D64">
        <v>1686</v>
      </c>
      <c r="E64" t="s">
        <v>1113</v>
      </c>
      <c r="G64" t="s">
        <v>1133</v>
      </c>
      <c r="H64">
        <v>1</v>
      </c>
      <c r="I64" t="s">
        <v>1100</v>
      </c>
      <c r="J64" t="s">
        <v>1100</v>
      </c>
      <c r="K64" t="s">
        <v>1100</v>
      </c>
      <c r="L64" t="s">
        <v>1100</v>
      </c>
      <c r="M64" t="s">
        <v>1100</v>
      </c>
      <c r="N64" t="s">
        <v>1100</v>
      </c>
      <c r="O64" t="s">
        <v>1100</v>
      </c>
      <c r="P64" t="s">
        <v>1100</v>
      </c>
      <c r="Q64" t="s">
        <v>1100</v>
      </c>
      <c r="R64" t="s">
        <v>1100</v>
      </c>
      <c r="S64" t="s">
        <v>1100</v>
      </c>
      <c r="T64" t="s">
        <v>1100</v>
      </c>
      <c r="U64" t="s">
        <v>1100</v>
      </c>
      <c r="V64" t="s">
        <v>1100</v>
      </c>
      <c r="W64" t="s">
        <v>1100</v>
      </c>
      <c r="X64" t="s">
        <v>1100</v>
      </c>
      <c r="Y64" t="s">
        <v>1100</v>
      </c>
      <c r="Z64" t="s">
        <v>1100</v>
      </c>
      <c r="AA64" t="s">
        <v>1100</v>
      </c>
      <c r="AB64" t="s">
        <v>1100</v>
      </c>
      <c r="AC64" t="s">
        <v>1100</v>
      </c>
    </row>
    <row r="65" spans="1:29" ht="29" x14ac:dyDescent="0.35">
      <c r="A65" t="s">
        <v>1629</v>
      </c>
      <c r="B65" s="47" t="s">
        <v>1630</v>
      </c>
      <c r="C65" s="58" t="s">
        <v>1631</v>
      </c>
      <c r="D65">
        <v>1090</v>
      </c>
      <c r="E65" t="s">
        <v>1113</v>
      </c>
      <c r="G65" t="s">
        <v>1133</v>
      </c>
      <c r="H65">
        <v>1</v>
      </c>
      <c r="I65" t="s">
        <v>1100</v>
      </c>
      <c r="J65" t="s">
        <v>1100</v>
      </c>
      <c r="K65" t="s">
        <v>1100</v>
      </c>
      <c r="L65" t="s">
        <v>1100</v>
      </c>
      <c r="M65" t="s">
        <v>1100</v>
      </c>
      <c r="N65" t="s">
        <v>1100</v>
      </c>
      <c r="O65" t="s">
        <v>1100</v>
      </c>
      <c r="P65" t="s">
        <v>1100</v>
      </c>
      <c r="Q65" t="s">
        <v>1100</v>
      </c>
      <c r="R65" t="s">
        <v>1100</v>
      </c>
      <c r="S65" t="s">
        <v>1100</v>
      </c>
      <c r="T65" t="s">
        <v>1100</v>
      </c>
      <c r="U65" t="s">
        <v>1100</v>
      </c>
      <c r="V65" t="s">
        <v>1100</v>
      </c>
      <c r="W65" t="s">
        <v>1100</v>
      </c>
      <c r="X65" t="s">
        <v>1100</v>
      </c>
      <c r="Y65" t="s">
        <v>1100</v>
      </c>
      <c r="Z65" t="s">
        <v>1100</v>
      </c>
      <c r="AA65" t="s">
        <v>1100</v>
      </c>
      <c r="AB65" t="s">
        <v>1100</v>
      </c>
      <c r="AC65" t="s">
        <v>1100</v>
      </c>
    </row>
    <row r="66" spans="1:29" x14ac:dyDescent="0.35">
      <c r="A66" t="s">
        <v>1632</v>
      </c>
      <c r="B66" t="s">
        <v>1633</v>
      </c>
      <c r="C66" t="s">
        <v>1634</v>
      </c>
      <c r="D66">
        <v>1242</v>
      </c>
      <c r="E66" t="s">
        <v>1492</v>
      </c>
      <c r="G66" t="s">
        <v>1133</v>
      </c>
      <c r="H66">
        <v>1</v>
      </c>
      <c r="I66" t="s">
        <v>1100</v>
      </c>
      <c r="J66" t="s">
        <v>1100</v>
      </c>
      <c r="K66" t="s">
        <v>1100</v>
      </c>
      <c r="L66" t="s">
        <v>1100</v>
      </c>
      <c r="M66" t="s">
        <v>1100</v>
      </c>
      <c r="N66" t="s">
        <v>1100</v>
      </c>
      <c r="O66" t="s">
        <v>1100</v>
      </c>
      <c r="P66" t="s">
        <v>1100</v>
      </c>
      <c r="Q66" t="s">
        <v>1100</v>
      </c>
      <c r="R66" t="s">
        <v>1100</v>
      </c>
      <c r="S66" t="s">
        <v>1100</v>
      </c>
      <c r="T66" t="s">
        <v>1100</v>
      </c>
      <c r="U66" t="s">
        <v>1100</v>
      </c>
      <c r="V66" t="s">
        <v>1100</v>
      </c>
      <c r="W66" t="s">
        <v>1100</v>
      </c>
      <c r="X66" t="s">
        <v>1100</v>
      </c>
      <c r="Y66" t="s">
        <v>1100</v>
      </c>
      <c r="Z66" t="s">
        <v>1100</v>
      </c>
      <c r="AA66" t="s">
        <v>1100</v>
      </c>
      <c r="AB66" t="s">
        <v>1100</v>
      </c>
      <c r="AC66" t="s">
        <v>1100</v>
      </c>
    </row>
    <row r="67" spans="1:29" x14ac:dyDescent="0.35">
      <c r="A67" t="s">
        <v>1635</v>
      </c>
      <c r="B67" t="s">
        <v>1636</v>
      </c>
      <c r="C67" t="s">
        <v>1637</v>
      </c>
      <c r="D67">
        <v>232</v>
      </c>
      <c r="E67" t="s">
        <v>1098</v>
      </c>
      <c r="G67" t="s">
        <v>1133</v>
      </c>
      <c r="H67">
        <v>6</v>
      </c>
      <c r="I67" t="s">
        <v>1638</v>
      </c>
      <c r="J67" t="s">
        <v>1639</v>
      </c>
      <c r="K67" t="s">
        <v>1640</v>
      </c>
      <c r="L67" t="s">
        <v>1641</v>
      </c>
      <c r="M67" t="s">
        <v>1642</v>
      </c>
      <c r="N67" t="s">
        <v>1643</v>
      </c>
      <c r="O67" t="s">
        <v>1100</v>
      </c>
      <c r="P67" t="s">
        <v>1100</v>
      </c>
      <c r="Q67" t="s">
        <v>1100</v>
      </c>
      <c r="R67" t="s">
        <v>1100</v>
      </c>
      <c r="S67" t="s">
        <v>1100</v>
      </c>
      <c r="T67" t="s">
        <v>1100</v>
      </c>
      <c r="U67" t="s">
        <v>1100</v>
      </c>
      <c r="V67" t="s">
        <v>1100</v>
      </c>
      <c r="W67" t="s">
        <v>1100</v>
      </c>
      <c r="X67" t="s">
        <v>1100</v>
      </c>
      <c r="Y67" t="s">
        <v>1100</v>
      </c>
      <c r="Z67" t="s">
        <v>1100</v>
      </c>
      <c r="AA67" t="s">
        <v>1100</v>
      </c>
      <c r="AB67" t="s">
        <v>1100</v>
      </c>
      <c r="AC67" t="s">
        <v>1100</v>
      </c>
    </row>
    <row r="68" spans="1:29" x14ac:dyDescent="0.35">
      <c r="A68" t="s">
        <v>1644</v>
      </c>
      <c r="B68" t="s">
        <v>1645</v>
      </c>
      <c r="C68" t="s">
        <v>1646</v>
      </c>
      <c r="D68">
        <v>461</v>
      </c>
      <c r="E68" t="s">
        <v>1098</v>
      </c>
      <c r="G68" t="s">
        <v>1133</v>
      </c>
      <c r="H68">
        <v>2</v>
      </c>
      <c r="I68" t="s">
        <v>1612</v>
      </c>
      <c r="J68" t="s">
        <v>1613</v>
      </c>
      <c r="L68" t="s">
        <v>1100</v>
      </c>
      <c r="M68" t="s">
        <v>1100</v>
      </c>
      <c r="N68" t="s">
        <v>1100</v>
      </c>
      <c r="O68" t="s">
        <v>1100</v>
      </c>
      <c r="P68" t="s">
        <v>1100</v>
      </c>
      <c r="Q68" t="s">
        <v>1100</v>
      </c>
      <c r="R68" t="s">
        <v>1100</v>
      </c>
      <c r="S68" t="s">
        <v>1100</v>
      </c>
      <c r="T68" t="s">
        <v>1100</v>
      </c>
      <c r="U68" t="s">
        <v>1100</v>
      </c>
      <c r="V68" t="s">
        <v>1100</v>
      </c>
      <c r="W68" t="s">
        <v>1100</v>
      </c>
      <c r="X68" t="s">
        <v>1100</v>
      </c>
      <c r="Y68" t="s">
        <v>1100</v>
      </c>
      <c r="Z68" t="s">
        <v>1100</v>
      </c>
      <c r="AA68" t="s">
        <v>1100</v>
      </c>
      <c r="AB68" t="s">
        <v>1100</v>
      </c>
      <c r="AC68" t="s">
        <v>1100</v>
      </c>
    </row>
    <row r="69" spans="1:29" x14ac:dyDescent="0.35">
      <c r="A69" t="s">
        <v>1647</v>
      </c>
      <c r="B69" t="s">
        <v>1648</v>
      </c>
      <c r="C69" t="s">
        <v>1649</v>
      </c>
      <c r="D69">
        <v>1019</v>
      </c>
      <c r="E69" t="s">
        <v>1113</v>
      </c>
      <c r="G69" t="s">
        <v>1133</v>
      </c>
      <c r="H69">
        <v>1</v>
      </c>
      <c r="I69" t="s">
        <v>1100</v>
      </c>
      <c r="J69" t="s">
        <v>1100</v>
      </c>
      <c r="K69" t="s">
        <v>1100</v>
      </c>
      <c r="L69" t="s">
        <v>1100</v>
      </c>
      <c r="M69" t="s">
        <v>1100</v>
      </c>
      <c r="N69" t="s">
        <v>1100</v>
      </c>
      <c r="O69" t="s">
        <v>1100</v>
      </c>
      <c r="P69" t="s">
        <v>1100</v>
      </c>
      <c r="Q69" t="s">
        <v>1100</v>
      </c>
      <c r="R69" t="s">
        <v>1100</v>
      </c>
      <c r="S69" t="s">
        <v>1100</v>
      </c>
      <c r="T69" t="s">
        <v>1100</v>
      </c>
      <c r="U69" t="s">
        <v>1100</v>
      </c>
      <c r="V69" t="s">
        <v>1100</v>
      </c>
      <c r="W69" t="s">
        <v>1100</v>
      </c>
      <c r="X69" t="s">
        <v>1100</v>
      </c>
      <c r="Y69" t="s">
        <v>1100</v>
      </c>
      <c r="Z69" t="s">
        <v>1100</v>
      </c>
      <c r="AA69" t="s">
        <v>1100</v>
      </c>
      <c r="AB69" t="s">
        <v>1100</v>
      </c>
      <c r="AC69" t="s">
        <v>1100</v>
      </c>
    </row>
    <row r="70" spans="1:29" x14ac:dyDescent="0.35">
      <c r="A70" t="s">
        <v>1650</v>
      </c>
      <c r="B70" t="s">
        <v>1651</v>
      </c>
      <c r="C70" t="s">
        <v>1652</v>
      </c>
      <c r="D70">
        <v>1067</v>
      </c>
      <c r="E70" t="s">
        <v>1098</v>
      </c>
      <c r="G70" t="s">
        <v>1133</v>
      </c>
      <c r="H70">
        <v>7</v>
      </c>
      <c r="I70" t="s">
        <v>1653</v>
      </c>
      <c r="J70" t="s">
        <v>1654</v>
      </c>
      <c r="K70" t="s">
        <v>1655</v>
      </c>
      <c r="L70" t="s">
        <v>1656</v>
      </c>
      <c r="M70" t="s">
        <v>1657</v>
      </c>
      <c r="N70" t="s">
        <v>1658</v>
      </c>
      <c r="O70" t="s">
        <v>1659</v>
      </c>
      <c r="P70" t="s">
        <v>1100</v>
      </c>
      <c r="Q70" t="s">
        <v>1100</v>
      </c>
      <c r="R70" t="s">
        <v>1100</v>
      </c>
      <c r="S70" t="s">
        <v>1100</v>
      </c>
      <c r="T70" t="s">
        <v>1100</v>
      </c>
      <c r="U70" t="s">
        <v>1100</v>
      </c>
      <c r="V70" t="s">
        <v>1100</v>
      </c>
      <c r="W70" t="s">
        <v>1100</v>
      </c>
      <c r="X70" t="s">
        <v>1100</v>
      </c>
      <c r="Y70" t="s">
        <v>1100</v>
      </c>
      <c r="Z70" t="s">
        <v>1100</v>
      </c>
      <c r="AA70" t="s">
        <v>1100</v>
      </c>
      <c r="AB70" t="s">
        <v>1100</v>
      </c>
      <c r="AC70" t="s">
        <v>1100</v>
      </c>
    </row>
    <row r="71" spans="1:29" x14ac:dyDescent="0.35">
      <c r="A71" t="s">
        <v>1660</v>
      </c>
      <c r="B71" t="s">
        <v>1661</v>
      </c>
      <c r="C71" t="s">
        <v>1662</v>
      </c>
      <c r="D71">
        <v>631</v>
      </c>
      <c r="E71" t="s">
        <v>1492</v>
      </c>
      <c r="G71" t="s">
        <v>1133</v>
      </c>
      <c r="H71">
        <v>1</v>
      </c>
      <c r="I71" t="s">
        <v>1100</v>
      </c>
      <c r="J71" t="s">
        <v>1100</v>
      </c>
      <c r="K71" t="s">
        <v>1100</v>
      </c>
      <c r="L71" t="s">
        <v>1100</v>
      </c>
      <c r="M71" t="s">
        <v>1100</v>
      </c>
      <c r="N71" t="s">
        <v>1100</v>
      </c>
      <c r="O71" t="s">
        <v>1100</v>
      </c>
      <c r="P71" t="s">
        <v>1100</v>
      </c>
      <c r="Q71" t="s">
        <v>1100</v>
      </c>
      <c r="R71" t="s">
        <v>1100</v>
      </c>
      <c r="S71" t="s">
        <v>1100</v>
      </c>
      <c r="T71" t="s">
        <v>1100</v>
      </c>
      <c r="U71" t="s">
        <v>1100</v>
      </c>
      <c r="V71" t="s">
        <v>1100</v>
      </c>
      <c r="W71" t="s">
        <v>1100</v>
      </c>
      <c r="X71" t="s">
        <v>1100</v>
      </c>
      <c r="Y71" t="s">
        <v>1100</v>
      </c>
      <c r="Z71" t="s">
        <v>1100</v>
      </c>
      <c r="AA71" t="s">
        <v>1100</v>
      </c>
      <c r="AB71" t="s">
        <v>1100</v>
      </c>
      <c r="AC71" t="s">
        <v>1100</v>
      </c>
    </row>
    <row r="72" spans="1:29" x14ac:dyDescent="0.35">
      <c r="A72" t="s">
        <v>1663</v>
      </c>
      <c r="B72" t="s">
        <v>1664</v>
      </c>
      <c r="C72" t="s">
        <v>1665</v>
      </c>
      <c r="D72">
        <v>624</v>
      </c>
      <c r="E72" t="s">
        <v>1098</v>
      </c>
      <c r="G72" t="s">
        <v>1133</v>
      </c>
      <c r="H72">
        <v>1</v>
      </c>
      <c r="I72" t="s">
        <v>1100</v>
      </c>
      <c r="J72" t="s">
        <v>1100</v>
      </c>
      <c r="K72" t="s">
        <v>1100</v>
      </c>
      <c r="L72" t="s">
        <v>1100</v>
      </c>
      <c r="M72" t="s">
        <v>1100</v>
      </c>
      <c r="N72" t="s">
        <v>1100</v>
      </c>
      <c r="O72" t="s">
        <v>1100</v>
      </c>
      <c r="P72" t="s">
        <v>1100</v>
      </c>
      <c r="Q72" t="s">
        <v>1100</v>
      </c>
      <c r="R72" t="s">
        <v>1100</v>
      </c>
      <c r="S72" t="s">
        <v>1100</v>
      </c>
      <c r="T72" t="s">
        <v>1100</v>
      </c>
      <c r="U72" t="s">
        <v>1100</v>
      </c>
      <c r="V72" t="s">
        <v>1100</v>
      </c>
      <c r="W72" t="s">
        <v>1100</v>
      </c>
      <c r="X72" t="s">
        <v>1100</v>
      </c>
      <c r="Y72" t="s">
        <v>1100</v>
      </c>
      <c r="Z72" t="s">
        <v>1100</v>
      </c>
      <c r="AA72" t="s">
        <v>1100</v>
      </c>
      <c r="AB72" t="s">
        <v>1100</v>
      </c>
      <c r="AC72" t="s">
        <v>1100</v>
      </c>
    </row>
    <row r="73" spans="1:29" x14ac:dyDescent="0.35">
      <c r="A73" t="s">
        <v>1666</v>
      </c>
      <c r="B73" t="s">
        <v>1667</v>
      </c>
      <c r="C73" t="s">
        <v>1668</v>
      </c>
      <c r="D73">
        <v>1847</v>
      </c>
      <c r="E73" t="s">
        <v>1098</v>
      </c>
      <c r="G73" t="s">
        <v>1133</v>
      </c>
      <c r="H73">
        <v>1</v>
      </c>
      <c r="I73" t="s">
        <v>1100</v>
      </c>
      <c r="J73" t="s">
        <v>1100</v>
      </c>
      <c r="K73" t="s">
        <v>1100</v>
      </c>
      <c r="L73" t="s">
        <v>1100</v>
      </c>
      <c r="M73" t="s">
        <v>1100</v>
      </c>
      <c r="N73" t="s">
        <v>1100</v>
      </c>
      <c r="O73" t="s">
        <v>1100</v>
      </c>
      <c r="P73" t="s">
        <v>1100</v>
      </c>
      <c r="Q73" t="s">
        <v>1100</v>
      </c>
      <c r="R73" t="s">
        <v>1100</v>
      </c>
      <c r="S73" t="s">
        <v>1100</v>
      </c>
      <c r="T73" t="s">
        <v>1100</v>
      </c>
      <c r="U73" t="s">
        <v>1100</v>
      </c>
      <c r="V73" t="s">
        <v>1100</v>
      </c>
      <c r="W73" t="s">
        <v>1100</v>
      </c>
      <c r="X73" t="s">
        <v>1100</v>
      </c>
      <c r="Y73" t="s">
        <v>1100</v>
      </c>
      <c r="Z73" t="s">
        <v>1100</v>
      </c>
      <c r="AA73" t="s">
        <v>1100</v>
      </c>
      <c r="AB73" t="s">
        <v>1100</v>
      </c>
      <c r="AC73" t="s">
        <v>1100</v>
      </c>
    </row>
    <row r="74" spans="1:29" x14ac:dyDescent="0.35">
      <c r="A74" t="s">
        <v>146</v>
      </c>
      <c r="B74" t="s">
        <v>1669</v>
      </c>
      <c r="C74" t="s">
        <v>1670</v>
      </c>
      <c r="D74">
        <v>854</v>
      </c>
      <c r="E74" t="s">
        <v>1113</v>
      </c>
      <c r="G74" t="s">
        <v>1133</v>
      </c>
      <c r="H74">
        <v>1</v>
      </c>
      <c r="I74" t="s">
        <v>1100</v>
      </c>
      <c r="J74" t="s">
        <v>1100</v>
      </c>
      <c r="K74" t="s">
        <v>1100</v>
      </c>
      <c r="L74" t="s">
        <v>1100</v>
      </c>
      <c r="M74" t="s">
        <v>1100</v>
      </c>
      <c r="N74" t="s">
        <v>1100</v>
      </c>
      <c r="O74" t="s">
        <v>1100</v>
      </c>
      <c r="P74" t="s">
        <v>1100</v>
      </c>
      <c r="Q74" t="s">
        <v>1100</v>
      </c>
      <c r="R74" t="s">
        <v>1100</v>
      </c>
      <c r="S74" t="s">
        <v>1100</v>
      </c>
      <c r="T74" t="s">
        <v>1100</v>
      </c>
      <c r="U74" t="s">
        <v>1100</v>
      </c>
      <c r="V74" t="s">
        <v>1100</v>
      </c>
      <c r="W74" t="s">
        <v>1100</v>
      </c>
      <c r="X74" t="s">
        <v>1100</v>
      </c>
      <c r="Y74" t="s">
        <v>1100</v>
      </c>
      <c r="Z74" t="s">
        <v>1100</v>
      </c>
      <c r="AA74" t="s">
        <v>1100</v>
      </c>
      <c r="AB74" t="s">
        <v>1100</v>
      </c>
      <c r="AC74" t="s">
        <v>1100</v>
      </c>
    </row>
    <row r="75" spans="1:29" x14ac:dyDescent="0.35">
      <c r="A75" t="s">
        <v>1671</v>
      </c>
      <c r="B75" t="s">
        <v>1672</v>
      </c>
      <c r="C75" t="s">
        <v>1673</v>
      </c>
      <c r="D75">
        <v>1488</v>
      </c>
      <c r="E75" t="s">
        <v>1492</v>
      </c>
      <c r="G75" t="s">
        <v>1133</v>
      </c>
      <c r="H75">
        <v>1</v>
      </c>
      <c r="I75" t="s">
        <v>1100</v>
      </c>
      <c r="J75" t="s">
        <v>1100</v>
      </c>
      <c r="K75" t="s">
        <v>1100</v>
      </c>
      <c r="L75" t="s">
        <v>1100</v>
      </c>
      <c r="M75" t="s">
        <v>1100</v>
      </c>
      <c r="N75" t="s">
        <v>1100</v>
      </c>
      <c r="O75" t="s">
        <v>1100</v>
      </c>
      <c r="P75" t="s">
        <v>1100</v>
      </c>
      <c r="Q75" t="s">
        <v>1100</v>
      </c>
      <c r="R75" t="s">
        <v>1100</v>
      </c>
      <c r="S75" t="s">
        <v>1100</v>
      </c>
      <c r="T75" t="s">
        <v>1100</v>
      </c>
      <c r="U75" t="s">
        <v>1100</v>
      </c>
      <c r="V75" t="s">
        <v>1100</v>
      </c>
      <c r="W75" t="s">
        <v>1100</v>
      </c>
      <c r="X75" t="s">
        <v>1100</v>
      </c>
      <c r="Y75" t="s">
        <v>1100</v>
      </c>
      <c r="Z75" t="s">
        <v>1100</v>
      </c>
      <c r="AA75" t="s">
        <v>1100</v>
      </c>
      <c r="AB75" t="s">
        <v>1100</v>
      </c>
      <c r="AC75" t="s">
        <v>1100</v>
      </c>
    </row>
    <row r="76" spans="1:29" x14ac:dyDescent="0.35">
      <c r="A76" t="s">
        <v>1674</v>
      </c>
      <c r="B76" t="s">
        <v>1675</v>
      </c>
      <c r="C76" t="s">
        <v>1676</v>
      </c>
      <c r="D76">
        <v>532</v>
      </c>
      <c r="E76" t="s">
        <v>1113</v>
      </c>
      <c r="G76" t="s">
        <v>1133</v>
      </c>
      <c r="H76">
        <v>1</v>
      </c>
      <c r="I76" t="s">
        <v>1100</v>
      </c>
      <c r="J76" t="s">
        <v>1100</v>
      </c>
      <c r="K76" t="s">
        <v>1100</v>
      </c>
      <c r="L76" t="s">
        <v>1100</v>
      </c>
      <c r="M76" t="s">
        <v>1100</v>
      </c>
      <c r="N76" t="s">
        <v>1100</v>
      </c>
      <c r="O76" t="s">
        <v>1100</v>
      </c>
      <c r="P76" t="s">
        <v>1100</v>
      </c>
      <c r="Q76" t="s">
        <v>1100</v>
      </c>
      <c r="R76" t="s">
        <v>1100</v>
      </c>
      <c r="S76" t="s">
        <v>1100</v>
      </c>
      <c r="T76" t="s">
        <v>1100</v>
      </c>
      <c r="U76" t="s">
        <v>1100</v>
      </c>
      <c r="V76" t="s">
        <v>1100</v>
      </c>
      <c r="W76" t="s">
        <v>1100</v>
      </c>
      <c r="X76" t="s">
        <v>1100</v>
      </c>
      <c r="Y76" t="s">
        <v>1100</v>
      </c>
      <c r="Z76" t="s">
        <v>1100</v>
      </c>
      <c r="AA76" t="s">
        <v>1100</v>
      </c>
      <c r="AB76" t="s">
        <v>1100</v>
      </c>
      <c r="AC76" t="s">
        <v>1100</v>
      </c>
    </row>
    <row r="77" spans="1:29" x14ac:dyDescent="0.35">
      <c r="A77" t="s">
        <v>1677</v>
      </c>
      <c r="B77" t="s">
        <v>1678</v>
      </c>
      <c r="C77" t="s">
        <v>1679</v>
      </c>
      <c r="D77">
        <v>533</v>
      </c>
      <c r="E77" t="s">
        <v>1113</v>
      </c>
      <c r="G77" t="s">
        <v>1133</v>
      </c>
      <c r="H77">
        <v>1</v>
      </c>
      <c r="I77" t="s">
        <v>1100</v>
      </c>
      <c r="J77" t="s">
        <v>1100</v>
      </c>
      <c r="K77" t="s">
        <v>1100</v>
      </c>
      <c r="L77" t="s">
        <v>1100</v>
      </c>
      <c r="M77" t="s">
        <v>1100</v>
      </c>
      <c r="N77" t="s">
        <v>1100</v>
      </c>
      <c r="O77" t="s">
        <v>1100</v>
      </c>
      <c r="P77" t="s">
        <v>1100</v>
      </c>
      <c r="Q77" t="s">
        <v>1100</v>
      </c>
      <c r="R77" t="s">
        <v>1100</v>
      </c>
      <c r="S77" t="s">
        <v>1100</v>
      </c>
      <c r="T77" t="s">
        <v>1100</v>
      </c>
      <c r="U77" t="s">
        <v>1100</v>
      </c>
      <c r="V77" t="s">
        <v>1100</v>
      </c>
      <c r="W77" t="s">
        <v>1100</v>
      </c>
      <c r="X77" t="s">
        <v>1100</v>
      </c>
      <c r="Y77" t="s">
        <v>1100</v>
      </c>
      <c r="Z77" t="s">
        <v>1100</v>
      </c>
      <c r="AA77" t="s">
        <v>1100</v>
      </c>
      <c r="AB77" t="s">
        <v>1100</v>
      </c>
      <c r="AC77" t="s">
        <v>1100</v>
      </c>
    </row>
    <row r="78" spans="1:29" x14ac:dyDescent="0.35">
      <c r="A78" t="s">
        <v>1680</v>
      </c>
      <c r="B78" t="s">
        <v>1681</v>
      </c>
      <c r="C78" t="s">
        <v>1682</v>
      </c>
      <c r="D78">
        <v>743</v>
      </c>
      <c r="E78" t="s">
        <v>1098</v>
      </c>
      <c r="G78" t="s">
        <v>1133</v>
      </c>
      <c r="H78">
        <v>10</v>
      </c>
      <c r="I78" t="s">
        <v>1683</v>
      </c>
      <c r="J78" t="s">
        <v>1684</v>
      </c>
      <c r="K78" t="s">
        <v>1685</v>
      </c>
      <c r="L78" t="s">
        <v>1686</v>
      </c>
      <c r="M78" t="s">
        <v>1687</v>
      </c>
      <c r="N78" t="s">
        <v>1688</v>
      </c>
      <c r="O78" t="s">
        <v>1689</v>
      </c>
      <c r="P78" t="s">
        <v>1690</v>
      </c>
      <c r="Q78" t="s">
        <v>1691</v>
      </c>
      <c r="R78" t="s">
        <v>1692</v>
      </c>
      <c r="S78" t="s">
        <v>1100</v>
      </c>
      <c r="T78" t="s">
        <v>1100</v>
      </c>
      <c r="U78" t="s">
        <v>1100</v>
      </c>
      <c r="V78" t="s">
        <v>1100</v>
      </c>
      <c r="W78" t="s">
        <v>1100</v>
      </c>
      <c r="X78" t="s">
        <v>1100</v>
      </c>
      <c r="Y78" t="s">
        <v>1100</v>
      </c>
      <c r="Z78" t="s">
        <v>1100</v>
      </c>
      <c r="AA78" t="s">
        <v>1100</v>
      </c>
      <c r="AB78" t="s">
        <v>1100</v>
      </c>
      <c r="AC78" t="s">
        <v>1100</v>
      </c>
    </row>
    <row r="79" spans="1:29" x14ac:dyDescent="0.35">
      <c r="A79" t="s">
        <v>1693</v>
      </c>
      <c r="B79" t="s">
        <v>1694</v>
      </c>
      <c r="C79" t="s">
        <v>1695</v>
      </c>
      <c r="D79">
        <v>906</v>
      </c>
      <c r="E79" t="s">
        <v>1113</v>
      </c>
      <c r="G79" t="s">
        <v>1133</v>
      </c>
      <c r="H79">
        <v>1</v>
      </c>
      <c r="I79" t="s">
        <v>1100</v>
      </c>
      <c r="J79" t="s">
        <v>1100</v>
      </c>
      <c r="K79" t="s">
        <v>1100</v>
      </c>
      <c r="L79" t="s">
        <v>1100</v>
      </c>
      <c r="M79" t="s">
        <v>1100</v>
      </c>
      <c r="N79" t="s">
        <v>1100</v>
      </c>
      <c r="O79" t="s">
        <v>1100</v>
      </c>
      <c r="P79" t="s">
        <v>1100</v>
      </c>
      <c r="Q79" t="s">
        <v>1100</v>
      </c>
      <c r="R79" t="s">
        <v>1100</v>
      </c>
      <c r="S79" t="s">
        <v>1100</v>
      </c>
      <c r="T79" t="s">
        <v>1100</v>
      </c>
      <c r="U79" t="s">
        <v>1100</v>
      </c>
      <c r="V79" t="s">
        <v>1100</v>
      </c>
      <c r="W79" t="s">
        <v>1100</v>
      </c>
      <c r="X79" t="s">
        <v>1100</v>
      </c>
      <c r="Y79" t="s">
        <v>1100</v>
      </c>
      <c r="Z79" t="s">
        <v>1100</v>
      </c>
      <c r="AA79" t="s">
        <v>1100</v>
      </c>
      <c r="AB79" t="s">
        <v>1100</v>
      </c>
      <c r="AC79" t="s">
        <v>1100</v>
      </c>
    </row>
    <row r="80" spans="1:29" ht="29" x14ac:dyDescent="0.35">
      <c r="A80" t="s">
        <v>1696</v>
      </c>
      <c r="B80" s="47" t="s">
        <v>1697</v>
      </c>
      <c r="C80" t="s">
        <v>1698</v>
      </c>
      <c r="D80">
        <v>907</v>
      </c>
      <c r="E80" t="s">
        <v>1098</v>
      </c>
      <c r="G80" t="s">
        <v>1133</v>
      </c>
      <c r="H80">
        <v>1</v>
      </c>
      <c r="I80" t="s">
        <v>1100</v>
      </c>
      <c r="J80" t="s">
        <v>1100</v>
      </c>
      <c r="K80" t="s">
        <v>1100</v>
      </c>
      <c r="L80" t="s">
        <v>1100</v>
      </c>
      <c r="M80" t="s">
        <v>1100</v>
      </c>
      <c r="N80" t="s">
        <v>1100</v>
      </c>
      <c r="O80" t="s">
        <v>1100</v>
      </c>
      <c r="P80" t="s">
        <v>1100</v>
      </c>
      <c r="Q80" t="s">
        <v>1100</v>
      </c>
      <c r="R80" t="s">
        <v>1100</v>
      </c>
      <c r="S80" t="s">
        <v>1100</v>
      </c>
      <c r="T80" t="s">
        <v>1100</v>
      </c>
      <c r="U80" t="s">
        <v>1100</v>
      </c>
      <c r="V80" t="s">
        <v>1100</v>
      </c>
      <c r="W80" t="s">
        <v>1100</v>
      </c>
      <c r="X80" t="s">
        <v>1100</v>
      </c>
      <c r="Y80" t="s">
        <v>1100</v>
      </c>
      <c r="Z80" t="s">
        <v>1100</v>
      </c>
      <c r="AA80" t="s">
        <v>1100</v>
      </c>
      <c r="AB80" t="s">
        <v>1100</v>
      </c>
      <c r="AC80" t="s">
        <v>1100</v>
      </c>
    </row>
    <row r="81" spans="1:29" x14ac:dyDescent="0.35">
      <c r="A81" t="s">
        <v>126</v>
      </c>
      <c r="B81" t="s">
        <v>1699</v>
      </c>
      <c r="C81" t="s">
        <v>1700</v>
      </c>
      <c r="D81">
        <v>914</v>
      </c>
      <c r="E81" t="s">
        <v>1113</v>
      </c>
      <c r="G81" t="s">
        <v>1133</v>
      </c>
      <c r="H81">
        <v>1</v>
      </c>
      <c r="I81" t="s">
        <v>1100</v>
      </c>
      <c r="J81" t="s">
        <v>1100</v>
      </c>
      <c r="K81" t="s">
        <v>1100</v>
      </c>
      <c r="L81" t="s">
        <v>1100</v>
      </c>
      <c r="M81" t="s">
        <v>1100</v>
      </c>
      <c r="N81" t="s">
        <v>1100</v>
      </c>
      <c r="O81" t="s">
        <v>1100</v>
      </c>
      <c r="P81" t="s">
        <v>1100</v>
      </c>
      <c r="Q81" t="s">
        <v>1100</v>
      </c>
      <c r="R81" t="s">
        <v>1100</v>
      </c>
      <c r="S81" t="s">
        <v>1100</v>
      </c>
      <c r="T81" t="s">
        <v>1100</v>
      </c>
      <c r="U81" t="s">
        <v>1100</v>
      </c>
      <c r="V81" t="s">
        <v>1100</v>
      </c>
      <c r="W81" t="s">
        <v>1100</v>
      </c>
      <c r="X81" t="s">
        <v>1100</v>
      </c>
      <c r="Y81" t="s">
        <v>1100</v>
      </c>
      <c r="Z81" t="s">
        <v>1100</v>
      </c>
      <c r="AA81" t="s">
        <v>1100</v>
      </c>
      <c r="AB81" t="s">
        <v>1100</v>
      </c>
      <c r="AC81" t="s">
        <v>1100</v>
      </c>
    </row>
    <row r="82" spans="1:29" x14ac:dyDescent="0.35">
      <c r="A82" t="s">
        <v>1701</v>
      </c>
      <c r="B82" t="s">
        <v>1702</v>
      </c>
      <c r="C82" t="s">
        <v>1703</v>
      </c>
      <c r="D82">
        <v>915</v>
      </c>
      <c r="E82" t="s">
        <v>1113</v>
      </c>
      <c r="G82" t="s">
        <v>1133</v>
      </c>
      <c r="H82">
        <v>1</v>
      </c>
      <c r="I82" t="s">
        <v>1100</v>
      </c>
      <c r="J82" t="s">
        <v>1100</v>
      </c>
      <c r="K82" t="s">
        <v>1100</v>
      </c>
      <c r="L82" t="s">
        <v>1100</v>
      </c>
      <c r="M82" t="s">
        <v>1100</v>
      </c>
      <c r="N82" t="s">
        <v>1100</v>
      </c>
      <c r="O82" t="s">
        <v>1100</v>
      </c>
      <c r="P82" t="s">
        <v>1100</v>
      </c>
      <c r="Q82" t="s">
        <v>1100</v>
      </c>
      <c r="R82" t="s">
        <v>1100</v>
      </c>
      <c r="S82" t="s">
        <v>1100</v>
      </c>
      <c r="T82" t="s">
        <v>1100</v>
      </c>
      <c r="U82" t="s">
        <v>1100</v>
      </c>
      <c r="V82" t="s">
        <v>1100</v>
      </c>
      <c r="W82" t="s">
        <v>1100</v>
      </c>
      <c r="X82" t="s">
        <v>1100</v>
      </c>
      <c r="Y82" t="s">
        <v>1100</v>
      </c>
      <c r="Z82" t="s">
        <v>1100</v>
      </c>
      <c r="AA82" t="s">
        <v>1100</v>
      </c>
      <c r="AB82" t="s">
        <v>1100</v>
      </c>
      <c r="AC82" t="s">
        <v>1100</v>
      </c>
    </row>
    <row r="83" spans="1:29" x14ac:dyDescent="0.35">
      <c r="A83" t="s">
        <v>1704</v>
      </c>
      <c r="B83" t="s">
        <v>1705</v>
      </c>
      <c r="C83" t="s">
        <v>1706</v>
      </c>
      <c r="D83">
        <v>192</v>
      </c>
      <c r="E83" t="s">
        <v>1098</v>
      </c>
      <c r="G83" t="s">
        <v>1133</v>
      </c>
      <c r="H83">
        <v>6</v>
      </c>
      <c r="I83" t="s">
        <v>1707</v>
      </c>
      <c r="J83" t="s">
        <v>1708</v>
      </c>
      <c r="K83" t="s">
        <v>1613</v>
      </c>
      <c r="L83" t="s">
        <v>1709</v>
      </c>
      <c r="M83" t="s">
        <v>1710</v>
      </c>
      <c r="N83" t="s">
        <v>1594</v>
      </c>
      <c r="O83" t="s">
        <v>1100</v>
      </c>
      <c r="P83" t="s">
        <v>1100</v>
      </c>
      <c r="Q83" t="s">
        <v>1100</v>
      </c>
      <c r="R83" t="s">
        <v>1100</v>
      </c>
      <c r="S83" t="s">
        <v>1100</v>
      </c>
      <c r="T83" t="s">
        <v>1100</v>
      </c>
      <c r="U83" t="s">
        <v>1100</v>
      </c>
      <c r="V83" t="s">
        <v>1100</v>
      </c>
      <c r="W83" t="s">
        <v>1100</v>
      </c>
      <c r="X83" t="s">
        <v>1100</v>
      </c>
      <c r="Y83" t="s">
        <v>1100</v>
      </c>
      <c r="Z83" t="s">
        <v>1100</v>
      </c>
      <c r="AA83" t="s">
        <v>1100</v>
      </c>
      <c r="AB83" t="s">
        <v>1100</v>
      </c>
      <c r="AC83" t="s">
        <v>1100</v>
      </c>
    </row>
    <row r="84" spans="1:29" x14ac:dyDescent="0.35">
      <c r="A84" t="s">
        <v>1711</v>
      </c>
      <c r="B84" t="s">
        <v>1712</v>
      </c>
      <c r="C84" t="s">
        <v>1713</v>
      </c>
      <c r="D84">
        <v>1017</v>
      </c>
      <c r="E84" t="s">
        <v>1113</v>
      </c>
      <c r="G84" t="s">
        <v>1133</v>
      </c>
      <c r="H84">
        <v>1</v>
      </c>
      <c r="I84" t="s">
        <v>1100</v>
      </c>
      <c r="J84" t="s">
        <v>1100</v>
      </c>
      <c r="K84" t="s">
        <v>1100</v>
      </c>
      <c r="L84" t="s">
        <v>1100</v>
      </c>
      <c r="M84" t="s">
        <v>1100</v>
      </c>
      <c r="N84" t="s">
        <v>1100</v>
      </c>
      <c r="O84" t="s">
        <v>1100</v>
      </c>
      <c r="P84" t="s">
        <v>1100</v>
      </c>
      <c r="Q84" t="s">
        <v>1100</v>
      </c>
      <c r="R84" t="s">
        <v>1100</v>
      </c>
      <c r="S84" t="s">
        <v>1100</v>
      </c>
      <c r="T84" t="s">
        <v>1100</v>
      </c>
      <c r="U84" t="s">
        <v>1100</v>
      </c>
      <c r="V84" t="s">
        <v>1100</v>
      </c>
      <c r="W84" t="s">
        <v>1100</v>
      </c>
      <c r="X84" t="s">
        <v>1100</v>
      </c>
      <c r="Y84" t="s">
        <v>1100</v>
      </c>
      <c r="Z84" t="s">
        <v>1100</v>
      </c>
      <c r="AA84" t="s">
        <v>1100</v>
      </c>
      <c r="AB84" t="s">
        <v>1100</v>
      </c>
      <c r="AC84" t="s">
        <v>1100</v>
      </c>
    </row>
    <row r="85" spans="1:29" x14ac:dyDescent="0.35">
      <c r="A85" t="s">
        <v>1714</v>
      </c>
      <c r="B85" t="s">
        <v>1715</v>
      </c>
      <c r="C85" t="s">
        <v>1716</v>
      </c>
      <c r="D85">
        <v>1135</v>
      </c>
      <c r="E85" t="s">
        <v>1113</v>
      </c>
      <c r="G85" t="s">
        <v>1133</v>
      </c>
      <c r="H85">
        <v>1</v>
      </c>
      <c r="I85" t="s">
        <v>1100</v>
      </c>
      <c r="J85" t="s">
        <v>1100</v>
      </c>
      <c r="K85" t="s">
        <v>1100</v>
      </c>
      <c r="L85" t="s">
        <v>1100</v>
      </c>
      <c r="M85" t="s">
        <v>1100</v>
      </c>
      <c r="N85" t="s">
        <v>1100</v>
      </c>
      <c r="O85" t="s">
        <v>1100</v>
      </c>
      <c r="P85" t="s">
        <v>1100</v>
      </c>
      <c r="Q85" t="s">
        <v>1100</v>
      </c>
      <c r="R85" t="s">
        <v>1100</v>
      </c>
      <c r="S85" t="s">
        <v>1100</v>
      </c>
      <c r="T85" t="s">
        <v>1100</v>
      </c>
      <c r="U85" t="s">
        <v>1100</v>
      </c>
      <c r="V85" t="s">
        <v>1100</v>
      </c>
      <c r="W85" t="s">
        <v>1100</v>
      </c>
      <c r="X85" t="s">
        <v>1100</v>
      </c>
      <c r="Y85" t="s">
        <v>1100</v>
      </c>
      <c r="Z85" t="s">
        <v>1100</v>
      </c>
      <c r="AA85" t="s">
        <v>1100</v>
      </c>
      <c r="AB85" t="s">
        <v>1100</v>
      </c>
      <c r="AC85" t="s">
        <v>1100</v>
      </c>
    </row>
    <row r="86" spans="1:29" x14ac:dyDescent="0.35">
      <c r="A86" t="s">
        <v>1717</v>
      </c>
      <c r="B86" t="s">
        <v>1718</v>
      </c>
      <c r="C86" t="s">
        <v>1719</v>
      </c>
      <c r="D86">
        <v>1224</v>
      </c>
      <c r="E86" t="s">
        <v>1113</v>
      </c>
      <c r="G86" t="s">
        <v>1133</v>
      </c>
      <c r="H86">
        <v>1</v>
      </c>
      <c r="I86" t="s">
        <v>1100</v>
      </c>
      <c r="J86" t="s">
        <v>1100</v>
      </c>
      <c r="K86" t="s">
        <v>1100</v>
      </c>
      <c r="L86" t="s">
        <v>1100</v>
      </c>
      <c r="M86" t="s">
        <v>1100</v>
      </c>
      <c r="N86" t="s">
        <v>1100</v>
      </c>
      <c r="O86" t="s">
        <v>1100</v>
      </c>
      <c r="P86" t="s">
        <v>1100</v>
      </c>
      <c r="Q86" t="s">
        <v>1100</v>
      </c>
      <c r="R86" t="s">
        <v>1100</v>
      </c>
      <c r="S86" t="s">
        <v>1100</v>
      </c>
      <c r="T86" t="s">
        <v>1100</v>
      </c>
      <c r="U86" t="s">
        <v>1100</v>
      </c>
      <c r="V86" t="s">
        <v>1100</v>
      </c>
      <c r="W86" t="s">
        <v>1100</v>
      </c>
      <c r="X86" t="s">
        <v>1100</v>
      </c>
      <c r="Y86" t="s">
        <v>1100</v>
      </c>
      <c r="Z86" t="s">
        <v>1100</v>
      </c>
      <c r="AA86" t="s">
        <v>1100</v>
      </c>
      <c r="AB86" t="s">
        <v>1100</v>
      </c>
      <c r="AC86" t="s">
        <v>1100</v>
      </c>
    </row>
    <row r="87" spans="1:29" x14ac:dyDescent="0.35">
      <c r="A87" t="s">
        <v>1717</v>
      </c>
      <c r="B87" t="s">
        <v>1720</v>
      </c>
      <c r="C87" t="s">
        <v>1721</v>
      </c>
      <c r="D87">
        <v>1226</v>
      </c>
      <c r="E87" t="s">
        <v>1113</v>
      </c>
      <c r="G87" t="s">
        <v>1133</v>
      </c>
      <c r="H87">
        <v>1</v>
      </c>
      <c r="I87" t="s">
        <v>1100</v>
      </c>
      <c r="J87" t="s">
        <v>1100</v>
      </c>
      <c r="K87" t="s">
        <v>1100</v>
      </c>
      <c r="L87" t="s">
        <v>1100</v>
      </c>
      <c r="M87" t="s">
        <v>1100</v>
      </c>
      <c r="N87" t="s">
        <v>1100</v>
      </c>
      <c r="O87" t="s">
        <v>1100</v>
      </c>
      <c r="P87" t="s">
        <v>1100</v>
      </c>
      <c r="Q87" t="s">
        <v>1100</v>
      </c>
      <c r="R87" t="s">
        <v>1100</v>
      </c>
      <c r="S87" t="s">
        <v>1100</v>
      </c>
      <c r="T87" t="s">
        <v>1100</v>
      </c>
      <c r="U87" t="s">
        <v>1100</v>
      </c>
      <c r="V87" t="s">
        <v>1100</v>
      </c>
      <c r="W87" t="s">
        <v>1100</v>
      </c>
      <c r="X87" t="s">
        <v>1100</v>
      </c>
      <c r="Y87" t="s">
        <v>1100</v>
      </c>
      <c r="Z87" t="s">
        <v>1100</v>
      </c>
      <c r="AA87" t="s">
        <v>1100</v>
      </c>
      <c r="AB87" t="s">
        <v>1100</v>
      </c>
      <c r="AC87" t="s">
        <v>1100</v>
      </c>
    </row>
    <row r="88" spans="1:29" x14ac:dyDescent="0.35">
      <c r="A88" t="s">
        <v>1717</v>
      </c>
      <c r="B88" t="s">
        <v>1722</v>
      </c>
      <c r="C88" t="s">
        <v>1723</v>
      </c>
      <c r="D88">
        <v>1225</v>
      </c>
      <c r="E88" t="s">
        <v>1098</v>
      </c>
      <c r="G88" t="s">
        <v>1133</v>
      </c>
      <c r="H88">
        <v>1</v>
      </c>
      <c r="I88" t="s">
        <v>1100</v>
      </c>
      <c r="J88" t="s">
        <v>1100</v>
      </c>
      <c r="K88" t="s">
        <v>1100</v>
      </c>
      <c r="L88" t="s">
        <v>1100</v>
      </c>
      <c r="M88" t="s">
        <v>1100</v>
      </c>
      <c r="N88" t="s">
        <v>1100</v>
      </c>
      <c r="O88" t="s">
        <v>1100</v>
      </c>
      <c r="P88" t="s">
        <v>1100</v>
      </c>
      <c r="Q88" t="s">
        <v>1100</v>
      </c>
      <c r="R88" t="s">
        <v>1100</v>
      </c>
      <c r="S88" t="s">
        <v>1100</v>
      </c>
      <c r="T88" t="s">
        <v>1100</v>
      </c>
      <c r="U88" t="s">
        <v>1100</v>
      </c>
      <c r="V88" t="s">
        <v>1100</v>
      </c>
      <c r="W88" t="s">
        <v>1100</v>
      </c>
      <c r="X88" t="s">
        <v>1100</v>
      </c>
      <c r="Y88" t="s">
        <v>1100</v>
      </c>
      <c r="Z88" t="s">
        <v>1100</v>
      </c>
      <c r="AA88" t="s">
        <v>1100</v>
      </c>
      <c r="AB88" t="s">
        <v>1100</v>
      </c>
      <c r="AC88" t="s">
        <v>1100</v>
      </c>
    </row>
    <row r="89" spans="1:29" x14ac:dyDescent="0.35">
      <c r="A89" t="s">
        <v>1724</v>
      </c>
      <c r="B89" t="s">
        <v>1725</v>
      </c>
      <c r="C89" s="58" t="s">
        <v>1726</v>
      </c>
      <c r="D89">
        <v>1174</v>
      </c>
      <c r="E89" t="s">
        <v>1113</v>
      </c>
      <c r="G89" t="s">
        <v>1133</v>
      </c>
      <c r="H89">
        <v>1</v>
      </c>
      <c r="I89" t="s">
        <v>1100</v>
      </c>
      <c r="J89" t="s">
        <v>1100</v>
      </c>
      <c r="K89" t="s">
        <v>1100</v>
      </c>
      <c r="L89" t="s">
        <v>1100</v>
      </c>
      <c r="M89" t="s">
        <v>1100</v>
      </c>
      <c r="N89" t="s">
        <v>1100</v>
      </c>
      <c r="O89" t="s">
        <v>1100</v>
      </c>
      <c r="P89" t="s">
        <v>1100</v>
      </c>
      <c r="Q89" t="s">
        <v>1100</v>
      </c>
      <c r="R89" t="s">
        <v>1100</v>
      </c>
      <c r="S89" t="s">
        <v>1100</v>
      </c>
      <c r="T89" t="s">
        <v>1100</v>
      </c>
      <c r="U89" t="s">
        <v>1100</v>
      </c>
      <c r="V89" t="s">
        <v>1100</v>
      </c>
      <c r="W89" t="s">
        <v>1100</v>
      </c>
      <c r="X89" t="s">
        <v>1100</v>
      </c>
      <c r="Y89" t="s">
        <v>1100</v>
      </c>
      <c r="Z89" t="s">
        <v>1100</v>
      </c>
      <c r="AA89" t="s">
        <v>1100</v>
      </c>
      <c r="AB89" t="s">
        <v>1100</v>
      </c>
      <c r="AC89" t="s">
        <v>1100</v>
      </c>
    </row>
    <row r="90" spans="1:29" x14ac:dyDescent="0.35">
      <c r="A90" t="s">
        <v>1727</v>
      </c>
      <c r="B90" t="s">
        <v>1728</v>
      </c>
      <c r="C90" t="s">
        <v>1729</v>
      </c>
      <c r="D90">
        <v>1175</v>
      </c>
      <c r="E90" t="s">
        <v>1098</v>
      </c>
      <c r="G90" t="s">
        <v>1133</v>
      </c>
      <c r="H90">
        <v>7</v>
      </c>
      <c r="I90" t="s">
        <v>1730</v>
      </c>
      <c r="J90" t="s">
        <v>1731</v>
      </c>
      <c r="K90" t="s">
        <v>1732</v>
      </c>
      <c r="L90" t="s">
        <v>1733</v>
      </c>
      <c r="M90" t="s">
        <v>1734</v>
      </c>
      <c r="N90" t="s">
        <v>472</v>
      </c>
      <c r="O90" t="s">
        <v>1594</v>
      </c>
      <c r="P90" t="s">
        <v>1100</v>
      </c>
      <c r="Q90" t="s">
        <v>1100</v>
      </c>
      <c r="R90" t="s">
        <v>1100</v>
      </c>
      <c r="S90" t="s">
        <v>1100</v>
      </c>
      <c r="T90" t="s">
        <v>1100</v>
      </c>
      <c r="U90" t="s">
        <v>1100</v>
      </c>
      <c r="V90" t="s">
        <v>1100</v>
      </c>
      <c r="W90" t="s">
        <v>1100</v>
      </c>
      <c r="X90" t="s">
        <v>1100</v>
      </c>
      <c r="Y90" t="s">
        <v>1100</v>
      </c>
      <c r="Z90" t="s">
        <v>1100</v>
      </c>
      <c r="AA90" t="s">
        <v>1100</v>
      </c>
      <c r="AB90" t="s">
        <v>1100</v>
      </c>
      <c r="AC90" t="s">
        <v>1100</v>
      </c>
    </row>
    <row r="91" spans="1:29" x14ac:dyDescent="0.35">
      <c r="A91" t="s">
        <v>1735</v>
      </c>
      <c r="B91" t="s">
        <v>1736</v>
      </c>
      <c r="C91" t="s">
        <v>1737</v>
      </c>
      <c r="D91">
        <v>1020</v>
      </c>
      <c r="E91" t="s">
        <v>1113</v>
      </c>
      <c r="G91" t="s">
        <v>1133</v>
      </c>
      <c r="H91">
        <v>1</v>
      </c>
      <c r="I91" t="s">
        <v>1100</v>
      </c>
      <c r="J91" t="s">
        <v>1100</v>
      </c>
      <c r="K91" t="s">
        <v>1100</v>
      </c>
      <c r="L91" t="s">
        <v>1100</v>
      </c>
      <c r="M91" t="s">
        <v>1100</v>
      </c>
      <c r="N91" t="s">
        <v>1100</v>
      </c>
      <c r="O91" t="s">
        <v>1100</v>
      </c>
      <c r="P91" t="s">
        <v>1100</v>
      </c>
      <c r="Q91" t="s">
        <v>1100</v>
      </c>
      <c r="R91" t="s">
        <v>1100</v>
      </c>
      <c r="S91" t="s">
        <v>1100</v>
      </c>
      <c r="T91" t="s">
        <v>1100</v>
      </c>
      <c r="U91" t="s">
        <v>1100</v>
      </c>
      <c r="V91" t="s">
        <v>1100</v>
      </c>
      <c r="W91" t="s">
        <v>1100</v>
      </c>
      <c r="X91" t="s">
        <v>1100</v>
      </c>
      <c r="Y91" t="s">
        <v>1100</v>
      </c>
      <c r="Z91" t="s">
        <v>1100</v>
      </c>
      <c r="AA91" t="s">
        <v>1100</v>
      </c>
      <c r="AB91" t="s">
        <v>1100</v>
      </c>
      <c r="AC91" t="s">
        <v>1100</v>
      </c>
    </row>
    <row r="92" spans="1:29" x14ac:dyDescent="0.35">
      <c r="A92" t="s">
        <v>2010</v>
      </c>
      <c r="B92" t="s">
        <v>2011</v>
      </c>
      <c r="C92" s="46" t="s">
        <v>1738</v>
      </c>
      <c r="D92">
        <v>182</v>
      </c>
      <c r="E92" t="s">
        <v>1098</v>
      </c>
      <c r="G92" t="s">
        <v>1739</v>
      </c>
      <c r="H92">
        <v>2</v>
      </c>
      <c r="I92" t="s">
        <v>1474</v>
      </c>
      <c r="J92" t="s">
        <v>1473</v>
      </c>
      <c r="K92" t="s">
        <v>1100</v>
      </c>
      <c r="L92" t="s">
        <v>1100</v>
      </c>
      <c r="M92" t="s">
        <v>1100</v>
      </c>
      <c r="N92" t="s">
        <v>1100</v>
      </c>
      <c r="O92" t="s">
        <v>1100</v>
      </c>
      <c r="P92" t="s">
        <v>1100</v>
      </c>
      <c r="Q92" t="s">
        <v>1100</v>
      </c>
      <c r="R92" t="s">
        <v>1100</v>
      </c>
      <c r="S92" t="s">
        <v>1100</v>
      </c>
      <c r="T92" t="s">
        <v>1100</v>
      </c>
      <c r="U92" t="s">
        <v>1100</v>
      </c>
      <c r="V92" t="s">
        <v>1100</v>
      </c>
      <c r="W92" t="s">
        <v>1100</v>
      </c>
      <c r="X92" t="s">
        <v>1100</v>
      </c>
      <c r="Y92" t="s">
        <v>1100</v>
      </c>
      <c r="Z92" t="s">
        <v>1100</v>
      </c>
      <c r="AA92" t="s">
        <v>1100</v>
      </c>
      <c r="AB92" t="s">
        <v>1100</v>
      </c>
      <c r="AC92" t="s">
        <v>1100</v>
      </c>
    </row>
    <row r="93" spans="1:29" x14ac:dyDescent="0.35">
      <c r="A93" t="s">
        <v>144</v>
      </c>
      <c r="B93" t="s">
        <v>1740</v>
      </c>
      <c r="C93" t="s">
        <v>1741</v>
      </c>
      <c r="D93">
        <v>479</v>
      </c>
      <c r="E93" t="s">
        <v>1098</v>
      </c>
      <c r="G93" t="s">
        <v>1133</v>
      </c>
      <c r="H93">
        <v>1</v>
      </c>
      <c r="I93" t="s">
        <v>1100</v>
      </c>
      <c r="J93" t="s">
        <v>1100</v>
      </c>
      <c r="K93" t="s">
        <v>1100</v>
      </c>
      <c r="L93" t="s">
        <v>1100</v>
      </c>
      <c r="M93" t="s">
        <v>1100</v>
      </c>
      <c r="N93" t="s">
        <v>1100</v>
      </c>
      <c r="O93" t="s">
        <v>1100</v>
      </c>
      <c r="P93" t="s">
        <v>1100</v>
      </c>
      <c r="Q93" t="s">
        <v>1100</v>
      </c>
      <c r="R93" t="s">
        <v>1100</v>
      </c>
      <c r="S93" t="s">
        <v>1100</v>
      </c>
      <c r="T93" t="s">
        <v>1100</v>
      </c>
      <c r="U93" t="s">
        <v>1100</v>
      </c>
      <c r="V93" t="s">
        <v>1100</v>
      </c>
      <c r="W93" t="s">
        <v>1100</v>
      </c>
      <c r="X93" t="s">
        <v>1100</v>
      </c>
      <c r="Y93" t="s">
        <v>1100</v>
      </c>
      <c r="Z93" t="s">
        <v>1100</v>
      </c>
      <c r="AA93" t="s">
        <v>1100</v>
      </c>
      <c r="AB93" t="s">
        <v>1100</v>
      </c>
      <c r="AC93" t="s">
        <v>1100</v>
      </c>
    </row>
    <row r="94" spans="1:29" x14ac:dyDescent="0.35">
      <c r="A94" t="s">
        <v>144</v>
      </c>
      <c r="B94" t="s">
        <v>1742</v>
      </c>
      <c r="C94" t="s">
        <v>1743</v>
      </c>
      <c r="D94">
        <v>149</v>
      </c>
      <c r="E94" t="s">
        <v>1098</v>
      </c>
      <c r="G94" t="s">
        <v>1133</v>
      </c>
      <c r="H94">
        <v>3</v>
      </c>
      <c r="I94" t="s">
        <v>1744</v>
      </c>
      <c r="J94" t="s">
        <v>1745</v>
      </c>
      <c r="K94" t="s">
        <v>1746</v>
      </c>
      <c r="L94" t="s">
        <v>1100</v>
      </c>
      <c r="M94" t="s">
        <v>1100</v>
      </c>
      <c r="N94" t="s">
        <v>1100</v>
      </c>
      <c r="O94" t="s">
        <v>1100</v>
      </c>
      <c r="P94" t="s">
        <v>1100</v>
      </c>
      <c r="Q94" t="s">
        <v>1100</v>
      </c>
      <c r="R94" t="s">
        <v>1100</v>
      </c>
      <c r="S94" t="s">
        <v>1100</v>
      </c>
      <c r="T94" t="s">
        <v>1100</v>
      </c>
      <c r="U94" t="s">
        <v>1100</v>
      </c>
      <c r="V94" t="s">
        <v>1100</v>
      </c>
      <c r="W94" t="s">
        <v>1100</v>
      </c>
      <c r="X94" t="s">
        <v>1100</v>
      </c>
      <c r="Y94" t="s">
        <v>1100</v>
      </c>
      <c r="Z94" t="s">
        <v>1100</v>
      </c>
      <c r="AA94" t="s">
        <v>1100</v>
      </c>
      <c r="AB94" t="s">
        <v>1100</v>
      </c>
      <c r="AC94" t="s">
        <v>1100</v>
      </c>
    </row>
    <row r="95" spans="1:29" x14ac:dyDescent="0.35">
      <c r="A95" t="s">
        <v>144</v>
      </c>
      <c r="B95" t="s">
        <v>1747</v>
      </c>
      <c r="C95" t="s">
        <v>1748</v>
      </c>
      <c r="D95">
        <v>152</v>
      </c>
      <c r="E95" t="s">
        <v>1098</v>
      </c>
      <c r="G95" t="s">
        <v>1133</v>
      </c>
      <c r="H95">
        <v>2</v>
      </c>
      <c r="I95" t="s">
        <v>1749</v>
      </c>
      <c r="J95" t="s">
        <v>1750</v>
      </c>
      <c r="K95" t="s">
        <v>1100</v>
      </c>
      <c r="L95" t="s">
        <v>1100</v>
      </c>
      <c r="M95" t="s">
        <v>1100</v>
      </c>
      <c r="N95" t="s">
        <v>1100</v>
      </c>
      <c r="O95" t="s">
        <v>1100</v>
      </c>
      <c r="P95" t="s">
        <v>1100</v>
      </c>
      <c r="Q95" t="s">
        <v>1100</v>
      </c>
      <c r="R95" t="s">
        <v>1100</v>
      </c>
      <c r="S95" t="s">
        <v>1100</v>
      </c>
      <c r="T95" t="s">
        <v>1100</v>
      </c>
      <c r="U95" t="s">
        <v>1100</v>
      </c>
      <c r="V95" t="s">
        <v>1100</v>
      </c>
      <c r="W95" t="s">
        <v>1100</v>
      </c>
      <c r="X95" t="s">
        <v>1100</v>
      </c>
      <c r="Y95" t="s">
        <v>1100</v>
      </c>
      <c r="Z95" t="s">
        <v>1100</v>
      </c>
      <c r="AA95" t="s">
        <v>1100</v>
      </c>
      <c r="AB95" t="s">
        <v>1100</v>
      </c>
      <c r="AC95" t="s">
        <v>1100</v>
      </c>
    </row>
    <row r="96" spans="1:29" x14ac:dyDescent="0.35">
      <c r="A96" t="s">
        <v>146</v>
      </c>
      <c r="B96" t="s">
        <v>1751</v>
      </c>
      <c r="C96" t="s">
        <v>1752</v>
      </c>
      <c r="D96">
        <v>1180</v>
      </c>
      <c r="E96" t="s">
        <v>1492</v>
      </c>
      <c r="G96" t="s">
        <v>1133</v>
      </c>
      <c r="H96">
        <v>1</v>
      </c>
      <c r="I96" t="s">
        <v>1100</v>
      </c>
      <c r="J96" t="s">
        <v>1100</v>
      </c>
      <c r="K96" t="s">
        <v>1100</v>
      </c>
      <c r="L96" t="s">
        <v>1100</v>
      </c>
      <c r="M96" t="s">
        <v>1100</v>
      </c>
      <c r="N96" t="s">
        <v>1100</v>
      </c>
      <c r="O96" t="s">
        <v>1100</v>
      </c>
      <c r="P96" t="s">
        <v>1100</v>
      </c>
      <c r="Q96" t="s">
        <v>1100</v>
      </c>
      <c r="R96" t="s">
        <v>1100</v>
      </c>
      <c r="S96" t="s">
        <v>1100</v>
      </c>
      <c r="T96" t="s">
        <v>1100</v>
      </c>
      <c r="U96" t="s">
        <v>1100</v>
      </c>
      <c r="V96" t="s">
        <v>1100</v>
      </c>
      <c r="W96" t="s">
        <v>1100</v>
      </c>
      <c r="X96" t="s">
        <v>1100</v>
      </c>
      <c r="Y96" t="s">
        <v>1100</v>
      </c>
      <c r="Z96" t="s">
        <v>1100</v>
      </c>
      <c r="AA96" t="s">
        <v>1100</v>
      </c>
      <c r="AB96" t="s">
        <v>1100</v>
      </c>
      <c r="AC96" t="s">
        <v>1100</v>
      </c>
    </row>
    <row r="97" spans="1:50" x14ac:dyDescent="0.35">
      <c r="A97" t="s">
        <v>1753</v>
      </c>
      <c r="B97" t="s">
        <v>1754</v>
      </c>
      <c r="C97" t="s">
        <v>1755</v>
      </c>
      <c r="D97">
        <v>1181</v>
      </c>
      <c r="E97" t="s">
        <v>1098</v>
      </c>
      <c r="G97" t="s">
        <v>1133</v>
      </c>
      <c r="H97">
        <v>42</v>
      </c>
      <c r="I97" t="s">
        <v>1756</v>
      </c>
      <c r="J97" t="s">
        <v>1757</v>
      </c>
      <c r="K97" t="s">
        <v>1758</v>
      </c>
      <c r="L97" t="s">
        <v>1759</v>
      </c>
      <c r="M97" t="s">
        <v>1760</v>
      </c>
      <c r="N97" t="s">
        <v>1761</v>
      </c>
      <c r="O97" t="s">
        <v>1762</v>
      </c>
      <c r="P97" t="s">
        <v>1763</v>
      </c>
      <c r="Q97" t="s">
        <v>1764</v>
      </c>
      <c r="R97" t="s">
        <v>1765</v>
      </c>
      <c r="S97" t="s">
        <v>1766</v>
      </c>
      <c r="T97" t="s">
        <v>1767</v>
      </c>
      <c r="U97" t="s">
        <v>1768</v>
      </c>
      <c r="V97" t="s">
        <v>1769</v>
      </c>
      <c r="W97" t="s">
        <v>1770</v>
      </c>
      <c r="X97" t="s">
        <v>1771</v>
      </c>
      <c r="Y97" t="s">
        <v>1772</v>
      </c>
      <c r="Z97" t="s">
        <v>1773</v>
      </c>
      <c r="AA97" t="s">
        <v>1774</v>
      </c>
      <c r="AB97" t="s">
        <v>1775</v>
      </c>
      <c r="AC97" t="s">
        <v>1776</v>
      </c>
      <c r="AD97" t="s">
        <v>1777</v>
      </c>
      <c r="AE97" t="s">
        <v>1778</v>
      </c>
      <c r="AF97" t="s">
        <v>1779</v>
      </c>
      <c r="AG97" t="s">
        <v>1780</v>
      </c>
      <c r="AH97" t="s">
        <v>1781</v>
      </c>
      <c r="AI97" t="s">
        <v>1782</v>
      </c>
      <c r="AJ97" t="s">
        <v>1783</v>
      </c>
      <c r="AK97" t="s">
        <v>1784</v>
      </c>
      <c r="AL97" t="s">
        <v>1688</v>
      </c>
      <c r="AM97" t="s">
        <v>1785</v>
      </c>
      <c r="AN97" t="s">
        <v>1786</v>
      </c>
      <c r="AO97" t="s">
        <v>1787</v>
      </c>
      <c r="AP97" t="s">
        <v>1788</v>
      </c>
      <c r="AQ97" t="s">
        <v>1789</v>
      </c>
      <c r="AR97" t="s">
        <v>1790</v>
      </c>
      <c r="AS97" t="s">
        <v>1791</v>
      </c>
      <c r="AT97" t="s">
        <v>1792</v>
      </c>
      <c r="AU97" t="s">
        <v>1793</v>
      </c>
      <c r="AV97" t="s">
        <v>1794</v>
      </c>
      <c r="AW97" t="s">
        <v>1795</v>
      </c>
      <c r="AX97" t="s">
        <v>1796</v>
      </c>
    </row>
    <row r="98" spans="1:50" x14ac:dyDescent="0.35">
      <c r="A98" t="s">
        <v>2012</v>
      </c>
      <c r="B98" t="s">
        <v>1797</v>
      </c>
      <c r="C98" t="s">
        <v>1798</v>
      </c>
      <c r="D98">
        <v>380</v>
      </c>
      <c r="E98" t="s">
        <v>1492</v>
      </c>
      <c r="G98" t="s">
        <v>1133</v>
      </c>
      <c r="H98">
        <v>1</v>
      </c>
      <c r="I98" t="s">
        <v>1100</v>
      </c>
      <c r="J98" t="s">
        <v>1100</v>
      </c>
      <c r="K98" t="s">
        <v>1100</v>
      </c>
      <c r="L98" t="s">
        <v>1100</v>
      </c>
      <c r="M98" t="s">
        <v>1100</v>
      </c>
      <c r="N98" t="s">
        <v>1100</v>
      </c>
      <c r="O98" t="s">
        <v>1100</v>
      </c>
      <c r="P98" t="s">
        <v>1100</v>
      </c>
      <c r="Q98" t="s">
        <v>1100</v>
      </c>
      <c r="R98" t="s">
        <v>1100</v>
      </c>
      <c r="S98" t="s">
        <v>1100</v>
      </c>
      <c r="T98" t="s">
        <v>1100</v>
      </c>
      <c r="U98" t="s">
        <v>1100</v>
      </c>
      <c r="V98" t="s">
        <v>1100</v>
      </c>
      <c r="W98" t="s">
        <v>1100</v>
      </c>
      <c r="X98" t="s">
        <v>1100</v>
      </c>
      <c r="Y98" t="s">
        <v>1100</v>
      </c>
      <c r="Z98" t="s">
        <v>1100</v>
      </c>
      <c r="AA98" t="s">
        <v>1100</v>
      </c>
      <c r="AB98" t="s">
        <v>1100</v>
      </c>
      <c r="AC98" t="s">
        <v>1100</v>
      </c>
    </row>
    <row r="99" spans="1:50" x14ac:dyDescent="0.35">
      <c r="A99" t="s">
        <v>1799</v>
      </c>
      <c r="B99" t="s">
        <v>1800</v>
      </c>
      <c r="C99" t="s">
        <v>1801</v>
      </c>
      <c r="D99">
        <v>439</v>
      </c>
      <c r="E99" t="s">
        <v>1098</v>
      </c>
      <c r="G99" t="s">
        <v>1133</v>
      </c>
      <c r="H99">
        <v>1</v>
      </c>
      <c r="I99" t="s">
        <v>1100</v>
      </c>
      <c r="J99" t="s">
        <v>1100</v>
      </c>
      <c r="K99" t="s">
        <v>1100</v>
      </c>
      <c r="L99" t="s">
        <v>1100</v>
      </c>
      <c r="M99" t="s">
        <v>1100</v>
      </c>
      <c r="N99" t="s">
        <v>1100</v>
      </c>
      <c r="O99" t="s">
        <v>1100</v>
      </c>
      <c r="P99" t="s">
        <v>1100</v>
      </c>
      <c r="Q99" t="s">
        <v>1100</v>
      </c>
      <c r="R99" t="s">
        <v>1100</v>
      </c>
      <c r="S99" t="s">
        <v>1100</v>
      </c>
      <c r="T99" t="s">
        <v>1100</v>
      </c>
      <c r="U99" t="s">
        <v>1100</v>
      </c>
      <c r="V99" t="s">
        <v>1100</v>
      </c>
      <c r="W99" t="s">
        <v>1100</v>
      </c>
      <c r="X99" t="s">
        <v>1100</v>
      </c>
      <c r="Y99" t="s">
        <v>1100</v>
      </c>
      <c r="Z99" t="s">
        <v>1100</v>
      </c>
      <c r="AA99" t="s">
        <v>1100</v>
      </c>
      <c r="AB99" t="s">
        <v>1100</v>
      </c>
      <c r="AC99" t="s">
        <v>1100</v>
      </c>
    </row>
    <row r="100" spans="1:50" x14ac:dyDescent="0.35">
      <c r="A100" t="s">
        <v>2013</v>
      </c>
      <c r="B100" t="s">
        <v>1802</v>
      </c>
      <c r="C100" s="58" t="s">
        <v>1803</v>
      </c>
      <c r="D100">
        <v>1690</v>
      </c>
      <c r="E100" t="s">
        <v>1098</v>
      </c>
      <c r="G100" t="s">
        <v>1133</v>
      </c>
      <c r="H100">
        <v>1</v>
      </c>
      <c r="I100" t="s">
        <v>1100</v>
      </c>
      <c r="J100" t="s">
        <v>1100</v>
      </c>
      <c r="K100" t="s">
        <v>1100</v>
      </c>
      <c r="L100" t="s">
        <v>1100</v>
      </c>
      <c r="M100" t="s">
        <v>1100</v>
      </c>
      <c r="N100" t="s">
        <v>1100</v>
      </c>
      <c r="O100" t="s">
        <v>1100</v>
      </c>
      <c r="P100" t="s">
        <v>1100</v>
      </c>
      <c r="Q100" t="s">
        <v>1100</v>
      </c>
      <c r="R100" t="s">
        <v>1100</v>
      </c>
      <c r="S100" t="s">
        <v>1100</v>
      </c>
      <c r="T100" t="s">
        <v>1100</v>
      </c>
      <c r="U100" t="s">
        <v>1100</v>
      </c>
      <c r="V100" t="s">
        <v>1100</v>
      </c>
      <c r="W100" t="s">
        <v>1100</v>
      </c>
      <c r="X100" t="s">
        <v>1100</v>
      </c>
      <c r="Y100" t="s">
        <v>1100</v>
      </c>
      <c r="Z100" t="s">
        <v>1100</v>
      </c>
      <c r="AA100" t="s">
        <v>1100</v>
      </c>
      <c r="AB100" t="s">
        <v>1100</v>
      </c>
      <c r="AC100" t="s">
        <v>1100</v>
      </c>
    </row>
    <row r="101" spans="1:50" x14ac:dyDescent="0.35">
      <c r="A101" t="s">
        <v>1804</v>
      </c>
      <c r="B101" t="s">
        <v>1805</v>
      </c>
      <c r="C101" t="s">
        <v>1806</v>
      </c>
      <c r="D101">
        <v>616</v>
      </c>
      <c r="E101" t="s">
        <v>1113</v>
      </c>
      <c r="G101" t="s">
        <v>1133</v>
      </c>
      <c r="H101">
        <v>1</v>
      </c>
      <c r="I101" t="s">
        <v>1100</v>
      </c>
      <c r="J101" t="s">
        <v>1100</v>
      </c>
      <c r="K101" t="s">
        <v>1100</v>
      </c>
      <c r="L101" t="s">
        <v>1100</v>
      </c>
      <c r="M101" t="s">
        <v>1100</v>
      </c>
      <c r="N101" t="s">
        <v>1100</v>
      </c>
      <c r="O101" t="s">
        <v>1100</v>
      </c>
      <c r="P101" t="s">
        <v>1100</v>
      </c>
      <c r="Q101" t="s">
        <v>1100</v>
      </c>
      <c r="R101" t="s">
        <v>1100</v>
      </c>
      <c r="S101" t="s">
        <v>1100</v>
      </c>
      <c r="T101" t="s">
        <v>1100</v>
      </c>
      <c r="U101" t="s">
        <v>1100</v>
      </c>
      <c r="V101" t="s">
        <v>1100</v>
      </c>
      <c r="W101" t="s">
        <v>1100</v>
      </c>
      <c r="X101" t="s">
        <v>1100</v>
      </c>
      <c r="Y101" t="s">
        <v>1100</v>
      </c>
      <c r="Z101" t="s">
        <v>1100</v>
      </c>
      <c r="AA101" t="s">
        <v>1100</v>
      </c>
      <c r="AB101" t="s">
        <v>1100</v>
      </c>
      <c r="AC101" t="s">
        <v>1100</v>
      </c>
    </row>
    <row r="102" spans="1:50" x14ac:dyDescent="0.35">
      <c r="A102" t="s">
        <v>1807</v>
      </c>
      <c r="B102" t="s">
        <v>1808</v>
      </c>
      <c r="C102" t="s">
        <v>1809</v>
      </c>
      <c r="D102">
        <v>1816</v>
      </c>
      <c r="E102" t="s">
        <v>1098</v>
      </c>
      <c r="G102" t="s">
        <v>1133</v>
      </c>
      <c r="H102">
        <v>1</v>
      </c>
      <c r="I102" t="s">
        <v>1100</v>
      </c>
      <c r="J102" t="s">
        <v>1100</v>
      </c>
      <c r="K102" t="s">
        <v>1100</v>
      </c>
      <c r="L102" t="s">
        <v>1100</v>
      </c>
      <c r="M102" t="s">
        <v>1100</v>
      </c>
      <c r="N102" t="s">
        <v>1100</v>
      </c>
      <c r="O102" t="s">
        <v>1100</v>
      </c>
      <c r="P102" t="s">
        <v>1100</v>
      </c>
      <c r="Q102" t="s">
        <v>1100</v>
      </c>
      <c r="R102" t="s">
        <v>1100</v>
      </c>
      <c r="S102" t="s">
        <v>1100</v>
      </c>
      <c r="T102" t="s">
        <v>1100</v>
      </c>
      <c r="U102" t="s">
        <v>1100</v>
      </c>
      <c r="V102" t="s">
        <v>1100</v>
      </c>
      <c r="W102" t="s">
        <v>1100</v>
      </c>
      <c r="X102" t="s">
        <v>1100</v>
      </c>
      <c r="Y102" t="s">
        <v>1100</v>
      </c>
      <c r="Z102" t="s">
        <v>1100</v>
      </c>
      <c r="AA102" t="s">
        <v>1100</v>
      </c>
      <c r="AB102" t="s">
        <v>1100</v>
      </c>
      <c r="AC102" t="s">
        <v>1100</v>
      </c>
    </row>
    <row r="103" spans="1:50" x14ac:dyDescent="0.35">
      <c r="A103" t="s">
        <v>1810</v>
      </c>
      <c r="B103" t="s">
        <v>1811</v>
      </c>
      <c r="C103" t="s">
        <v>1812</v>
      </c>
      <c r="D103">
        <v>800</v>
      </c>
      <c r="E103" t="s">
        <v>1098</v>
      </c>
      <c r="G103" t="s">
        <v>1133</v>
      </c>
      <c r="H103">
        <v>1</v>
      </c>
      <c r="I103" t="s">
        <v>1100</v>
      </c>
      <c r="J103" t="s">
        <v>1100</v>
      </c>
      <c r="K103" t="s">
        <v>1100</v>
      </c>
      <c r="L103" t="s">
        <v>1100</v>
      </c>
      <c r="M103" t="s">
        <v>1100</v>
      </c>
      <c r="N103" t="s">
        <v>1100</v>
      </c>
      <c r="O103" t="s">
        <v>1100</v>
      </c>
      <c r="P103" t="s">
        <v>1100</v>
      </c>
      <c r="Q103" t="s">
        <v>1100</v>
      </c>
      <c r="R103" t="s">
        <v>1100</v>
      </c>
      <c r="S103" t="s">
        <v>1100</v>
      </c>
      <c r="T103" t="s">
        <v>1100</v>
      </c>
      <c r="U103" t="s">
        <v>1100</v>
      </c>
      <c r="V103" t="s">
        <v>1100</v>
      </c>
      <c r="W103" t="s">
        <v>1100</v>
      </c>
      <c r="X103" t="s">
        <v>1100</v>
      </c>
      <c r="Y103" t="s">
        <v>1100</v>
      </c>
      <c r="Z103" t="s">
        <v>1100</v>
      </c>
      <c r="AA103" t="s">
        <v>1100</v>
      </c>
      <c r="AB103" t="s">
        <v>1100</v>
      </c>
      <c r="AC103" t="s">
        <v>1100</v>
      </c>
    </row>
    <row r="104" spans="1:50" x14ac:dyDescent="0.35">
      <c r="A104" t="s">
        <v>1813</v>
      </c>
      <c r="B104" t="s">
        <v>1814</v>
      </c>
      <c r="C104" t="s">
        <v>1815</v>
      </c>
      <c r="D104">
        <v>1471</v>
      </c>
      <c r="E104" t="s">
        <v>1098</v>
      </c>
      <c r="G104" t="s">
        <v>1133</v>
      </c>
      <c r="H104">
        <v>1</v>
      </c>
      <c r="I104" t="s">
        <v>1100</v>
      </c>
      <c r="J104" t="s">
        <v>1100</v>
      </c>
      <c r="K104" t="s">
        <v>1100</v>
      </c>
      <c r="L104" t="s">
        <v>1100</v>
      </c>
      <c r="M104" t="s">
        <v>1100</v>
      </c>
      <c r="N104" t="s">
        <v>1100</v>
      </c>
      <c r="O104" t="s">
        <v>1100</v>
      </c>
      <c r="P104" t="s">
        <v>1100</v>
      </c>
      <c r="Q104" t="s">
        <v>1100</v>
      </c>
      <c r="R104" t="s">
        <v>1100</v>
      </c>
      <c r="S104" t="s">
        <v>1100</v>
      </c>
      <c r="T104" t="s">
        <v>1100</v>
      </c>
      <c r="U104" t="s">
        <v>1100</v>
      </c>
      <c r="V104" t="s">
        <v>1100</v>
      </c>
      <c r="W104" t="s">
        <v>1100</v>
      </c>
      <c r="X104" t="s">
        <v>1100</v>
      </c>
      <c r="Y104" t="s">
        <v>1100</v>
      </c>
      <c r="Z104" t="s">
        <v>1100</v>
      </c>
      <c r="AA104" t="s">
        <v>1100</v>
      </c>
      <c r="AB104" t="s">
        <v>1100</v>
      </c>
      <c r="AC104" t="s">
        <v>1100</v>
      </c>
    </row>
    <row r="105" spans="1:50" x14ac:dyDescent="0.35">
      <c r="A105" t="s">
        <v>1816</v>
      </c>
      <c r="B105" t="s">
        <v>1817</v>
      </c>
      <c r="C105" t="s">
        <v>1818</v>
      </c>
      <c r="D105">
        <v>402</v>
      </c>
      <c r="E105" t="s">
        <v>1492</v>
      </c>
      <c r="G105" t="s">
        <v>1133</v>
      </c>
      <c r="H105">
        <v>1</v>
      </c>
      <c r="I105" t="s">
        <v>1100</v>
      </c>
      <c r="J105" t="s">
        <v>1100</v>
      </c>
      <c r="K105" t="s">
        <v>1100</v>
      </c>
      <c r="L105" t="s">
        <v>1100</v>
      </c>
      <c r="M105" t="s">
        <v>1100</v>
      </c>
      <c r="N105" t="s">
        <v>1100</v>
      </c>
      <c r="O105" t="s">
        <v>1100</v>
      </c>
      <c r="P105" t="s">
        <v>1100</v>
      </c>
      <c r="Q105" t="s">
        <v>1100</v>
      </c>
      <c r="R105" t="s">
        <v>1100</v>
      </c>
      <c r="S105" t="s">
        <v>1100</v>
      </c>
      <c r="T105" t="s">
        <v>1100</v>
      </c>
      <c r="U105" t="s">
        <v>1100</v>
      </c>
      <c r="V105" t="s">
        <v>1100</v>
      </c>
      <c r="W105" t="s">
        <v>1100</v>
      </c>
      <c r="X105" t="s">
        <v>1100</v>
      </c>
      <c r="Y105" t="s">
        <v>1100</v>
      </c>
      <c r="Z105" t="s">
        <v>1100</v>
      </c>
      <c r="AA105" t="s">
        <v>1100</v>
      </c>
      <c r="AB105" t="s">
        <v>1100</v>
      </c>
      <c r="AC105" t="s">
        <v>1100</v>
      </c>
    </row>
    <row r="106" spans="1:50" x14ac:dyDescent="0.35">
      <c r="A106" t="s">
        <v>1819</v>
      </c>
      <c r="B106" t="s">
        <v>1820</v>
      </c>
      <c r="C106" t="s">
        <v>1821</v>
      </c>
      <c r="D106">
        <v>1469</v>
      </c>
      <c r="E106" t="s">
        <v>1098</v>
      </c>
      <c r="G106" t="s">
        <v>1133</v>
      </c>
      <c r="H106">
        <v>1</v>
      </c>
      <c r="I106" t="s">
        <v>1100</v>
      </c>
      <c r="J106" t="s">
        <v>1100</v>
      </c>
      <c r="K106" t="s">
        <v>1100</v>
      </c>
      <c r="L106" t="s">
        <v>1100</v>
      </c>
      <c r="M106" t="s">
        <v>1100</v>
      </c>
      <c r="N106" t="s">
        <v>1100</v>
      </c>
      <c r="O106" t="s">
        <v>1100</v>
      </c>
      <c r="P106" t="s">
        <v>1100</v>
      </c>
      <c r="Q106" t="s">
        <v>1100</v>
      </c>
      <c r="R106" t="s">
        <v>1100</v>
      </c>
      <c r="S106" t="s">
        <v>1100</v>
      </c>
      <c r="T106" t="s">
        <v>1100</v>
      </c>
      <c r="U106" t="s">
        <v>1100</v>
      </c>
      <c r="V106" t="s">
        <v>1100</v>
      </c>
      <c r="W106" t="s">
        <v>1100</v>
      </c>
      <c r="X106" t="s">
        <v>1100</v>
      </c>
      <c r="Y106" t="s">
        <v>1100</v>
      </c>
      <c r="Z106" t="s">
        <v>1100</v>
      </c>
      <c r="AA106" t="s">
        <v>1100</v>
      </c>
      <c r="AB106" t="s">
        <v>1100</v>
      </c>
      <c r="AC106" t="s">
        <v>1100</v>
      </c>
    </row>
    <row r="107" spans="1:50" x14ac:dyDescent="0.35">
      <c r="A107" t="s">
        <v>1822</v>
      </c>
      <c r="B107" t="s">
        <v>1823</v>
      </c>
      <c r="C107" t="s">
        <v>1824</v>
      </c>
      <c r="D107">
        <v>398</v>
      </c>
      <c r="E107" t="s">
        <v>1098</v>
      </c>
      <c r="G107" t="s">
        <v>1133</v>
      </c>
      <c r="H107">
        <v>1</v>
      </c>
      <c r="I107" t="s">
        <v>1100</v>
      </c>
      <c r="J107" t="s">
        <v>1100</v>
      </c>
      <c r="K107" t="s">
        <v>1100</v>
      </c>
      <c r="L107" t="s">
        <v>1100</v>
      </c>
      <c r="M107" t="s">
        <v>1100</v>
      </c>
      <c r="N107" t="s">
        <v>1100</v>
      </c>
      <c r="O107" t="s">
        <v>1100</v>
      </c>
      <c r="P107" t="s">
        <v>1100</v>
      </c>
      <c r="Q107" t="s">
        <v>1100</v>
      </c>
      <c r="R107" t="s">
        <v>1100</v>
      </c>
      <c r="S107" t="s">
        <v>1100</v>
      </c>
      <c r="T107" t="s">
        <v>1100</v>
      </c>
      <c r="U107" t="s">
        <v>1100</v>
      </c>
      <c r="V107" t="s">
        <v>1100</v>
      </c>
      <c r="W107" t="s">
        <v>1100</v>
      </c>
      <c r="X107" t="s">
        <v>1100</v>
      </c>
      <c r="Y107" t="s">
        <v>1100</v>
      </c>
      <c r="Z107" t="s">
        <v>1100</v>
      </c>
      <c r="AA107" t="s">
        <v>1100</v>
      </c>
      <c r="AB107" t="s">
        <v>1100</v>
      </c>
      <c r="AC107" t="s">
        <v>1100</v>
      </c>
    </row>
    <row r="108" spans="1:50" x14ac:dyDescent="0.35">
      <c r="A108" t="s">
        <v>2014</v>
      </c>
      <c r="B108" t="s">
        <v>1825</v>
      </c>
      <c r="C108" s="58" t="s">
        <v>1826</v>
      </c>
      <c r="D108">
        <v>1709</v>
      </c>
      <c r="E108" t="s">
        <v>1098</v>
      </c>
      <c r="G108" t="s">
        <v>1127</v>
      </c>
      <c r="H108">
        <v>1</v>
      </c>
      <c r="I108" t="s">
        <v>1100</v>
      </c>
      <c r="J108" t="s">
        <v>1100</v>
      </c>
      <c r="K108" t="s">
        <v>1100</v>
      </c>
      <c r="L108" t="s">
        <v>1100</v>
      </c>
      <c r="M108" t="s">
        <v>1100</v>
      </c>
      <c r="N108" t="s">
        <v>1100</v>
      </c>
      <c r="O108" t="s">
        <v>1100</v>
      </c>
      <c r="P108" t="s">
        <v>1100</v>
      </c>
      <c r="Q108" t="s">
        <v>1100</v>
      </c>
      <c r="R108" t="s">
        <v>1100</v>
      </c>
      <c r="S108" t="s">
        <v>1100</v>
      </c>
      <c r="T108" t="s">
        <v>1100</v>
      </c>
      <c r="U108" t="s">
        <v>1100</v>
      </c>
      <c r="V108" t="s">
        <v>1100</v>
      </c>
      <c r="W108" t="s">
        <v>1100</v>
      </c>
      <c r="X108" t="s">
        <v>1100</v>
      </c>
      <c r="Y108" t="s">
        <v>1100</v>
      </c>
      <c r="Z108" t="s">
        <v>1100</v>
      </c>
      <c r="AA108" t="s">
        <v>1100</v>
      </c>
      <c r="AB108" t="s">
        <v>1100</v>
      </c>
      <c r="AC108" t="s">
        <v>1100</v>
      </c>
    </row>
    <row r="109" spans="1:50" x14ac:dyDescent="0.35">
      <c r="A109" t="s">
        <v>1827</v>
      </c>
      <c r="B109" t="s">
        <v>1828</v>
      </c>
      <c r="C109" t="s">
        <v>1829</v>
      </c>
      <c r="D109">
        <v>623</v>
      </c>
      <c r="E109" t="s">
        <v>1113</v>
      </c>
      <c r="G109" t="s">
        <v>1133</v>
      </c>
      <c r="H109">
        <v>1</v>
      </c>
      <c r="I109" t="s">
        <v>1100</v>
      </c>
      <c r="J109" t="s">
        <v>1100</v>
      </c>
      <c r="K109" t="s">
        <v>1100</v>
      </c>
      <c r="L109" t="s">
        <v>1100</v>
      </c>
      <c r="M109" t="s">
        <v>1100</v>
      </c>
      <c r="N109" t="s">
        <v>1100</v>
      </c>
      <c r="O109" t="s">
        <v>1100</v>
      </c>
      <c r="P109" t="s">
        <v>1100</v>
      </c>
      <c r="Q109" t="s">
        <v>1100</v>
      </c>
      <c r="R109" t="s">
        <v>1100</v>
      </c>
      <c r="S109" t="s">
        <v>1100</v>
      </c>
      <c r="T109" t="s">
        <v>1100</v>
      </c>
      <c r="U109" t="s">
        <v>1100</v>
      </c>
      <c r="V109" t="s">
        <v>1100</v>
      </c>
      <c r="W109" t="s">
        <v>1100</v>
      </c>
      <c r="X109" t="s">
        <v>1100</v>
      </c>
      <c r="Y109" t="s">
        <v>1100</v>
      </c>
      <c r="Z109" t="s">
        <v>1100</v>
      </c>
      <c r="AA109" t="s">
        <v>1100</v>
      </c>
      <c r="AB109" t="s">
        <v>1100</v>
      </c>
      <c r="AC109" t="s">
        <v>1100</v>
      </c>
    </row>
    <row r="110" spans="1:50" x14ac:dyDescent="0.35">
      <c r="A110" t="s">
        <v>1830</v>
      </c>
      <c r="B110" t="s">
        <v>1831</v>
      </c>
      <c r="C110" t="s">
        <v>1832</v>
      </c>
      <c r="D110">
        <v>1127</v>
      </c>
      <c r="E110" t="s">
        <v>1098</v>
      </c>
      <c r="G110" t="s">
        <v>1133</v>
      </c>
      <c r="H110">
        <v>1</v>
      </c>
      <c r="I110" t="s">
        <v>1100</v>
      </c>
      <c r="J110" t="s">
        <v>1100</v>
      </c>
      <c r="K110" t="s">
        <v>1100</v>
      </c>
      <c r="L110" t="s">
        <v>1100</v>
      </c>
      <c r="M110" t="s">
        <v>1100</v>
      </c>
      <c r="N110" t="s">
        <v>1100</v>
      </c>
      <c r="O110" t="s">
        <v>1100</v>
      </c>
      <c r="P110" t="s">
        <v>1100</v>
      </c>
      <c r="Q110" t="s">
        <v>1100</v>
      </c>
      <c r="R110" t="s">
        <v>1100</v>
      </c>
      <c r="S110" t="s">
        <v>1100</v>
      </c>
      <c r="T110" t="s">
        <v>1100</v>
      </c>
      <c r="U110" t="s">
        <v>1100</v>
      </c>
      <c r="V110" t="s">
        <v>1100</v>
      </c>
      <c r="W110" t="s">
        <v>1100</v>
      </c>
      <c r="X110" t="s">
        <v>1100</v>
      </c>
      <c r="Y110" t="s">
        <v>1100</v>
      </c>
      <c r="Z110" t="s">
        <v>1100</v>
      </c>
      <c r="AA110" t="s">
        <v>1100</v>
      </c>
      <c r="AB110" t="s">
        <v>1100</v>
      </c>
      <c r="AC110" t="s">
        <v>1100</v>
      </c>
    </row>
    <row r="111" spans="1:50" x14ac:dyDescent="0.35">
      <c r="A111" t="s">
        <v>1833</v>
      </c>
      <c r="B111" t="s">
        <v>1834</v>
      </c>
      <c r="C111" t="s">
        <v>1835</v>
      </c>
      <c r="D111">
        <v>1128</v>
      </c>
      <c r="E111" t="s">
        <v>1113</v>
      </c>
      <c r="G111" t="s">
        <v>1133</v>
      </c>
      <c r="H111">
        <v>1</v>
      </c>
      <c r="I111" t="s">
        <v>1100</v>
      </c>
      <c r="J111" t="s">
        <v>1100</v>
      </c>
      <c r="K111" t="s">
        <v>1100</v>
      </c>
      <c r="L111" t="s">
        <v>1100</v>
      </c>
      <c r="M111" t="s">
        <v>1100</v>
      </c>
      <c r="N111" t="s">
        <v>1100</v>
      </c>
      <c r="O111" t="s">
        <v>1100</v>
      </c>
      <c r="P111" t="s">
        <v>1100</v>
      </c>
      <c r="Q111" t="s">
        <v>1100</v>
      </c>
      <c r="R111" t="s">
        <v>1100</v>
      </c>
      <c r="S111" t="s">
        <v>1100</v>
      </c>
      <c r="T111" t="s">
        <v>1100</v>
      </c>
      <c r="U111" t="s">
        <v>1100</v>
      </c>
      <c r="V111" t="s">
        <v>1100</v>
      </c>
      <c r="W111" t="s">
        <v>1100</v>
      </c>
      <c r="X111" t="s">
        <v>1100</v>
      </c>
      <c r="Y111" t="s">
        <v>1100</v>
      </c>
      <c r="Z111" t="s">
        <v>1100</v>
      </c>
      <c r="AA111" t="s">
        <v>1100</v>
      </c>
      <c r="AB111" t="s">
        <v>1100</v>
      </c>
      <c r="AC111" t="s">
        <v>1100</v>
      </c>
    </row>
    <row r="112" spans="1:50" x14ac:dyDescent="0.35">
      <c r="A112" t="s">
        <v>1836</v>
      </c>
      <c r="B112" t="s">
        <v>1837</v>
      </c>
      <c r="C112" t="s">
        <v>1838</v>
      </c>
      <c r="D112">
        <v>1173</v>
      </c>
      <c r="E112" t="s">
        <v>1098</v>
      </c>
      <c r="G112" t="s">
        <v>1133</v>
      </c>
      <c r="H112">
        <v>1</v>
      </c>
      <c r="I112" t="s">
        <v>1100</v>
      </c>
      <c r="J112" t="s">
        <v>1100</v>
      </c>
      <c r="K112" t="s">
        <v>1100</v>
      </c>
      <c r="L112" t="s">
        <v>1100</v>
      </c>
      <c r="M112" t="s">
        <v>1100</v>
      </c>
      <c r="N112" t="s">
        <v>1100</v>
      </c>
      <c r="O112" t="s">
        <v>1100</v>
      </c>
      <c r="P112" t="s">
        <v>1100</v>
      </c>
      <c r="Q112" t="s">
        <v>1100</v>
      </c>
      <c r="R112" t="s">
        <v>1100</v>
      </c>
      <c r="S112" t="s">
        <v>1100</v>
      </c>
      <c r="T112" t="s">
        <v>1100</v>
      </c>
      <c r="U112" t="s">
        <v>1100</v>
      </c>
      <c r="V112" t="s">
        <v>1100</v>
      </c>
      <c r="W112" t="s">
        <v>1100</v>
      </c>
      <c r="X112" t="s">
        <v>1100</v>
      </c>
      <c r="Y112" t="s">
        <v>1100</v>
      </c>
      <c r="Z112" t="s">
        <v>1100</v>
      </c>
      <c r="AA112" t="s">
        <v>1100</v>
      </c>
      <c r="AB112" t="s">
        <v>1100</v>
      </c>
      <c r="AC112" t="s">
        <v>1100</v>
      </c>
    </row>
    <row r="113" spans="1:29" x14ac:dyDescent="0.35">
      <c r="A113" t="s">
        <v>1836</v>
      </c>
      <c r="B113" t="s">
        <v>1839</v>
      </c>
      <c r="C113" t="s">
        <v>1840</v>
      </c>
      <c r="D113">
        <v>1279</v>
      </c>
      <c r="E113" t="s">
        <v>1492</v>
      </c>
      <c r="G113" t="s">
        <v>1133</v>
      </c>
      <c r="H113">
        <v>1</v>
      </c>
      <c r="I113" t="s">
        <v>1100</v>
      </c>
      <c r="J113" t="s">
        <v>1100</v>
      </c>
      <c r="K113" t="s">
        <v>1100</v>
      </c>
      <c r="L113" t="s">
        <v>1100</v>
      </c>
      <c r="M113" t="s">
        <v>1100</v>
      </c>
      <c r="N113" t="s">
        <v>1100</v>
      </c>
      <c r="O113" t="s">
        <v>1100</v>
      </c>
      <c r="P113" t="s">
        <v>1100</v>
      </c>
      <c r="Q113" t="s">
        <v>1100</v>
      </c>
      <c r="R113" t="s">
        <v>1100</v>
      </c>
      <c r="S113" t="s">
        <v>1100</v>
      </c>
      <c r="T113" t="s">
        <v>1100</v>
      </c>
      <c r="U113" t="s">
        <v>1100</v>
      </c>
      <c r="V113" t="s">
        <v>1100</v>
      </c>
      <c r="W113" t="s">
        <v>1100</v>
      </c>
      <c r="X113" t="s">
        <v>1100</v>
      </c>
      <c r="Y113" t="s">
        <v>1100</v>
      </c>
      <c r="Z113" t="s">
        <v>1100</v>
      </c>
      <c r="AA113" t="s">
        <v>1100</v>
      </c>
      <c r="AB113" t="s">
        <v>1100</v>
      </c>
      <c r="AC113" t="s">
        <v>1100</v>
      </c>
    </row>
    <row r="114" spans="1:29" x14ac:dyDescent="0.35">
      <c r="A114" t="s">
        <v>199</v>
      </c>
      <c r="B114" t="s">
        <v>1841</v>
      </c>
      <c r="C114" t="s">
        <v>1842</v>
      </c>
      <c r="D114">
        <v>508</v>
      </c>
      <c r="E114" t="s">
        <v>1098</v>
      </c>
      <c r="G114" t="s">
        <v>1127</v>
      </c>
      <c r="H114">
        <v>4</v>
      </c>
      <c r="I114" t="s">
        <v>1843</v>
      </c>
      <c r="J114" t="s">
        <v>1844</v>
      </c>
      <c r="K114" t="s">
        <v>1845</v>
      </c>
      <c r="L114" t="s">
        <v>1594</v>
      </c>
      <c r="M114" t="s">
        <v>1100</v>
      </c>
      <c r="N114" t="s">
        <v>1100</v>
      </c>
      <c r="O114" t="s">
        <v>1100</v>
      </c>
      <c r="P114" t="s">
        <v>1100</v>
      </c>
      <c r="Q114" t="s">
        <v>1100</v>
      </c>
      <c r="R114" t="s">
        <v>1100</v>
      </c>
      <c r="S114" t="s">
        <v>1100</v>
      </c>
      <c r="T114" t="s">
        <v>1100</v>
      </c>
      <c r="U114" t="s">
        <v>1100</v>
      </c>
      <c r="V114" t="s">
        <v>1100</v>
      </c>
      <c r="W114" t="s">
        <v>1100</v>
      </c>
      <c r="X114" t="s">
        <v>1100</v>
      </c>
      <c r="Y114" t="s">
        <v>1100</v>
      </c>
      <c r="Z114" t="s">
        <v>1100</v>
      </c>
      <c r="AA114" t="s">
        <v>1100</v>
      </c>
      <c r="AB114" t="s">
        <v>1100</v>
      </c>
      <c r="AC114" t="s">
        <v>1100</v>
      </c>
    </row>
    <row r="115" spans="1:29" x14ac:dyDescent="0.35">
      <c r="A115" t="s">
        <v>1846</v>
      </c>
      <c r="B115" t="s">
        <v>1847</v>
      </c>
      <c r="C115" t="s">
        <v>1848</v>
      </c>
      <c r="D115">
        <v>632</v>
      </c>
      <c r="E115" t="s">
        <v>1098</v>
      </c>
      <c r="G115" t="s">
        <v>1133</v>
      </c>
      <c r="H115">
        <v>1</v>
      </c>
      <c r="I115" t="s">
        <v>1100</v>
      </c>
      <c r="J115" t="s">
        <v>1100</v>
      </c>
      <c r="K115" t="s">
        <v>1100</v>
      </c>
      <c r="L115" t="s">
        <v>1100</v>
      </c>
      <c r="M115" t="s">
        <v>1100</v>
      </c>
      <c r="N115" t="s">
        <v>1100</v>
      </c>
      <c r="O115" t="s">
        <v>1100</v>
      </c>
      <c r="P115" t="s">
        <v>1100</v>
      </c>
      <c r="Q115" t="s">
        <v>1100</v>
      </c>
      <c r="R115" t="s">
        <v>1100</v>
      </c>
      <c r="S115" t="s">
        <v>1100</v>
      </c>
      <c r="T115" t="s">
        <v>1100</v>
      </c>
      <c r="U115" t="s">
        <v>1100</v>
      </c>
      <c r="V115" t="s">
        <v>1100</v>
      </c>
      <c r="W115" t="s">
        <v>1100</v>
      </c>
      <c r="X115" t="s">
        <v>1100</v>
      </c>
      <c r="Y115" t="s">
        <v>1100</v>
      </c>
      <c r="Z115" t="s">
        <v>1100</v>
      </c>
      <c r="AA115" t="s">
        <v>1100</v>
      </c>
      <c r="AB115" t="s">
        <v>1100</v>
      </c>
      <c r="AC115" t="s">
        <v>1100</v>
      </c>
    </row>
    <row r="116" spans="1:29" x14ac:dyDescent="0.35">
      <c r="A116" t="s">
        <v>223</v>
      </c>
      <c r="B116" t="s">
        <v>1849</v>
      </c>
      <c r="C116" t="s">
        <v>1850</v>
      </c>
      <c r="D116">
        <v>49</v>
      </c>
      <c r="E116" t="s">
        <v>1098</v>
      </c>
      <c r="G116" t="s">
        <v>1133</v>
      </c>
      <c r="H116">
        <v>2</v>
      </c>
      <c r="I116" t="s">
        <v>1851</v>
      </c>
      <c r="J116" t="s">
        <v>1852</v>
      </c>
      <c r="K116" t="s">
        <v>1100</v>
      </c>
      <c r="L116" t="s">
        <v>1100</v>
      </c>
      <c r="M116" t="s">
        <v>1100</v>
      </c>
      <c r="N116" t="s">
        <v>1100</v>
      </c>
      <c r="O116" t="s">
        <v>1100</v>
      </c>
      <c r="P116" t="s">
        <v>1100</v>
      </c>
      <c r="Q116" t="s">
        <v>1100</v>
      </c>
      <c r="R116" t="s">
        <v>1100</v>
      </c>
      <c r="S116" t="s">
        <v>1100</v>
      </c>
      <c r="T116" t="s">
        <v>1100</v>
      </c>
      <c r="U116" t="s">
        <v>1100</v>
      </c>
      <c r="V116" t="s">
        <v>1100</v>
      </c>
      <c r="W116" t="s">
        <v>1100</v>
      </c>
      <c r="X116" t="s">
        <v>1100</v>
      </c>
      <c r="Y116" t="s">
        <v>1100</v>
      </c>
      <c r="Z116" t="s">
        <v>1100</v>
      </c>
      <c r="AA116" t="s">
        <v>1100</v>
      </c>
      <c r="AB116" t="s">
        <v>1100</v>
      </c>
      <c r="AC116" t="s">
        <v>1100</v>
      </c>
    </row>
    <row r="117" spans="1:29" x14ac:dyDescent="0.35">
      <c r="A117" t="s">
        <v>223</v>
      </c>
      <c r="B117" t="s">
        <v>1853</v>
      </c>
      <c r="C117" t="s">
        <v>1854</v>
      </c>
      <c r="D117">
        <v>224</v>
      </c>
      <c r="E117" t="s">
        <v>1098</v>
      </c>
      <c r="G117" t="s">
        <v>1133</v>
      </c>
      <c r="H117">
        <v>2</v>
      </c>
      <c r="I117" t="s">
        <v>1851</v>
      </c>
      <c r="J117" t="s">
        <v>1852</v>
      </c>
      <c r="K117" t="s">
        <v>1100</v>
      </c>
      <c r="L117" t="s">
        <v>1100</v>
      </c>
      <c r="M117" t="s">
        <v>1100</v>
      </c>
      <c r="N117" t="s">
        <v>1100</v>
      </c>
      <c r="O117" t="s">
        <v>1100</v>
      </c>
      <c r="P117" t="s">
        <v>1100</v>
      </c>
      <c r="Q117" t="s">
        <v>1100</v>
      </c>
      <c r="R117" t="s">
        <v>1100</v>
      </c>
      <c r="S117" t="s">
        <v>1100</v>
      </c>
      <c r="T117" t="s">
        <v>1100</v>
      </c>
      <c r="U117" t="s">
        <v>1100</v>
      </c>
      <c r="V117" t="s">
        <v>1100</v>
      </c>
      <c r="W117" t="s">
        <v>1100</v>
      </c>
      <c r="X117" t="s">
        <v>1100</v>
      </c>
      <c r="Y117" t="s">
        <v>1100</v>
      </c>
      <c r="Z117" t="s">
        <v>1100</v>
      </c>
      <c r="AA117" t="s">
        <v>1100</v>
      </c>
      <c r="AB117" t="s">
        <v>1100</v>
      </c>
      <c r="AC117" t="s">
        <v>1100</v>
      </c>
    </row>
    <row r="118" spans="1:29" x14ac:dyDescent="0.35">
      <c r="A118" t="s">
        <v>1855</v>
      </c>
      <c r="B118" t="s">
        <v>1856</v>
      </c>
      <c r="C118" t="s">
        <v>1857</v>
      </c>
      <c r="D118">
        <v>799</v>
      </c>
      <c r="E118" t="s">
        <v>1098</v>
      </c>
      <c r="G118" t="s">
        <v>1133</v>
      </c>
      <c r="H118">
        <v>1</v>
      </c>
      <c r="I118" t="s">
        <v>1100</v>
      </c>
      <c r="J118" t="s">
        <v>1100</v>
      </c>
      <c r="K118" t="s">
        <v>1100</v>
      </c>
      <c r="L118" t="s">
        <v>1100</v>
      </c>
      <c r="M118" t="s">
        <v>1100</v>
      </c>
      <c r="N118" t="s">
        <v>1100</v>
      </c>
      <c r="O118" t="s">
        <v>1100</v>
      </c>
      <c r="P118" t="s">
        <v>1100</v>
      </c>
      <c r="Q118" t="s">
        <v>1100</v>
      </c>
      <c r="R118" t="s">
        <v>1100</v>
      </c>
      <c r="S118" t="s">
        <v>1100</v>
      </c>
      <c r="T118" t="s">
        <v>1100</v>
      </c>
      <c r="U118" t="s">
        <v>1100</v>
      </c>
      <c r="V118" t="s">
        <v>1100</v>
      </c>
      <c r="W118" t="s">
        <v>1100</v>
      </c>
      <c r="X118" t="s">
        <v>1100</v>
      </c>
      <c r="Y118" t="s">
        <v>1100</v>
      </c>
      <c r="Z118" t="s">
        <v>1100</v>
      </c>
      <c r="AA118" t="s">
        <v>1100</v>
      </c>
      <c r="AB118" t="s">
        <v>1100</v>
      </c>
      <c r="AC118" t="s">
        <v>1100</v>
      </c>
    </row>
    <row r="119" spans="1:29" x14ac:dyDescent="0.35">
      <c r="A119" t="s">
        <v>1858</v>
      </c>
      <c r="B119" t="s">
        <v>1859</v>
      </c>
      <c r="C119" t="s">
        <v>1860</v>
      </c>
      <c r="D119">
        <v>1342</v>
      </c>
      <c r="E119" t="s">
        <v>1098</v>
      </c>
      <c r="G119" t="s">
        <v>1133</v>
      </c>
      <c r="H119">
        <v>1</v>
      </c>
      <c r="I119" t="s">
        <v>1100</v>
      </c>
      <c r="J119" t="s">
        <v>1100</v>
      </c>
      <c r="K119" t="s">
        <v>1100</v>
      </c>
      <c r="L119" t="s">
        <v>1100</v>
      </c>
      <c r="M119" t="s">
        <v>1100</v>
      </c>
      <c r="N119" t="s">
        <v>1100</v>
      </c>
      <c r="O119" t="s">
        <v>1100</v>
      </c>
      <c r="P119" t="s">
        <v>1100</v>
      </c>
      <c r="Q119" t="s">
        <v>1100</v>
      </c>
      <c r="R119" t="s">
        <v>1100</v>
      </c>
      <c r="S119" t="s">
        <v>1100</v>
      </c>
      <c r="T119" t="s">
        <v>1100</v>
      </c>
      <c r="U119" t="s">
        <v>1100</v>
      </c>
      <c r="V119" t="s">
        <v>1100</v>
      </c>
      <c r="W119" t="s">
        <v>1100</v>
      </c>
      <c r="X119" t="s">
        <v>1100</v>
      </c>
      <c r="Y119" t="s">
        <v>1100</v>
      </c>
      <c r="Z119" t="s">
        <v>1100</v>
      </c>
      <c r="AA119" t="s">
        <v>1100</v>
      </c>
      <c r="AB119" t="s">
        <v>1100</v>
      </c>
      <c r="AC119" t="s">
        <v>1100</v>
      </c>
    </row>
    <row r="120" spans="1:29" x14ac:dyDescent="0.35">
      <c r="A120" t="s">
        <v>295</v>
      </c>
      <c r="B120" t="s">
        <v>1861</v>
      </c>
      <c r="C120" s="58" t="s">
        <v>1862</v>
      </c>
      <c r="D120">
        <v>1091</v>
      </c>
      <c r="E120" t="s">
        <v>1113</v>
      </c>
      <c r="G120" t="s">
        <v>1133</v>
      </c>
      <c r="H120">
        <v>1</v>
      </c>
      <c r="I120" t="s">
        <v>1100</v>
      </c>
      <c r="J120" t="s">
        <v>1100</v>
      </c>
      <c r="K120" t="s">
        <v>1100</v>
      </c>
      <c r="L120" t="s">
        <v>1100</v>
      </c>
      <c r="M120" t="s">
        <v>1100</v>
      </c>
      <c r="N120" t="s">
        <v>1100</v>
      </c>
      <c r="O120" t="s">
        <v>1100</v>
      </c>
      <c r="P120" t="s">
        <v>1100</v>
      </c>
      <c r="Q120" t="s">
        <v>1100</v>
      </c>
      <c r="R120" t="s">
        <v>1100</v>
      </c>
      <c r="S120" t="s">
        <v>1100</v>
      </c>
      <c r="T120" t="s">
        <v>1100</v>
      </c>
      <c r="U120" t="s">
        <v>1100</v>
      </c>
      <c r="V120" t="s">
        <v>1100</v>
      </c>
      <c r="W120" t="s">
        <v>1100</v>
      </c>
      <c r="X120" t="s">
        <v>1100</v>
      </c>
      <c r="Y120" t="s">
        <v>1100</v>
      </c>
      <c r="Z120" t="s">
        <v>1100</v>
      </c>
      <c r="AA120" t="s">
        <v>1100</v>
      </c>
      <c r="AB120" t="s">
        <v>1100</v>
      </c>
      <c r="AC120" t="s">
        <v>1100</v>
      </c>
    </row>
    <row r="121" spans="1:29" x14ac:dyDescent="0.35">
      <c r="A121" t="s">
        <v>1863</v>
      </c>
      <c r="B121" t="s">
        <v>1864</v>
      </c>
      <c r="C121" t="s">
        <v>1865</v>
      </c>
      <c r="D121">
        <v>1197</v>
      </c>
      <c r="E121" t="s">
        <v>1098</v>
      </c>
      <c r="G121" t="s">
        <v>1133</v>
      </c>
      <c r="H121">
        <v>1</v>
      </c>
      <c r="I121" t="s">
        <v>1100</v>
      </c>
      <c r="J121" t="s">
        <v>1100</v>
      </c>
      <c r="K121" t="s">
        <v>1100</v>
      </c>
      <c r="L121" t="s">
        <v>1100</v>
      </c>
      <c r="M121" t="s">
        <v>1100</v>
      </c>
      <c r="N121" t="s">
        <v>1100</v>
      </c>
      <c r="O121" t="s">
        <v>1100</v>
      </c>
      <c r="P121" t="s">
        <v>1100</v>
      </c>
      <c r="Q121" t="s">
        <v>1100</v>
      </c>
      <c r="R121" t="s">
        <v>1100</v>
      </c>
      <c r="S121" t="s">
        <v>1100</v>
      </c>
      <c r="T121" t="s">
        <v>1100</v>
      </c>
      <c r="U121" t="s">
        <v>1100</v>
      </c>
      <c r="V121" t="s">
        <v>1100</v>
      </c>
      <c r="W121" t="s">
        <v>1100</v>
      </c>
      <c r="X121" t="s">
        <v>1100</v>
      </c>
      <c r="Y121" t="s">
        <v>1100</v>
      </c>
      <c r="Z121" t="s">
        <v>1100</v>
      </c>
      <c r="AA121" t="s">
        <v>1100</v>
      </c>
      <c r="AB121" t="s">
        <v>1100</v>
      </c>
      <c r="AC121" t="s">
        <v>1100</v>
      </c>
    </row>
    <row r="122" spans="1:29" x14ac:dyDescent="0.35">
      <c r="A122" t="s">
        <v>1866</v>
      </c>
      <c r="B122" t="s">
        <v>1867</v>
      </c>
      <c r="C122" t="s">
        <v>1868</v>
      </c>
      <c r="D122">
        <v>1372</v>
      </c>
      <c r="E122" t="s">
        <v>1113</v>
      </c>
      <c r="G122" t="s">
        <v>1133</v>
      </c>
      <c r="H122">
        <v>1</v>
      </c>
      <c r="I122" t="s">
        <v>1100</v>
      </c>
      <c r="J122" t="s">
        <v>1100</v>
      </c>
      <c r="K122" t="s">
        <v>1100</v>
      </c>
      <c r="L122" t="s">
        <v>1100</v>
      </c>
      <c r="M122" t="s">
        <v>1100</v>
      </c>
      <c r="N122" t="s">
        <v>1100</v>
      </c>
      <c r="O122" t="s">
        <v>1100</v>
      </c>
      <c r="P122" t="s">
        <v>1100</v>
      </c>
      <c r="Q122" t="s">
        <v>1100</v>
      </c>
      <c r="R122" t="s">
        <v>1100</v>
      </c>
      <c r="S122" t="s">
        <v>1100</v>
      </c>
      <c r="T122" t="s">
        <v>1100</v>
      </c>
      <c r="U122" t="s">
        <v>1100</v>
      </c>
      <c r="V122" t="s">
        <v>1100</v>
      </c>
      <c r="W122" t="s">
        <v>1100</v>
      </c>
      <c r="X122" t="s">
        <v>1100</v>
      </c>
      <c r="Y122" t="s">
        <v>1100</v>
      </c>
      <c r="Z122" t="s">
        <v>1100</v>
      </c>
      <c r="AA122" t="s">
        <v>1100</v>
      </c>
      <c r="AB122" t="s">
        <v>1100</v>
      </c>
      <c r="AC122" t="s">
        <v>1100</v>
      </c>
    </row>
    <row r="123" spans="1:29" x14ac:dyDescent="0.35">
      <c r="A123" s="60" t="s">
        <v>1869</v>
      </c>
      <c r="B123" s="61" t="s">
        <v>1870</v>
      </c>
      <c r="C123" t="s">
        <v>1871</v>
      </c>
      <c r="E123" t="s">
        <v>1098</v>
      </c>
      <c r="G123" t="s">
        <v>1094</v>
      </c>
      <c r="H123">
        <v>8</v>
      </c>
      <c r="I123" s="61" t="s">
        <v>1872</v>
      </c>
      <c r="J123" t="s">
        <v>1873</v>
      </c>
      <c r="K123" t="s">
        <v>1874</v>
      </c>
      <c r="L123" t="s">
        <v>1875</v>
      </c>
      <c r="M123" t="s">
        <v>1876</v>
      </c>
      <c r="N123" t="s">
        <v>1877</v>
      </c>
      <c r="O123" t="s">
        <v>1878</v>
      </c>
      <c r="P123" t="s">
        <v>1879</v>
      </c>
    </row>
    <row r="124" spans="1:29" x14ac:dyDescent="0.35">
      <c r="A124" s="60" t="s">
        <v>1869</v>
      </c>
      <c r="B124" s="61" t="s">
        <v>1880</v>
      </c>
      <c r="C124" t="s">
        <v>1881</v>
      </c>
      <c r="E124" t="s">
        <v>1098</v>
      </c>
      <c r="G124" t="s">
        <v>1094</v>
      </c>
      <c r="H124">
        <v>3</v>
      </c>
      <c r="I124" s="61" t="s">
        <v>1882</v>
      </c>
      <c r="J124" t="s">
        <v>1883</v>
      </c>
      <c r="K124" t="s">
        <v>1884</v>
      </c>
    </row>
    <row r="125" spans="1:29" ht="29" x14ac:dyDescent="0.35">
      <c r="A125" s="60" t="s">
        <v>1836</v>
      </c>
      <c r="B125" s="62" t="s">
        <v>1885</v>
      </c>
      <c r="C125" t="s">
        <v>1886</v>
      </c>
      <c r="E125" t="s">
        <v>1492</v>
      </c>
      <c r="G125" t="s">
        <v>1133</v>
      </c>
      <c r="H125">
        <v>1</v>
      </c>
      <c r="I125" s="61"/>
    </row>
    <row r="126" spans="1:29" x14ac:dyDescent="0.35">
      <c r="A126" t="s">
        <v>2015</v>
      </c>
      <c r="B126" t="s">
        <v>1887</v>
      </c>
      <c r="C126" s="58" t="s">
        <v>1888</v>
      </c>
      <c r="D126">
        <v>3743</v>
      </c>
      <c r="E126" t="s">
        <v>1113</v>
      </c>
      <c r="G126" t="s">
        <v>1133</v>
      </c>
      <c r="H126">
        <v>1</v>
      </c>
    </row>
    <row r="127" spans="1:29" x14ac:dyDescent="0.35">
      <c r="A127" t="s">
        <v>1889</v>
      </c>
      <c r="B127" t="s">
        <v>1890</v>
      </c>
      <c r="C127" t="s">
        <v>1891</v>
      </c>
      <c r="D127">
        <v>3736</v>
      </c>
      <c r="E127" t="s">
        <v>1113</v>
      </c>
      <c r="G127" t="s">
        <v>1133</v>
      </c>
      <c r="H127">
        <v>1</v>
      </c>
    </row>
    <row r="128" spans="1:29" x14ac:dyDescent="0.35">
      <c r="A128" t="s">
        <v>1892</v>
      </c>
      <c r="B128" t="s">
        <v>1893</v>
      </c>
      <c r="C128" t="s">
        <v>1894</v>
      </c>
      <c r="D128">
        <v>3741</v>
      </c>
      <c r="E128" t="s">
        <v>1113</v>
      </c>
      <c r="G128" t="s">
        <v>1133</v>
      </c>
      <c r="H128">
        <v>1</v>
      </c>
    </row>
    <row r="129" spans="1:13" x14ac:dyDescent="0.35">
      <c r="A129" t="s">
        <v>1895</v>
      </c>
      <c r="B129" t="s">
        <v>1896</v>
      </c>
      <c r="C129" t="s">
        <v>1897</v>
      </c>
      <c r="D129">
        <v>3742</v>
      </c>
      <c r="E129" t="s">
        <v>1113</v>
      </c>
      <c r="G129" t="s">
        <v>1133</v>
      </c>
      <c r="H129">
        <v>1</v>
      </c>
    </row>
    <row r="130" spans="1:13" x14ac:dyDescent="0.35">
      <c r="A130" t="s">
        <v>1898</v>
      </c>
      <c r="B130" t="s">
        <v>1899</v>
      </c>
      <c r="C130" t="s">
        <v>1900</v>
      </c>
      <c r="D130">
        <v>3744</v>
      </c>
      <c r="E130" t="s">
        <v>1113</v>
      </c>
      <c r="G130" t="s">
        <v>1133</v>
      </c>
      <c r="H130">
        <v>1</v>
      </c>
    </row>
    <row r="131" spans="1:13" x14ac:dyDescent="0.35">
      <c r="A131" t="s">
        <v>1901</v>
      </c>
      <c r="B131" t="s">
        <v>1902</v>
      </c>
      <c r="C131" t="s">
        <v>1903</v>
      </c>
      <c r="D131">
        <v>3745</v>
      </c>
      <c r="E131" t="s">
        <v>1113</v>
      </c>
      <c r="G131" t="s">
        <v>1133</v>
      </c>
      <c r="H131">
        <v>1</v>
      </c>
    </row>
    <row r="132" spans="1:13" x14ac:dyDescent="0.35">
      <c r="A132" t="s">
        <v>1904</v>
      </c>
      <c r="B132" t="s">
        <v>1905</v>
      </c>
      <c r="C132" t="s">
        <v>1906</v>
      </c>
      <c r="D132">
        <v>3746</v>
      </c>
      <c r="E132" t="s">
        <v>1113</v>
      </c>
      <c r="G132" t="s">
        <v>1133</v>
      </c>
      <c r="H132">
        <v>1</v>
      </c>
    </row>
    <row r="133" spans="1:13" x14ac:dyDescent="0.35">
      <c r="A133" t="s">
        <v>1907</v>
      </c>
      <c r="B133" t="s">
        <v>1908</v>
      </c>
      <c r="C133" t="s">
        <v>1909</v>
      </c>
      <c r="E133" t="s">
        <v>1113</v>
      </c>
      <c r="G133" t="s">
        <v>1133</v>
      </c>
      <c r="H133">
        <v>1</v>
      </c>
    </row>
    <row r="134" spans="1:13" x14ac:dyDescent="0.35">
      <c r="A134" t="s">
        <v>2016</v>
      </c>
      <c r="B134" t="s">
        <v>1910</v>
      </c>
      <c r="C134" s="58" t="s">
        <v>1911</v>
      </c>
      <c r="E134" t="s">
        <v>1098</v>
      </c>
      <c r="G134" t="s">
        <v>1133</v>
      </c>
      <c r="H134">
        <v>1</v>
      </c>
    </row>
    <row r="135" spans="1:13" x14ac:dyDescent="0.35">
      <c r="A135" t="s">
        <v>136</v>
      </c>
      <c r="B135" t="s">
        <v>1912</v>
      </c>
      <c r="C135" t="s">
        <v>1913</v>
      </c>
      <c r="E135" t="s">
        <v>1098</v>
      </c>
      <c r="G135" t="s">
        <v>1133</v>
      </c>
      <c r="H135">
        <v>1</v>
      </c>
    </row>
    <row r="136" spans="1:13" x14ac:dyDescent="0.35">
      <c r="A136" t="s">
        <v>255</v>
      </c>
      <c r="B136" t="s">
        <v>1914</v>
      </c>
      <c r="C136" t="s">
        <v>1915</v>
      </c>
      <c r="E136" t="s">
        <v>1113</v>
      </c>
      <c r="G136" t="s">
        <v>1133</v>
      </c>
      <c r="H136">
        <v>1</v>
      </c>
    </row>
    <row r="137" spans="1:13" x14ac:dyDescent="0.35">
      <c r="A137" t="s">
        <v>255</v>
      </c>
      <c r="B137" t="s">
        <v>1916</v>
      </c>
      <c r="C137" s="57" t="s">
        <v>1917</v>
      </c>
      <c r="E137" t="s">
        <v>1113</v>
      </c>
      <c r="G137" t="s">
        <v>1133</v>
      </c>
      <c r="H137">
        <v>1</v>
      </c>
    </row>
    <row r="138" spans="1:13" ht="29" x14ac:dyDescent="0.35">
      <c r="A138" t="s">
        <v>255</v>
      </c>
      <c r="B138" s="47" t="s">
        <v>1918</v>
      </c>
      <c r="C138" s="57" t="s">
        <v>1919</v>
      </c>
      <c r="E138" t="s">
        <v>1113</v>
      </c>
      <c r="G138" t="s">
        <v>1133</v>
      </c>
      <c r="H138">
        <v>1</v>
      </c>
    </row>
    <row r="139" spans="1:13" x14ac:dyDescent="0.35">
      <c r="A139" t="s">
        <v>1920</v>
      </c>
      <c r="B139" s="57" t="s">
        <v>1921</v>
      </c>
      <c r="C139" t="s">
        <v>1922</v>
      </c>
      <c r="E139" t="s">
        <v>1098</v>
      </c>
      <c r="G139" t="s">
        <v>1133</v>
      </c>
      <c r="H139">
        <v>5</v>
      </c>
      <c r="I139" s="67" t="s">
        <v>1950</v>
      </c>
      <c r="J139" s="67" t="s">
        <v>1951</v>
      </c>
      <c r="K139" s="67" t="s">
        <v>1952</v>
      </c>
      <c r="L139" s="67" t="s">
        <v>1953</v>
      </c>
      <c r="M139" s="67" t="s">
        <v>1954</v>
      </c>
    </row>
    <row r="140" spans="1:13" x14ac:dyDescent="0.35">
      <c r="A140" t="s">
        <v>1920</v>
      </c>
      <c r="B140" t="s">
        <v>1949</v>
      </c>
      <c r="C140" t="s">
        <v>2017</v>
      </c>
      <c r="E140" t="s">
        <v>1098</v>
      </c>
      <c r="G140" t="s">
        <v>1133</v>
      </c>
      <c r="H140">
        <v>1</v>
      </c>
    </row>
    <row r="141" spans="1:13" x14ac:dyDescent="0.35">
      <c r="A141" t="s">
        <v>1920</v>
      </c>
      <c r="B141" t="s">
        <v>1923</v>
      </c>
      <c r="C141" t="s">
        <v>1924</v>
      </c>
      <c r="E141" t="s">
        <v>1098</v>
      </c>
      <c r="G141" t="s">
        <v>1133</v>
      </c>
      <c r="H141">
        <v>1</v>
      </c>
    </row>
    <row r="142" spans="1:13" x14ac:dyDescent="0.35">
      <c r="A142" t="s">
        <v>76</v>
      </c>
      <c r="B142" t="s">
        <v>1966</v>
      </c>
      <c r="C142" t="s">
        <v>1967</v>
      </c>
      <c r="E142" t="s">
        <v>1113</v>
      </c>
      <c r="G142" t="s">
        <v>1094</v>
      </c>
      <c r="H142">
        <v>1</v>
      </c>
    </row>
  </sheetData>
  <autoFilter ref="A1:TG142" xr:uid="{B3A51746-07D1-4A9C-B1DF-0AEEA0DC9D32}"/>
  <dataConsolidate/>
  <conditionalFormatting sqref="I5:AC5 AE5:BK5">
    <cfRule type="duplicateValues" dxfId="9" priority="6"/>
  </conditionalFormatting>
  <conditionalFormatting sqref="GZ20 FC20:GD20 AE20:AJ20 AL20:BE20 BG20:BJ20 BL20:CC20 CE20:CU20 CW20:DO20 DQ20:ET20 EV20:FA20 GF20:GI20 GM20:GR20 GT20:GW20 I20:R20 T20:AC20 HB20:HH20 GK20">
    <cfRule type="duplicateValues" dxfId="8" priority="5" stopIfTrue="1"/>
  </conditionalFormatting>
  <conditionalFormatting sqref="CD20">
    <cfRule type="duplicateValues" dxfId="7" priority="4" stopIfTrue="1"/>
  </conditionalFormatting>
  <conditionalFormatting sqref="GZ20 AE20:AJ20 AL20:BE20 BG20:BJ20 BL20:CU20 CW20:DO20 DQ20:ET20 EV20:GD20 GF20:GI20 GM20:GR20 GT20:GW20 I20:R20 T20:AC20 HB20:HH20 GK20">
    <cfRule type="duplicateValues" dxfId="6" priority="3" stopIfTrue="1"/>
  </conditionalFormatting>
  <conditionalFormatting sqref="GX20">
    <cfRule type="duplicateValues" dxfId="5" priority="2" stopIfTrue="1"/>
  </conditionalFormatting>
  <conditionalFormatting sqref="GX20">
    <cfRule type="duplicateValues" dxfId="4" priority="1" stopIfTrue="1"/>
  </conditionalFormatting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0C7C7-AE54-48D7-9EE8-09A5BB52F829}">
  <sheetPr codeName="Sheet3">
    <tabColor rgb="FFFFFF00"/>
  </sheetPr>
  <dimension ref="A1:C1832"/>
  <sheetViews>
    <sheetView workbookViewId="0"/>
  </sheetViews>
  <sheetFormatPr defaultRowHeight="14.5" x14ac:dyDescent="0.35"/>
  <cols>
    <col min="1" max="1" width="16.36328125" customWidth="1"/>
    <col min="2" max="2" width="33.6328125" customWidth="1"/>
  </cols>
  <sheetData>
    <row r="1" spans="1:2" x14ac:dyDescent="0.35">
      <c r="A1" t="s">
        <v>73</v>
      </c>
      <c r="B1" s="46" t="s">
        <v>74</v>
      </c>
    </row>
    <row r="2" spans="1:2" x14ac:dyDescent="0.35">
      <c r="A2" t="s">
        <v>75</v>
      </c>
      <c r="B2" t="s">
        <v>59</v>
      </c>
    </row>
    <row r="3" spans="1:2" x14ac:dyDescent="0.35">
      <c r="A3" t="s">
        <v>76</v>
      </c>
      <c r="B3" t="s">
        <v>77</v>
      </c>
    </row>
    <row r="4" spans="1:2" x14ac:dyDescent="0.35">
      <c r="A4" t="s">
        <v>78</v>
      </c>
      <c r="B4" t="s">
        <v>79</v>
      </c>
    </row>
    <row r="5" spans="1:2" x14ac:dyDescent="0.35">
      <c r="A5" t="s">
        <v>80</v>
      </c>
      <c r="B5" t="s">
        <v>81</v>
      </c>
    </row>
    <row r="6" spans="1:2" x14ac:dyDescent="0.35">
      <c r="A6" t="s">
        <v>82</v>
      </c>
      <c r="B6" t="s">
        <v>83</v>
      </c>
    </row>
    <row r="7" spans="1:2" x14ac:dyDescent="0.35">
      <c r="A7" t="s">
        <v>71</v>
      </c>
      <c r="B7" t="s">
        <v>84</v>
      </c>
    </row>
    <row r="8" spans="1:2" x14ac:dyDescent="0.35">
      <c r="A8" t="s">
        <v>85</v>
      </c>
      <c r="B8" t="s">
        <v>86</v>
      </c>
    </row>
    <row r="9" spans="1:2" x14ac:dyDescent="0.35">
      <c r="A9" t="s">
        <v>72</v>
      </c>
      <c r="B9" t="s">
        <v>87</v>
      </c>
    </row>
    <row r="10" spans="1:2" x14ac:dyDescent="0.35">
      <c r="A10" t="s">
        <v>88</v>
      </c>
      <c r="B10" t="s">
        <v>89</v>
      </c>
    </row>
    <row r="11" spans="1:2" x14ac:dyDescent="0.35">
      <c r="A11" t="s">
        <v>90</v>
      </c>
      <c r="B11" t="s">
        <v>91</v>
      </c>
    </row>
    <row r="12" spans="1:2" x14ac:dyDescent="0.35">
      <c r="A12" t="s">
        <v>92</v>
      </c>
      <c r="B12" t="s">
        <v>93</v>
      </c>
    </row>
    <row r="13" spans="1:2" x14ac:dyDescent="0.35">
      <c r="A13" t="s">
        <v>94</v>
      </c>
      <c r="B13" t="s">
        <v>95</v>
      </c>
    </row>
    <row r="14" spans="1:2" x14ac:dyDescent="0.35">
      <c r="A14" t="s">
        <v>96</v>
      </c>
      <c r="B14" t="s">
        <v>97</v>
      </c>
    </row>
    <row r="15" spans="1:2" x14ac:dyDescent="0.35">
      <c r="A15" t="s">
        <v>98</v>
      </c>
      <c r="B15" t="s">
        <v>99</v>
      </c>
    </row>
    <row r="16" spans="1:2" x14ac:dyDescent="0.35">
      <c r="A16" t="s">
        <v>100</v>
      </c>
      <c r="B16" t="s">
        <v>101</v>
      </c>
    </row>
    <row r="17" spans="1:2" x14ac:dyDescent="0.35">
      <c r="A17" t="s">
        <v>102</v>
      </c>
      <c r="B17" t="s">
        <v>103</v>
      </c>
    </row>
    <row r="18" spans="1:2" x14ac:dyDescent="0.35">
      <c r="A18" t="s">
        <v>104</v>
      </c>
      <c r="B18" t="s">
        <v>105</v>
      </c>
    </row>
    <row r="19" spans="1:2" x14ac:dyDescent="0.35">
      <c r="A19" t="s">
        <v>106</v>
      </c>
      <c r="B19" t="s">
        <v>107</v>
      </c>
    </row>
    <row r="20" spans="1:2" x14ac:dyDescent="0.35">
      <c r="A20" t="s">
        <v>108</v>
      </c>
      <c r="B20" t="s">
        <v>109</v>
      </c>
    </row>
    <row r="21" spans="1:2" x14ac:dyDescent="0.35">
      <c r="A21" t="s">
        <v>110</v>
      </c>
      <c r="B21" t="s">
        <v>111</v>
      </c>
    </row>
    <row r="22" spans="1:2" x14ac:dyDescent="0.35">
      <c r="A22" t="s">
        <v>112</v>
      </c>
      <c r="B22" t="s">
        <v>113</v>
      </c>
    </row>
    <row r="23" spans="1:2" x14ac:dyDescent="0.35">
      <c r="A23" t="s">
        <v>114</v>
      </c>
      <c r="B23" t="s">
        <v>115</v>
      </c>
    </row>
    <row r="24" spans="1:2" x14ac:dyDescent="0.35">
      <c r="A24" t="s">
        <v>116</v>
      </c>
      <c r="B24" t="s">
        <v>117</v>
      </c>
    </row>
    <row r="25" spans="1:2" x14ac:dyDescent="0.35">
      <c r="A25" t="s">
        <v>118</v>
      </c>
      <c r="B25" t="s">
        <v>119</v>
      </c>
    </row>
    <row r="26" spans="1:2" x14ac:dyDescent="0.35">
      <c r="A26" t="s">
        <v>120</v>
      </c>
      <c r="B26" t="s">
        <v>121</v>
      </c>
    </row>
    <row r="27" spans="1:2" x14ac:dyDescent="0.35">
      <c r="A27" t="s">
        <v>122</v>
      </c>
      <c r="B27" t="s">
        <v>123</v>
      </c>
    </row>
    <row r="28" spans="1:2" x14ac:dyDescent="0.35">
      <c r="A28" t="s">
        <v>124</v>
      </c>
      <c r="B28" t="s">
        <v>125</v>
      </c>
    </row>
    <row r="29" spans="1:2" x14ac:dyDescent="0.35">
      <c r="A29" t="s">
        <v>126</v>
      </c>
      <c r="B29" t="s">
        <v>127</v>
      </c>
    </row>
    <row r="30" spans="1:2" x14ac:dyDescent="0.35">
      <c r="A30" t="s">
        <v>128</v>
      </c>
      <c r="B30" t="s">
        <v>129</v>
      </c>
    </row>
    <row r="31" spans="1:2" x14ac:dyDescent="0.35">
      <c r="A31" t="s">
        <v>130</v>
      </c>
      <c r="B31" t="s">
        <v>131</v>
      </c>
    </row>
    <row r="32" spans="1:2" x14ac:dyDescent="0.35">
      <c r="A32" t="s">
        <v>132</v>
      </c>
      <c r="B32" t="s">
        <v>133</v>
      </c>
    </row>
    <row r="33" spans="1:2" x14ac:dyDescent="0.35">
      <c r="A33" t="s">
        <v>134</v>
      </c>
      <c r="B33" t="s">
        <v>135</v>
      </c>
    </row>
    <row r="34" spans="1:2" x14ac:dyDescent="0.35">
      <c r="A34" t="s">
        <v>136</v>
      </c>
      <c r="B34" t="s">
        <v>137</v>
      </c>
    </row>
    <row r="35" spans="1:2" x14ac:dyDescent="0.35">
      <c r="A35" t="s">
        <v>138</v>
      </c>
      <c r="B35" t="s">
        <v>139</v>
      </c>
    </row>
    <row r="36" spans="1:2" x14ac:dyDescent="0.35">
      <c r="A36" t="s">
        <v>140</v>
      </c>
      <c r="B36" t="s">
        <v>141</v>
      </c>
    </row>
    <row r="37" spans="1:2" x14ac:dyDescent="0.35">
      <c r="A37" t="s">
        <v>142</v>
      </c>
      <c r="B37" t="s">
        <v>143</v>
      </c>
    </row>
    <row r="38" spans="1:2" x14ac:dyDescent="0.35">
      <c r="A38" t="s">
        <v>144</v>
      </c>
      <c r="B38" t="s">
        <v>145</v>
      </c>
    </row>
    <row r="39" spans="1:2" x14ac:dyDescent="0.35">
      <c r="A39" t="s">
        <v>146</v>
      </c>
      <c r="B39" t="s">
        <v>147</v>
      </c>
    </row>
    <row r="40" spans="1:2" x14ac:dyDescent="0.35">
      <c r="A40" t="s">
        <v>148</v>
      </c>
      <c r="B40" t="s">
        <v>149</v>
      </c>
    </row>
    <row r="41" spans="1:2" x14ac:dyDescent="0.35">
      <c r="A41" t="s">
        <v>150</v>
      </c>
      <c r="B41" t="s">
        <v>151</v>
      </c>
    </row>
    <row r="42" spans="1:2" x14ac:dyDescent="0.35">
      <c r="A42" t="s">
        <v>152</v>
      </c>
      <c r="B42" t="s">
        <v>153</v>
      </c>
    </row>
    <row r="43" spans="1:2" x14ac:dyDescent="0.35">
      <c r="A43" t="s">
        <v>154</v>
      </c>
      <c r="B43" t="s">
        <v>155</v>
      </c>
    </row>
    <row r="44" spans="1:2" x14ac:dyDescent="0.35">
      <c r="A44" t="s">
        <v>156</v>
      </c>
      <c r="B44" t="s">
        <v>157</v>
      </c>
    </row>
    <row r="45" spans="1:2" x14ac:dyDescent="0.35">
      <c r="A45" t="s">
        <v>158</v>
      </c>
      <c r="B45" t="s">
        <v>159</v>
      </c>
    </row>
    <row r="46" spans="1:2" x14ac:dyDescent="0.35">
      <c r="A46" t="s">
        <v>160</v>
      </c>
      <c r="B46" t="s">
        <v>161</v>
      </c>
    </row>
    <row r="47" spans="1:2" x14ac:dyDescent="0.35">
      <c r="A47" t="s">
        <v>162</v>
      </c>
      <c r="B47" t="s">
        <v>163</v>
      </c>
    </row>
    <row r="48" spans="1:2" x14ac:dyDescent="0.35">
      <c r="A48" t="s">
        <v>164</v>
      </c>
      <c r="B48" t="s">
        <v>165</v>
      </c>
    </row>
    <row r="49" spans="1:2" x14ac:dyDescent="0.35">
      <c r="A49" s="46" t="s">
        <v>166</v>
      </c>
      <c r="B49" t="s">
        <v>167</v>
      </c>
    </row>
    <row r="50" spans="1:2" x14ac:dyDescent="0.35">
      <c r="A50" t="s">
        <v>168</v>
      </c>
      <c r="B50" t="s">
        <v>169</v>
      </c>
    </row>
    <row r="51" spans="1:2" x14ac:dyDescent="0.35">
      <c r="A51" t="s">
        <v>170</v>
      </c>
      <c r="B51" t="s">
        <v>171</v>
      </c>
    </row>
    <row r="52" spans="1:2" x14ac:dyDescent="0.35">
      <c r="A52" t="s">
        <v>172</v>
      </c>
      <c r="B52" t="s">
        <v>173</v>
      </c>
    </row>
    <row r="53" spans="1:2" x14ac:dyDescent="0.35">
      <c r="A53" t="s">
        <v>174</v>
      </c>
      <c r="B53" t="s">
        <v>175</v>
      </c>
    </row>
    <row r="54" spans="1:2" x14ac:dyDescent="0.35">
      <c r="A54" t="s">
        <v>176</v>
      </c>
      <c r="B54" t="s">
        <v>177</v>
      </c>
    </row>
    <row r="55" spans="1:2" x14ac:dyDescent="0.35">
      <c r="A55" t="s">
        <v>178</v>
      </c>
      <c r="B55" t="s">
        <v>179</v>
      </c>
    </row>
    <row r="56" spans="1:2" x14ac:dyDescent="0.35">
      <c r="A56" t="s">
        <v>180</v>
      </c>
      <c r="B56" t="s">
        <v>181</v>
      </c>
    </row>
    <row r="57" spans="1:2" x14ac:dyDescent="0.35">
      <c r="A57" t="s">
        <v>182</v>
      </c>
      <c r="B57" t="s">
        <v>183</v>
      </c>
    </row>
    <row r="58" spans="1:2" x14ac:dyDescent="0.35">
      <c r="A58" t="s">
        <v>184</v>
      </c>
      <c r="B58" t="s">
        <v>185</v>
      </c>
    </row>
    <row r="59" spans="1:2" x14ac:dyDescent="0.35">
      <c r="A59" t="s">
        <v>186</v>
      </c>
      <c r="B59" t="s">
        <v>187</v>
      </c>
    </row>
    <row r="60" spans="1:2" x14ac:dyDescent="0.35">
      <c r="A60" t="s">
        <v>188</v>
      </c>
      <c r="B60" t="s">
        <v>189</v>
      </c>
    </row>
    <row r="61" spans="1:2" x14ac:dyDescent="0.35">
      <c r="A61" t="s">
        <v>67</v>
      </c>
      <c r="B61" t="s">
        <v>190</v>
      </c>
    </row>
    <row r="62" spans="1:2" x14ac:dyDescent="0.35">
      <c r="A62" s="46" t="s">
        <v>191</v>
      </c>
      <c r="B62" t="s">
        <v>192</v>
      </c>
    </row>
    <row r="63" spans="1:2" x14ac:dyDescent="0.35">
      <c r="A63" t="s">
        <v>193</v>
      </c>
      <c r="B63" t="s">
        <v>194</v>
      </c>
    </row>
    <row r="64" spans="1:2" x14ac:dyDescent="0.35">
      <c r="A64" t="s">
        <v>195</v>
      </c>
      <c r="B64" t="s">
        <v>196</v>
      </c>
    </row>
    <row r="65" spans="1:2" x14ac:dyDescent="0.35">
      <c r="A65" t="s">
        <v>197</v>
      </c>
      <c r="B65" t="s">
        <v>198</v>
      </c>
    </row>
    <row r="66" spans="1:2" x14ac:dyDescent="0.35">
      <c r="A66" t="s">
        <v>199</v>
      </c>
      <c r="B66" t="s">
        <v>200</v>
      </c>
    </row>
    <row r="67" spans="1:2" x14ac:dyDescent="0.35">
      <c r="A67" t="s">
        <v>201</v>
      </c>
      <c r="B67" t="s">
        <v>202</v>
      </c>
    </row>
    <row r="68" spans="1:2" x14ac:dyDescent="0.35">
      <c r="A68" t="s">
        <v>203</v>
      </c>
      <c r="B68" t="s">
        <v>204</v>
      </c>
    </row>
    <row r="69" spans="1:2" x14ac:dyDescent="0.35">
      <c r="A69" t="s">
        <v>205</v>
      </c>
      <c r="B69" t="s">
        <v>206</v>
      </c>
    </row>
    <row r="70" spans="1:2" x14ac:dyDescent="0.35">
      <c r="A70" t="s">
        <v>207</v>
      </c>
      <c r="B70" t="s">
        <v>208</v>
      </c>
    </row>
    <row r="71" spans="1:2" x14ac:dyDescent="0.35">
      <c r="A71" t="s">
        <v>209</v>
      </c>
      <c r="B71" t="s">
        <v>210</v>
      </c>
    </row>
    <row r="72" spans="1:2" x14ac:dyDescent="0.35">
      <c r="A72" t="s">
        <v>211</v>
      </c>
      <c r="B72" t="s">
        <v>212</v>
      </c>
    </row>
    <row r="73" spans="1:2" x14ac:dyDescent="0.35">
      <c r="A73" t="s">
        <v>213</v>
      </c>
      <c r="B73" t="s">
        <v>214</v>
      </c>
    </row>
    <row r="74" spans="1:2" x14ac:dyDescent="0.35">
      <c r="A74" t="s">
        <v>215</v>
      </c>
      <c r="B74" t="s">
        <v>216</v>
      </c>
    </row>
    <row r="75" spans="1:2" x14ac:dyDescent="0.35">
      <c r="A75" t="s">
        <v>217</v>
      </c>
      <c r="B75" t="s">
        <v>218</v>
      </c>
    </row>
    <row r="76" spans="1:2" x14ac:dyDescent="0.35">
      <c r="A76" t="s">
        <v>219</v>
      </c>
      <c r="B76" t="s">
        <v>220</v>
      </c>
    </row>
    <row r="77" spans="1:2" x14ac:dyDescent="0.35">
      <c r="A77" s="46" t="s">
        <v>221</v>
      </c>
      <c r="B77" t="s">
        <v>222</v>
      </c>
    </row>
    <row r="78" spans="1:2" x14ac:dyDescent="0.35">
      <c r="A78" t="s">
        <v>223</v>
      </c>
      <c r="B78" t="s">
        <v>224</v>
      </c>
    </row>
    <row r="79" spans="1:2" x14ac:dyDescent="0.35">
      <c r="A79" s="46" t="s">
        <v>225</v>
      </c>
      <c r="B79" t="s">
        <v>226</v>
      </c>
    </row>
    <row r="80" spans="1:2" x14ac:dyDescent="0.35">
      <c r="A80" t="s">
        <v>227</v>
      </c>
      <c r="B80" t="s">
        <v>228</v>
      </c>
    </row>
    <row r="81" spans="1:2" x14ac:dyDescent="0.35">
      <c r="A81" t="s">
        <v>229</v>
      </c>
      <c r="B81" t="s">
        <v>230</v>
      </c>
    </row>
    <row r="82" spans="1:2" x14ac:dyDescent="0.35">
      <c r="A82" t="s">
        <v>231</v>
      </c>
      <c r="B82" t="s">
        <v>232</v>
      </c>
    </row>
    <row r="83" spans="1:2" x14ac:dyDescent="0.35">
      <c r="A83" t="s">
        <v>233</v>
      </c>
      <c r="B83" t="s">
        <v>234</v>
      </c>
    </row>
    <row r="84" spans="1:2" x14ac:dyDescent="0.35">
      <c r="A84" t="s">
        <v>235</v>
      </c>
      <c r="B84" t="s">
        <v>236</v>
      </c>
    </row>
    <row r="85" spans="1:2" x14ac:dyDescent="0.35">
      <c r="A85" t="s">
        <v>237</v>
      </c>
      <c r="B85" t="s">
        <v>238</v>
      </c>
    </row>
    <row r="86" spans="1:2" x14ac:dyDescent="0.35">
      <c r="A86" s="46" t="s">
        <v>239</v>
      </c>
      <c r="B86" t="s">
        <v>240</v>
      </c>
    </row>
    <row r="87" spans="1:2" x14ac:dyDescent="0.35">
      <c r="A87" s="46" t="s">
        <v>241</v>
      </c>
      <c r="B87" t="s">
        <v>242</v>
      </c>
    </row>
    <row r="88" spans="1:2" x14ac:dyDescent="0.35">
      <c r="A88" s="46" t="s">
        <v>243</v>
      </c>
      <c r="B88" t="s">
        <v>244</v>
      </c>
    </row>
    <row r="89" spans="1:2" x14ac:dyDescent="0.35">
      <c r="A89" t="s">
        <v>245</v>
      </c>
      <c r="B89" t="s">
        <v>246</v>
      </c>
    </row>
    <row r="90" spans="1:2" x14ac:dyDescent="0.35">
      <c r="A90" t="s">
        <v>247</v>
      </c>
      <c r="B90" t="s">
        <v>248</v>
      </c>
    </row>
    <row r="91" spans="1:2" x14ac:dyDescent="0.35">
      <c r="A91" s="46" t="s">
        <v>249</v>
      </c>
      <c r="B91" t="s">
        <v>250</v>
      </c>
    </row>
    <row r="92" spans="1:2" x14ac:dyDescent="0.35">
      <c r="A92" s="46" t="s">
        <v>251</v>
      </c>
      <c r="B92" t="s">
        <v>252</v>
      </c>
    </row>
    <row r="93" spans="1:2" x14ac:dyDescent="0.35">
      <c r="A93" s="46" t="s">
        <v>253</v>
      </c>
      <c r="B93" t="s">
        <v>254</v>
      </c>
    </row>
    <row r="94" spans="1:2" x14ac:dyDescent="0.35">
      <c r="A94" t="s">
        <v>255</v>
      </c>
      <c r="B94" t="s">
        <v>256</v>
      </c>
    </row>
    <row r="95" spans="1:2" x14ac:dyDescent="0.35">
      <c r="A95" t="s">
        <v>257</v>
      </c>
      <c r="B95" t="s">
        <v>258</v>
      </c>
    </row>
    <row r="96" spans="1:2" x14ac:dyDescent="0.35">
      <c r="A96" t="s">
        <v>259</v>
      </c>
      <c r="B96" t="s">
        <v>260</v>
      </c>
    </row>
    <row r="97" spans="1:2" x14ac:dyDescent="0.35">
      <c r="A97" t="s">
        <v>261</v>
      </c>
      <c r="B97" t="s">
        <v>262</v>
      </c>
    </row>
    <row r="98" spans="1:2" x14ac:dyDescent="0.35">
      <c r="A98" t="s">
        <v>263</v>
      </c>
      <c r="B98" t="s">
        <v>264</v>
      </c>
    </row>
    <row r="99" spans="1:2" x14ac:dyDescent="0.35">
      <c r="A99" t="s">
        <v>265</v>
      </c>
      <c r="B99" t="s">
        <v>266</v>
      </c>
    </row>
    <row r="100" spans="1:2" x14ac:dyDescent="0.35">
      <c r="A100" t="s">
        <v>267</v>
      </c>
      <c r="B100" t="s">
        <v>268</v>
      </c>
    </row>
    <row r="101" spans="1:2" x14ac:dyDescent="0.35">
      <c r="A101" t="s">
        <v>269</v>
      </c>
      <c r="B101" t="s">
        <v>270</v>
      </c>
    </row>
    <row r="102" spans="1:2" x14ac:dyDescent="0.35">
      <c r="A102" t="s">
        <v>271</v>
      </c>
      <c r="B102" t="s">
        <v>272</v>
      </c>
    </row>
    <row r="103" spans="1:2" x14ac:dyDescent="0.35">
      <c r="A103" t="s">
        <v>273</v>
      </c>
      <c r="B103" t="s">
        <v>274</v>
      </c>
    </row>
    <row r="104" spans="1:2" x14ac:dyDescent="0.35">
      <c r="A104" t="s">
        <v>275</v>
      </c>
      <c r="B104" t="s">
        <v>276</v>
      </c>
    </row>
    <row r="105" spans="1:2" x14ac:dyDescent="0.35">
      <c r="A105" t="s">
        <v>277</v>
      </c>
      <c r="B105" t="s">
        <v>278</v>
      </c>
    </row>
    <row r="106" spans="1:2" x14ac:dyDescent="0.35">
      <c r="A106" t="s">
        <v>279</v>
      </c>
      <c r="B106" t="s">
        <v>280</v>
      </c>
    </row>
    <row r="107" spans="1:2" x14ac:dyDescent="0.35">
      <c r="A107" t="s">
        <v>281</v>
      </c>
      <c r="B107" t="s">
        <v>282</v>
      </c>
    </row>
    <row r="108" spans="1:2" x14ac:dyDescent="0.35">
      <c r="A108" t="s">
        <v>283</v>
      </c>
      <c r="B108" t="s">
        <v>284</v>
      </c>
    </row>
    <row r="109" spans="1:2" x14ac:dyDescent="0.35">
      <c r="A109" t="s">
        <v>285</v>
      </c>
      <c r="B109" t="s">
        <v>286</v>
      </c>
    </row>
    <row r="110" spans="1:2" x14ac:dyDescent="0.35">
      <c r="A110" s="46" t="s">
        <v>287</v>
      </c>
      <c r="B110" t="s">
        <v>288</v>
      </c>
    </row>
    <row r="111" spans="1:2" x14ac:dyDescent="0.35">
      <c r="A111" t="s">
        <v>289</v>
      </c>
      <c r="B111" t="s">
        <v>290</v>
      </c>
    </row>
    <row r="112" spans="1:2" x14ac:dyDescent="0.35">
      <c r="A112" t="s">
        <v>291</v>
      </c>
      <c r="B112" t="s">
        <v>292</v>
      </c>
    </row>
    <row r="113" spans="1:2" x14ac:dyDescent="0.35">
      <c r="A113" s="46" t="s">
        <v>293</v>
      </c>
      <c r="B113" t="s">
        <v>294</v>
      </c>
    </row>
    <row r="114" spans="1:2" x14ac:dyDescent="0.35">
      <c r="A114" t="s">
        <v>295</v>
      </c>
      <c r="B114" t="s">
        <v>296</v>
      </c>
    </row>
    <row r="115" spans="1:2" x14ac:dyDescent="0.35">
      <c r="A115" t="s">
        <v>297</v>
      </c>
      <c r="B115" t="s">
        <v>298</v>
      </c>
    </row>
    <row r="116" spans="1:2" x14ac:dyDescent="0.35">
      <c r="A116" s="46" t="s">
        <v>299</v>
      </c>
      <c r="B116" t="s">
        <v>300</v>
      </c>
    </row>
    <row r="117" spans="1:2" x14ac:dyDescent="0.35">
      <c r="A117" t="s">
        <v>301</v>
      </c>
      <c r="B117" t="s">
        <v>302</v>
      </c>
    </row>
    <row r="118" spans="1:2" x14ac:dyDescent="0.35">
      <c r="A118" t="s">
        <v>303</v>
      </c>
      <c r="B118" t="s">
        <v>304</v>
      </c>
    </row>
    <row r="119" spans="1:2" x14ac:dyDescent="0.35">
      <c r="A119" t="s">
        <v>305</v>
      </c>
      <c r="B119" t="s">
        <v>306</v>
      </c>
    </row>
    <row r="120" spans="1:2" x14ac:dyDescent="0.35">
      <c r="A120" t="s">
        <v>307</v>
      </c>
      <c r="B120" t="s">
        <v>308</v>
      </c>
    </row>
    <row r="121" spans="1:2" x14ac:dyDescent="0.35">
      <c r="A121" t="s">
        <v>309</v>
      </c>
      <c r="B121" t="s">
        <v>310</v>
      </c>
    </row>
    <row r="122" spans="1:2" x14ac:dyDescent="0.35">
      <c r="A122" t="s">
        <v>311</v>
      </c>
      <c r="B122" t="s">
        <v>312</v>
      </c>
    </row>
    <row r="123" spans="1:2" x14ac:dyDescent="0.35">
      <c r="A123" t="s">
        <v>313</v>
      </c>
      <c r="B123" t="s">
        <v>314</v>
      </c>
    </row>
    <row r="124" spans="1:2" x14ac:dyDescent="0.35">
      <c r="A124" t="s">
        <v>315</v>
      </c>
      <c r="B124" t="s">
        <v>316</v>
      </c>
    </row>
    <row r="125" spans="1:2" x14ac:dyDescent="0.35">
      <c r="A125" t="s">
        <v>317</v>
      </c>
      <c r="B125" t="s">
        <v>318</v>
      </c>
    </row>
    <row r="126" spans="1:2" x14ac:dyDescent="0.35">
      <c r="A126" t="s">
        <v>319</v>
      </c>
      <c r="B126" t="s">
        <v>320</v>
      </c>
    </row>
    <row r="127" spans="1:2" x14ac:dyDescent="0.35">
      <c r="A127" t="s">
        <v>321</v>
      </c>
      <c r="B127" t="s">
        <v>322</v>
      </c>
    </row>
    <row r="128" spans="1:2" x14ac:dyDescent="0.35">
      <c r="A128" t="s">
        <v>323</v>
      </c>
      <c r="B128" t="s">
        <v>324</v>
      </c>
    </row>
    <row r="129" spans="1:2" x14ac:dyDescent="0.35">
      <c r="A129" t="s">
        <v>325</v>
      </c>
      <c r="B129" t="s">
        <v>326</v>
      </c>
    </row>
    <row r="130" spans="1:2" x14ac:dyDescent="0.35">
      <c r="A130" t="s">
        <v>327</v>
      </c>
      <c r="B130" t="s">
        <v>328</v>
      </c>
    </row>
    <row r="131" spans="1:2" x14ac:dyDescent="0.35">
      <c r="A131" t="s">
        <v>329</v>
      </c>
      <c r="B131" t="s">
        <v>330</v>
      </c>
    </row>
    <row r="132" spans="1:2" x14ac:dyDescent="0.35">
      <c r="A132" t="s">
        <v>331</v>
      </c>
      <c r="B132" t="s">
        <v>332</v>
      </c>
    </row>
    <row r="133" spans="1:2" x14ac:dyDescent="0.35">
      <c r="A133" t="s">
        <v>333</v>
      </c>
      <c r="B133" t="s">
        <v>334</v>
      </c>
    </row>
    <row r="134" spans="1:2" x14ac:dyDescent="0.35">
      <c r="A134" t="s">
        <v>335</v>
      </c>
      <c r="B134" t="s">
        <v>336</v>
      </c>
    </row>
    <row r="135" spans="1:2" x14ac:dyDescent="0.35">
      <c r="A135" t="s">
        <v>337</v>
      </c>
      <c r="B135" t="s">
        <v>338</v>
      </c>
    </row>
    <row r="136" spans="1:2" x14ac:dyDescent="0.35">
      <c r="A136" t="s">
        <v>339</v>
      </c>
      <c r="B136" t="s">
        <v>340</v>
      </c>
    </row>
    <row r="137" spans="1:2" x14ac:dyDescent="0.35">
      <c r="A137" t="s">
        <v>341</v>
      </c>
      <c r="B137" t="s">
        <v>342</v>
      </c>
    </row>
    <row r="138" spans="1:2" x14ac:dyDescent="0.35">
      <c r="A138" t="s">
        <v>343</v>
      </c>
      <c r="B138" t="s">
        <v>344</v>
      </c>
    </row>
    <row r="139" spans="1:2" x14ac:dyDescent="0.35">
      <c r="A139" t="s">
        <v>345</v>
      </c>
      <c r="B139" t="s">
        <v>346</v>
      </c>
    </row>
    <row r="140" spans="1:2" x14ac:dyDescent="0.35">
      <c r="A140" t="s">
        <v>347</v>
      </c>
      <c r="B140" t="s">
        <v>348</v>
      </c>
    </row>
    <row r="141" spans="1:2" x14ac:dyDescent="0.35">
      <c r="A141" t="s">
        <v>349</v>
      </c>
      <c r="B141" t="s">
        <v>350</v>
      </c>
    </row>
    <row r="142" spans="1:2" x14ac:dyDescent="0.35">
      <c r="A142" t="s">
        <v>351</v>
      </c>
      <c r="B142" t="s">
        <v>352</v>
      </c>
    </row>
    <row r="143" spans="1:2" x14ac:dyDescent="0.35">
      <c r="A143" t="s">
        <v>353</v>
      </c>
      <c r="B143" t="s">
        <v>354</v>
      </c>
    </row>
    <row r="144" spans="1:2" x14ac:dyDescent="0.35">
      <c r="A144" t="s">
        <v>355</v>
      </c>
      <c r="B144" t="s">
        <v>356</v>
      </c>
    </row>
    <row r="145" spans="1:2" x14ac:dyDescent="0.35">
      <c r="A145" t="s">
        <v>357</v>
      </c>
      <c r="B145" t="s">
        <v>358</v>
      </c>
    </row>
    <row r="146" spans="1:2" x14ac:dyDescent="0.35">
      <c r="A146" t="s">
        <v>359</v>
      </c>
      <c r="B146" t="s">
        <v>360</v>
      </c>
    </row>
    <row r="147" spans="1:2" x14ac:dyDescent="0.35">
      <c r="A147" t="s">
        <v>361</v>
      </c>
      <c r="B147" t="s">
        <v>362</v>
      </c>
    </row>
    <row r="148" spans="1:2" x14ac:dyDescent="0.35">
      <c r="A148" t="s">
        <v>363</v>
      </c>
      <c r="B148" t="s">
        <v>364</v>
      </c>
    </row>
    <row r="149" spans="1:2" x14ac:dyDescent="0.35">
      <c r="A149" t="s">
        <v>365</v>
      </c>
      <c r="B149" t="s">
        <v>366</v>
      </c>
    </row>
    <row r="150" spans="1:2" x14ac:dyDescent="0.35">
      <c r="A150" t="s">
        <v>367</v>
      </c>
      <c r="B150" t="s">
        <v>368</v>
      </c>
    </row>
    <row r="151" spans="1:2" x14ac:dyDescent="0.35">
      <c r="A151" t="s">
        <v>369</v>
      </c>
      <c r="B151" t="s">
        <v>370</v>
      </c>
    </row>
    <row r="152" spans="1:2" x14ac:dyDescent="0.35">
      <c r="A152" t="s">
        <v>371</v>
      </c>
      <c r="B152" t="s">
        <v>372</v>
      </c>
    </row>
    <row r="153" spans="1:2" x14ac:dyDescent="0.35">
      <c r="A153" t="s">
        <v>373</v>
      </c>
      <c r="B153" t="s">
        <v>374</v>
      </c>
    </row>
    <row r="154" spans="1:2" x14ac:dyDescent="0.35">
      <c r="A154" t="s">
        <v>375</v>
      </c>
      <c r="B154" t="s">
        <v>376</v>
      </c>
    </row>
    <row r="155" spans="1:2" x14ac:dyDescent="0.35">
      <c r="A155" t="s">
        <v>377</v>
      </c>
      <c r="B155" t="s">
        <v>378</v>
      </c>
    </row>
    <row r="156" spans="1:2" x14ac:dyDescent="0.35">
      <c r="A156" t="s">
        <v>379</v>
      </c>
      <c r="B156" t="s">
        <v>380</v>
      </c>
    </row>
    <row r="157" spans="1:2" x14ac:dyDescent="0.35">
      <c r="A157" t="s">
        <v>381</v>
      </c>
      <c r="B157" t="s">
        <v>382</v>
      </c>
    </row>
    <row r="158" spans="1:2" x14ac:dyDescent="0.35">
      <c r="A158" t="s">
        <v>383</v>
      </c>
      <c r="B158" t="s">
        <v>384</v>
      </c>
    </row>
    <row r="159" spans="1:2" x14ac:dyDescent="0.35">
      <c r="A159" t="s">
        <v>385</v>
      </c>
      <c r="B159" t="s">
        <v>386</v>
      </c>
    </row>
    <row r="160" spans="1:2" x14ac:dyDescent="0.35">
      <c r="A160" t="s">
        <v>387</v>
      </c>
      <c r="B160" t="s">
        <v>388</v>
      </c>
    </row>
    <row r="161" spans="1:2" x14ac:dyDescent="0.35">
      <c r="A161" t="s">
        <v>389</v>
      </c>
      <c r="B161" t="s">
        <v>390</v>
      </c>
    </row>
    <row r="162" spans="1:2" x14ac:dyDescent="0.35">
      <c r="A162" t="s">
        <v>391</v>
      </c>
      <c r="B162" t="s">
        <v>392</v>
      </c>
    </row>
    <row r="163" spans="1:2" x14ac:dyDescent="0.35">
      <c r="A163" t="s">
        <v>393</v>
      </c>
      <c r="B163" t="s">
        <v>394</v>
      </c>
    </row>
    <row r="164" spans="1:2" x14ac:dyDescent="0.35">
      <c r="A164" t="s">
        <v>395</v>
      </c>
      <c r="B164" t="s">
        <v>396</v>
      </c>
    </row>
    <row r="165" spans="1:2" x14ac:dyDescent="0.35">
      <c r="A165" t="s">
        <v>397</v>
      </c>
      <c r="B165" t="s">
        <v>398</v>
      </c>
    </row>
    <row r="166" spans="1:2" x14ac:dyDescent="0.35">
      <c r="A166" t="s">
        <v>399</v>
      </c>
      <c r="B166" t="s">
        <v>400</v>
      </c>
    </row>
    <row r="167" spans="1:2" x14ac:dyDescent="0.35">
      <c r="A167" t="s">
        <v>401</v>
      </c>
      <c r="B167" t="s">
        <v>402</v>
      </c>
    </row>
    <row r="168" spans="1:2" x14ac:dyDescent="0.35">
      <c r="A168" t="s">
        <v>403</v>
      </c>
      <c r="B168" t="s">
        <v>404</v>
      </c>
    </row>
    <row r="169" spans="1:2" x14ac:dyDescent="0.35">
      <c r="A169" t="s">
        <v>405</v>
      </c>
      <c r="B169" t="s">
        <v>406</v>
      </c>
    </row>
    <row r="170" spans="1:2" x14ac:dyDescent="0.35">
      <c r="A170" t="s">
        <v>407</v>
      </c>
      <c r="B170" t="s">
        <v>408</v>
      </c>
    </row>
    <row r="171" spans="1:2" x14ac:dyDescent="0.35">
      <c r="A171" t="s">
        <v>409</v>
      </c>
      <c r="B171" t="s">
        <v>410</v>
      </c>
    </row>
    <row r="172" spans="1:2" x14ac:dyDescent="0.35">
      <c r="A172" t="s">
        <v>411</v>
      </c>
      <c r="B172" t="s">
        <v>412</v>
      </c>
    </row>
    <row r="173" spans="1:2" x14ac:dyDescent="0.35">
      <c r="A173" t="s">
        <v>413</v>
      </c>
      <c r="B173" t="s">
        <v>414</v>
      </c>
    </row>
    <row r="174" spans="1:2" x14ac:dyDescent="0.35">
      <c r="A174" t="s">
        <v>415</v>
      </c>
      <c r="B174" t="s">
        <v>416</v>
      </c>
    </row>
    <row r="175" spans="1:2" x14ac:dyDescent="0.35">
      <c r="A175" t="s">
        <v>417</v>
      </c>
      <c r="B175" t="s">
        <v>418</v>
      </c>
    </row>
    <row r="176" spans="1:2" x14ac:dyDescent="0.35">
      <c r="A176" t="s">
        <v>419</v>
      </c>
      <c r="B176" t="s">
        <v>420</v>
      </c>
    </row>
    <row r="177" spans="1:2" x14ac:dyDescent="0.35">
      <c r="A177" t="s">
        <v>421</v>
      </c>
      <c r="B177" t="s">
        <v>422</v>
      </c>
    </row>
    <row r="178" spans="1:2" x14ac:dyDescent="0.35">
      <c r="A178" t="s">
        <v>423</v>
      </c>
      <c r="B178" t="s">
        <v>424</v>
      </c>
    </row>
    <row r="179" spans="1:2" x14ac:dyDescent="0.35">
      <c r="A179" t="s">
        <v>425</v>
      </c>
      <c r="B179" t="s">
        <v>426</v>
      </c>
    </row>
    <row r="180" spans="1:2" x14ac:dyDescent="0.35">
      <c r="A180" t="s">
        <v>427</v>
      </c>
      <c r="B180" t="s">
        <v>428</v>
      </c>
    </row>
    <row r="181" spans="1:2" x14ac:dyDescent="0.35">
      <c r="A181" t="s">
        <v>429</v>
      </c>
      <c r="B181" t="s">
        <v>430</v>
      </c>
    </row>
    <row r="182" spans="1:2" x14ac:dyDescent="0.35">
      <c r="A182" t="s">
        <v>431</v>
      </c>
      <c r="B182" t="s">
        <v>432</v>
      </c>
    </row>
    <row r="183" spans="1:2" x14ac:dyDescent="0.35">
      <c r="A183" t="s">
        <v>433</v>
      </c>
      <c r="B183" t="s">
        <v>434</v>
      </c>
    </row>
    <row r="184" spans="1:2" x14ac:dyDescent="0.35">
      <c r="A184" t="s">
        <v>435</v>
      </c>
      <c r="B184" t="s">
        <v>436</v>
      </c>
    </row>
    <row r="185" spans="1:2" x14ac:dyDescent="0.35">
      <c r="A185" t="s">
        <v>437</v>
      </c>
      <c r="B185" t="s">
        <v>438</v>
      </c>
    </row>
    <row r="186" spans="1:2" x14ac:dyDescent="0.35">
      <c r="A186" t="s">
        <v>439</v>
      </c>
      <c r="B186" t="s">
        <v>440</v>
      </c>
    </row>
    <row r="187" spans="1:2" x14ac:dyDescent="0.35">
      <c r="A187" t="s">
        <v>441</v>
      </c>
      <c r="B187" t="s">
        <v>442</v>
      </c>
    </row>
    <row r="188" spans="1:2" x14ac:dyDescent="0.35">
      <c r="A188" t="s">
        <v>443</v>
      </c>
      <c r="B188" t="s">
        <v>444</v>
      </c>
    </row>
    <row r="189" spans="1:2" x14ac:dyDescent="0.35">
      <c r="A189" t="s">
        <v>445</v>
      </c>
      <c r="B189" t="s">
        <v>446</v>
      </c>
    </row>
    <row r="190" spans="1:2" x14ac:dyDescent="0.35">
      <c r="A190" t="s">
        <v>447</v>
      </c>
      <c r="B190" t="s">
        <v>448</v>
      </c>
    </row>
    <row r="191" spans="1:2" x14ac:dyDescent="0.35">
      <c r="A191" t="s">
        <v>449</v>
      </c>
      <c r="B191" t="s">
        <v>450</v>
      </c>
    </row>
    <row r="192" spans="1:2" x14ac:dyDescent="0.35">
      <c r="A192" t="s">
        <v>451</v>
      </c>
      <c r="B192" t="s">
        <v>452</v>
      </c>
    </row>
    <row r="193" spans="1:2" x14ac:dyDescent="0.35">
      <c r="A193" t="s">
        <v>453</v>
      </c>
      <c r="B193" t="s">
        <v>454</v>
      </c>
    </row>
    <row r="194" spans="1:2" x14ac:dyDescent="0.35">
      <c r="A194" t="s">
        <v>455</v>
      </c>
      <c r="B194" t="s">
        <v>456</v>
      </c>
    </row>
    <row r="195" spans="1:2" x14ac:dyDescent="0.35">
      <c r="A195" t="s">
        <v>457</v>
      </c>
      <c r="B195" t="s">
        <v>458</v>
      </c>
    </row>
    <row r="196" spans="1:2" x14ac:dyDescent="0.35">
      <c r="A196" t="s">
        <v>459</v>
      </c>
      <c r="B196" t="s">
        <v>460</v>
      </c>
    </row>
    <row r="197" spans="1:2" x14ac:dyDescent="0.35">
      <c r="A197" t="s">
        <v>461</v>
      </c>
      <c r="B197" t="s">
        <v>462</v>
      </c>
    </row>
    <row r="198" spans="1:2" x14ac:dyDescent="0.35">
      <c r="A198" t="s">
        <v>463</v>
      </c>
      <c r="B198" t="s">
        <v>464</v>
      </c>
    </row>
    <row r="199" spans="1:2" x14ac:dyDescent="0.35">
      <c r="A199" t="s">
        <v>465</v>
      </c>
      <c r="B199" t="s">
        <v>466</v>
      </c>
    </row>
    <row r="200" spans="1:2" x14ac:dyDescent="0.35">
      <c r="A200" t="s">
        <v>467</v>
      </c>
      <c r="B200" t="s">
        <v>468</v>
      </c>
    </row>
    <row r="201" spans="1:2" x14ac:dyDescent="0.35">
      <c r="A201" t="s">
        <v>469</v>
      </c>
      <c r="B201" t="s">
        <v>470</v>
      </c>
    </row>
    <row r="202" spans="1:2" x14ac:dyDescent="0.35">
      <c r="A202" t="s">
        <v>471</v>
      </c>
      <c r="B202" t="s">
        <v>472</v>
      </c>
    </row>
    <row r="203" spans="1:2" x14ac:dyDescent="0.35">
      <c r="A203" t="s">
        <v>473</v>
      </c>
      <c r="B203" t="s">
        <v>474</v>
      </c>
    </row>
    <row r="204" spans="1:2" x14ac:dyDescent="0.35">
      <c r="A204" t="s">
        <v>475</v>
      </c>
      <c r="B204" t="s">
        <v>476</v>
      </c>
    </row>
    <row r="205" spans="1:2" x14ac:dyDescent="0.35">
      <c r="A205" t="s">
        <v>477</v>
      </c>
      <c r="B205" t="s">
        <v>478</v>
      </c>
    </row>
    <row r="206" spans="1:2" x14ac:dyDescent="0.35">
      <c r="A206" t="s">
        <v>479</v>
      </c>
      <c r="B206" t="s">
        <v>480</v>
      </c>
    </row>
    <row r="207" spans="1:2" x14ac:dyDescent="0.35">
      <c r="A207" t="s">
        <v>481</v>
      </c>
      <c r="B207" t="s">
        <v>482</v>
      </c>
    </row>
    <row r="208" spans="1:2" x14ac:dyDescent="0.35">
      <c r="A208" t="s">
        <v>483</v>
      </c>
      <c r="B208" t="s">
        <v>484</v>
      </c>
    </row>
    <row r="209" spans="1:2" x14ac:dyDescent="0.35">
      <c r="A209" t="s">
        <v>485</v>
      </c>
      <c r="B209" t="s">
        <v>486</v>
      </c>
    </row>
    <row r="210" spans="1:2" x14ac:dyDescent="0.35">
      <c r="A210" t="s">
        <v>487</v>
      </c>
      <c r="B210" t="s">
        <v>488</v>
      </c>
    </row>
    <row r="211" spans="1:2" x14ac:dyDescent="0.35">
      <c r="A211" t="s">
        <v>489</v>
      </c>
      <c r="B211" t="s">
        <v>490</v>
      </c>
    </row>
    <row r="212" spans="1:2" x14ac:dyDescent="0.35">
      <c r="A212" t="s">
        <v>491</v>
      </c>
      <c r="B212" t="s">
        <v>492</v>
      </c>
    </row>
    <row r="213" spans="1:2" x14ac:dyDescent="0.35">
      <c r="A213" t="s">
        <v>493</v>
      </c>
      <c r="B213" t="s">
        <v>494</v>
      </c>
    </row>
    <row r="214" spans="1:2" x14ac:dyDescent="0.35">
      <c r="A214" t="s">
        <v>495</v>
      </c>
      <c r="B214" t="s">
        <v>496</v>
      </c>
    </row>
    <row r="215" spans="1:2" x14ac:dyDescent="0.35">
      <c r="A215" t="s">
        <v>497</v>
      </c>
      <c r="B215" t="s">
        <v>498</v>
      </c>
    </row>
    <row r="216" spans="1:2" x14ac:dyDescent="0.35">
      <c r="A216" t="s">
        <v>499</v>
      </c>
      <c r="B216" t="s">
        <v>500</v>
      </c>
    </row>
    <row r="217" spans="1:2" x14ac:dyDescent="0.35">
      <c r="A217" t="s">
        <v>501</v>
      </c>
      <c r="B217" t="s">
        <v>502</v>
      </c>
    </row>
    <row r="218" spans="1:2" x14ac:dyDescent="0.35">
      <c r="A218" t="s">
        <v>503</v>
      </c>
      <c r="B218" t="s">
        <v>504</v>
      </c>
    </row>
    <row r="219" spans="1:2" x14ac:dyDescent="0.35">
      <c r="A219" t="s">
        <v>505</v>
      </c>
      <c r="B219" t="s">
        <v>506</v>
      </c>
    </row>
    <row r="220" spans="1:2" x14ac:dyDescent="0.35">
      <c r="A220" t="s">
        <v>507</v>
      </c>
      <c r="B220" t="s">
        <v>508</v>
      </c>
    </row>
    <row r="221" spans="1:2" x14ac:dyDescent="0.35">
      <c r="A221" t="s">
        <v>509</v>
      </c>
      <c r="B221" t="s">
        <v>510</v>
      </c>
    </row>
    <row r="222" spans="1:2" x14ac:dyDescent="0.35">
      <c r="A222" t="s">
        <v>511</v>
      </c>
      <c r="B222" t="s">
        <v>512</v>
      </c>
    </row>
    <row r="223" spans="1:2" x14ac:dyDescent="0.35">
      <c r="A223" t="s">
        <v>513</v>
      </c>
      <c r="B223" t="s">
        <v>514</v>
      </c>
    </row>
    <row r="224" spans="1:2" x14ac:dyDescent="0.35">
      <c r="A224" t="s">
        <v>515</v>
      </c>
      <c r="B224" t="s">
        <v>516</v>
      </c>
    </row>
    <row r="225" spans="1:2" x14ac:dyDescent="0.35">
      <c r="A225" t="s">
        <v>517</v>
      </c>
      <c r="B225" t="s">
        <v>518</v>
      </c>
    </row>
    <row r="226" spans="1:2" x14ac:dyDescent="0.35">
      <c r="A226" t="s">
        <v>519</v>
      </c>
      <c r="B226" t="s">
        <v>520</v>
      </c>
    </row>
    <row r="227" spans="1:2" x14ac:dyDescent="0.35">
      <c r="A227" t="s">
        <v>521</v>
      </c>
      <c r="B227" t="s">
        <v>214</v>
      </c>
    </row>
    <row r="228" spans="1:2" x14ac:dyDescent="0.35">
      <c r="A228" t="s">
        <v>522</v>
      </c>
      <c r="B228" t="s">
        <v>523</v>
      </c>
    </row>
    <row r="229" spans="1:2" x14ac:dyDescent="0.35">
      <c r="A229" t="s">
        <v>524</v>
      </c>
      <c r="B229" t="s">
        <v>525</v>
      </c>
    </row>
    <row r="230" spans="1:2" x14ac:dyDescent="0.35">
      <c r="A230" t="s">
        <v>526</v>
      </c>
      <c r="B230" t="s">
        <v>527</v>
      </c>
    </row>
    <row r="231" spans="1:2" x14ac:dyDescent="0.35">
      <c r="A231" t="s">
        <v>528</v>
      </c>
      <c r="B231" t="s">
        <v>529</v>
      </c>
    </row>
    <row r="232" spans="1:2" x14ac:dyDescent="0.35">
      <c r="A232" t="s">
        <v>530</v>
      </c>
      <c r="B232" t="s">
        <v>531</v>
      </c>
    </row>
    <row r="233" spans="1:2" x14ac:dyDescent="0.35">
      <c r="A233" t="s">
        <v>532</v>
      </c>
      <c r="B233" t="s">
        <v>533</v>
      </c>
    </row>
    <row r="234" spans="1:2" x14ac:dyDescent="0.35">
      <c r="A234" t="s">
        <v>534</v>
      </c>
      <c r="B234" t="s">
        <v>535</v>
      </c>
    </row>
    <row r="235" spans="1:2" x14ac:dyDescent="0.35">
      <c r="A235" t="s">
        <v>536</v>
      </c>
      <c r="B235" t="s">
        <v>537</v>
      </c>
    </row>
    <row r="236" spans="1:2" x14ac:dyDescent="0.35">
      <c r="A236" t="s">
        <v>538</v>
      </c>
      <c r="B236" t="s">
        <v>539</v>
      </c>
    </row>
    <row r="237" spans="1:2" x14ac:dyDescent="0.35">
      <c r="A237" t="s">
        <v>540</v>
      </c>
      <c r="B237" t="s">
        <v>541</v>
      </c>
    </row>
    <row r="238" spans="1:2" x14ac:dyDescent="0.35">
      <c r="A238" t="s">
        <v>542</v>
      </c>
      <c r="B238" t="s">
        <v>543</v>
      </c>
    </row>
    <row r="239" spans="1:2" x14ac:dyDescent="0.35">
      <c r="A239" t="s">
        <v>544</v>
      </c>
      <c r="B239" t="s">
        <v>545</v>
      </c>
    </row>
    <row r="240" spans="1:2" x14ac:dyDescent="0.35">
      <c r="A240" t="s">
        <v>546</v>
      </c>
      <c r="B240" t="s">
        <v>547</v>
      </c>
    </row>
    <row r="241" spans="1:2" x14ac:dyDescent="0.35">
      <c r="A241" t="s">
        <v>548</v>
      </c>
      <c r="B241" t="s">
        <v>549</v>
      </c>
    </row>
    <row r="242" spans="1:2" x14ac:dyDescent="0.35">
      <c r="A242" t="s">
        <v>550</v>
      </c>
      <c r="B242" t="s">
        <v>551</v>
      </c>
    </row>
    <row r="243" spans="1:2" x14ac:dyDescent="0.35">
      <c r="A243" t="s">
        <v>552</v>
      </c>
      <c r="B243" t="s">
        <v>553</v>
      </c>
    </row>
    <row r="244" spans="1:2" x14ac:dyDescent="0.35">
      <c r="A244" t="s">
        <v>554</v>
      </c>
      <c r="B244" t="s">
        <v>555</v>
      </c>
    </row>
    <row r="245" spans="1:2" x14ac:dyDescent="0.35">
      <c r="A245" t="s">
        <v>556</v>
      </c>
      <c r="B245" t="s">
        <v>557</v>
      </c>
    </row>
    <row r="246" spans="1:2" x14ac:dyDescent="0.35">
      <c r="A246" t="s">
        <v>558</v>
      </c>
      <c r="B246" t="s">
        <v>559</v>
      </c>
    </row>
    <row r="247" spans="1:2" x14ac:dyDescent="0.35">
      <c r="A247" t="s">
        <v>560</v>
      </c>
      <c r="B247" t="s">
        <v>561</v>
      </c>
    </row>
    <row r="248" spans="1:2" x14ac:dyDescent="0.35">
      <c r="A248" t="s">
        <v>562</v>
      </c>
      <c r="B248" t="s">
        <v>563</v>
      </c>
    </row>
    <row r="249" spans="1:2" x14ac:dyDescent="0.35">
      <c r="A249" t="s">
        <v>564</v>
      </c>
      <c r="B249" t="s">
        <v>565</v>
      </c>
    </row>
    <row r="250" spans="1:2" x14ac:dyDescent="0.35">
      <c r="A250" t="s">
        <v>566</v>
      </c>
      <c r="B250" t="s">
        <v>567</v>
      </c>
    </row>
    <row r="251" spans="1:2" x14ac:dyDescent="0.35">
      <c r="A251" t="s">
        <v>568</v>
      </c>
      <c r="B251" t="s">
        <v>569</v>
      </c>
    </row>
    <row r="252" spans="1:2" x14ac:dyDescent="0.35">
      <c r="A252" t="s">
        <v>570</v>
      </c>
      <c r="B252" t="s">
        <v>571</v>
      </c>
    </row>
    <row r="253" spans="1:2" x14ac:dyDescent="0.35">
      <c r="A253" t="s">
        <v>572</v>
      </c>
      <c r="B253" t="s">
        <v>573</v>
      </c>
    </row>
    <row r="254" spans="1:2" x14ac:dyDescent="0.35">
      <c r="A254" t="s">
        <v>574</v>
      </c>
      <c r="B254" t="s">
        <v>575</v>
      </c>
    </row>
    <row r="255" spans="1:2" x14ac:dyDescent="0.35">
      <c r="A255" t="s">
        <v>576</v>
      </c>
      <c r="B255" t="s">
        <v>577</v>
      </c>
    </row>
    <row r="256" spans="1:2" x14ac:dyDescent="0.35">
      <c r="A256" t="s">
        <v>578</v>
      </c>
      <c r="B256" t="s">
        <v>579</v>
      </c>
    </row>
    <row r="257" spans="1:2" x14ac:dyDescent="0.35">
      <c r="A257" t="s">
        <v>580</v>
      </c>
      <c r="B257" t="s">
        <v>581</v>
      </c>
    </row>
    <row r="258" spans="1:2" x14ac:dyDescent="0.35">
      <c r="A258" t="s">
        <v>582</v>
      </c>
      <c r="B258" t="s">
        <v>583</v>
      </c>
    </row>
    <row r="259" spans="1:2" x14ac:dyDescent="0.35">
      <c r="A259" t="s">
        <v>584</v>
      </c>
      <c r="B259" t="s">
        <v>585</v>
      </c>
    </row>
    <row r="260" spans="1:2" x14ac:dyDescent="0.35">
      <c r="A260" t="s">
        <v>586</v>
      </c>
      <c r="B260" t="s">
        <v>587</v>
      </c>
    </row>
    <row r="261" spans="1:2" x14ac:dyDescent="0.35">
      <c r="A261" t="s">
        <v>588</v>
      </c>
      <c r="B261" t="s">
        <v>589</v>
      </c>
    </row>
    <row r="262" spans="1:2" x14ac:dyDescent="0.35">
      <c r="A262" t="s">
        <v>590</v>
      </c>
      <c r="B262" t="s">
        <v>591</v>
      </c>
    </row>
    <row r="263" spans="1:2" x14ac:dyDescent="0.35">
      <c r="A263" t="s">
        <v>592</v>
      </c>
      <c r="B263" t="s">
        <v>593</v>
      </c>
    </row>
    <row r="264" spans="1:2" x14ac:dyDescent="0.35">
      <c r="A264" t="s">
        <v>594</v>
      </c>
      <c r="B264" t="s">
        <v>595</v>
      </c>
    </row>
    <row r="265" spans="1:2" x14ac:dyDescent="0.35">
      <c r="A265" t="s">
        <v>596</v>
      </c>
      <c r="B265" t="s">
        <v>597</v>
      </c>
    </row>
    <row r="266" spans="1:2" x14ac:dyDescent="0.35">
      <c r="A266" t="s">
        <v>598</v>
      </c>
      <c r="B266" t="s">
        <v>599</v>
      </c>
    </row>
    <row r="267" spans="1:2" x14ac:dyDescent="0.35">
      <c r="A267" t="s">
        <v>600</v>
      </c>
      <c r="B267" t="s">
        <v>601</v>
      </c>
    </row>
    <row r="268" spans="1:2" x14ac:dyDescent="0.35">
      <c r="A268" t="s">
        <v>602</v>
      </c>
      <c r="B268" t="s">
        <v>603</v>
      </c>
    </row>
    <row r="269" spans="1:2" x14ac:dyDescent="0.35">
      <c r="A269" t="s">
        <v>604</v>
      </c>
      <c r="B269" t="s">
        <v>605</v>
      </c>
    </row>
    <row r="270" spans="1:2" x14ac:dyDescent="0.35">
      <c r="A270" t="s">
        <v>606</v>
      </c>
      <c r="B270" t="s">
        <v>607</v>
      </c>
    </row>
    <row r="271" spans="1:2" x14ac:dyDescent="0.35">
      <c r="A271" t="s">
        <v>608</v>
      </c>
      <c r="B271" t="s">
        <v>609</v>
      </c>
    </row>
    <row r="272" spans="1:2" x14ac:dyDescent="0.35">
      <c r="A272" t="s">
        <v>610</v>
      </c>
      <c r="B272" t="s">
        <v>611</v>
      </c>
    </row>
    <row r="273" spans="1:2" x14ac:dyDescent="0.35">
      <c r="A273" t="s">
        <v>612</v>
      </c>
      <c r="B273" t="s">
        <v>613</v>
      </c>
    </row>
    <row r="274" spans="1:2" x14ac:dyDescent="0.35">
      <c r="A274" t="s">
        <v>614</v>
      </c>
      <c r="B274" t="s">
        <v>615</v>
      </c>
    </row>
    <row r="275" spans="1:2" x14ac:dyDescent="0.35">
      <c r="A275" t="s">
        <v>616</v>
      </c>
      <c r="B275" t="s">
        <v>617</v>
      </c>
    </row>
    <row r="276" spans="1:2" x14ac:dyDescent="0.35">
      <c r="A276" t="s">
        <v>618</v>
      </c>
      <c r="B276" t="s">
        <v>619</v>
      </c>
    </row>
    <row r="277" spans="1:2" x14ac:dyDescent="0.35">
      <c r="A277" t="s">
        <v>620</v>
      </c>
      <c r="B277" t="s">
        <v>621</v>
      </c>
    </row>
    <row r="278" spans="1:2" x14ac:dyDescent="0.35">
      <c r="A278" t="s">
        <v>622</v>
      </c>
      <c r="B278" t="s">
        <v>623</v>
      </c>
    </row>
    <row r="279" spans="1:2" x14ac:dyDescent="0.35">
      <c r="A279" t="s">
        <v>624</v>
      </c>
      <c r="B279" t="s">
        <v>625</v>
      </c>
    </row>
    <row r="280" spans="1:2" x14ac:dyDescent="0.35">
      <c r="A280" t="s">
        <v>626</v>
      </c>
      <c r="B280" t="s">
        <v>627</v>
      </c>
    </row>
    <row r="281" spans="1:2" x14ac:dyDescent="0.35">
      <c r="A281" t="s">
        <v>628</v>
      </c>
      <c r="B281" t="s">
        <v>629</v>
      </c>
    </row>
    <row r="282" spans="1:2" x14ac:dyDescent="0.35">
      <c r="A282" t="s">
        <v>630</v>
      </c>
      <c r="B282" t="s">
        <v>631</v>
      </c>
    </row>
    <row r="283" spans="1:2" x14ac:dyDescent="0.35">
      <c r="A283" t="s">
        <v>632</v>
      </c>
      <c r="B283" t="s">
        <v>633</v>
      </c>
    </row>
    <row r="284" spans="1:2" x14ac:dyDescent="0.35">
      <c r="A284" t="s">
        <v>634</v>
      </c>
      <c r="B284" t="s">
        <v>635</v>
      </c>
    </row>
    <row r="285" spans="1:2" x14ac:dyDescent="0.35">
      <c r="A285" t="s">
        <v>636</v>
      </c>
      <c r="B285" t="s">
        <v>637</v>
      </c>
    </row>
    <row r="286" spans="1:2" x14ac:dyDescent="0.35">
      <c r="A286" t="s">
        <v>638</v>
      </c>
      <c r="B286" t="s">
        <v>639</v>
      </c>
    </row>
    <row r="287" spans="1:2" x14ac:dyDescent="0.35">
      <c r="A287" t="s">
        <v>640</v>
      </c>
      <c r="B287" t="s">
        <v>641</v>
      </c>
    </row>
    <row r="288" spans="1:2" x14ac:dyDescent="0.35">
      <c r="A288" t="s">
        <v>642</v>
      </c>
      <c r="B288" t="s">
        <v>643</v>
      </c>
    </row>
    <row r="289" spans="1:2" x14ac:dyDescent="0.35">
      <c r="A289" t="s">
        <v>644</v>
      </c>
      <c r="B289" t="s">
        <v>645</v>
      </c>
    </row>
    <row r="290" spans="1:2" x14ac:dyDescent="0.35">
      <c r="A290" t="s">
        <v>646</v>
      </c>
      <c r="B290" t="s">
        <v>647</v>
      </c>
    </row>
    <row r="291" spans="1:2" x14ac:dyDescent="0.35">
      <c r="A291" t="s">
        <v>648</v>
      </c>
      <c r="B291" t="s">
        <v>649</v>
      </c>
    </row>
    <row r="292" spans="1:2" x14ac:dyDescent="0.35">
      <c r="A292" t="s">
        <v>650</v>
      </c>
      <c r="B292" t="s">
        <v>651</v>
      </c>
    </row>
    <row r="293" spans="1:2" x14ac:dyDescent="0.35">
      <c r="A293" t="s">
        <v>652</v>
      </c>
      <c r="B293" t="s">
        <v>653</v>
      </c>
    </row>
    <row r="294" spans="1:2" x14ac:dyDescent="0.35">
      <c r="A294" t="s">
        <v>654</v>
      </c>
      <c r="B294" t="s">
        <v>655</v>
      </c>
    </row>
    <row r="295" spans="1:2" x14ac:dyDescent="0.35">
      <c r="A295" t="s">
        <v>656</v>
      </c>
      <c r="B295" t="s">
        <v>657</v>
      </c>
    </row>
    <row r="296" spans="1:2" x14ac:dyDescent="0.35">
      <c r="A296" t="s">
        <v>658</v>
      </c>
      <c r="B296" t="s">
        <v>659</v>
      </c>
    </row>
    <row r="297" spans="1:2" x14ac:dyDescent="0.35">
      <c r="A297" t="s">
        <v>660</v>
      </c>
      <c r="B297" t="s">
        <v>661</v>
      </c>
    </row>
    <row r="298" spans="1:2" x14ac:dyDescent="0.35">
      <c r="A298" t="s">
        <v>662</v>
      </c>
      <c r="B298" t="s">
        <v>663</v>
      </c>
    </row>
    <row r="299" spans="1:2" x14ac:dyDescent="0.35">
      <c r="A299" t="s">
        <v>664</v>
      </c>
      <c r="B299" t="s">
        <v>665</v>
      </c>
    </row>
    <row r="300" spans="1:2" x14ac:dyDescent="0.35">
      <c r="A300" t="s">
        <v>666</v>
      </c>
      <c r="B300" t="s">
        <v>667</v>
      </c>
    </row>
    <row r="301" spans="1:2" x14ac:dyDescent="0.35">
      <c r="A301" t="s">
        <v>668</v>
      </c>
      <c r="B301" t="s">
        <v>669</v>
      </c>
    </row>
    <row r="302" spans="1:2" x14ac:dyDescent="0.35">
      <c r="A302" t="s">
        <v>670</v>
      </c>
      <c r="B302" t="s">
        <v>671</v>
      </c>
    </row>
    <row r="303" spans="1:2" x14ac:dyDescent="0.35">
      <c r="A303" t="s">
        <v>672</v>
      </c>
      <c r="B303" t="s">
        <v>673</v>
      </c>
    </row>
    <row r="304" spans="1:2" x14ac:dyDescent="0.35">
      <c r="A304" t="s">
        <v>674</v>
      </c>
      <c r="B304" t="s">
        <v>675</v>
      </c>
    </row>
    <row r="305" spans="1:2" x14ac:dyDescent="0.35">
      <c r="A305" t="s">
        <v>676</v>
      </c>
      <c r="B305" t="s">
        <v>677</v>
      </c>
    </row>
    <row r="306" spans="1:2" x14ac:dyDescent="0.35">
      <c r="A306" t="s">
        <v>678</v>
      </c>
      <c r="B306" t="s">
        <v>679</v>
      </c>
    </row>
    <row r="307" spans="1:2" x14ac:dyDescent="0.35">
      <c r="A307" t="s">
        <v>680</v>
      </c>
      <c r="B307" t="s">
        <v>681</v>
      </c>
    </row>
    <row r="308" spans="1:2" x14ac:dyDescent="0.35">
      <c r="A308" t="s">
        <v>682</v>
      </c>
      <c r="B308" t="s">
        <v>683</v>
      </c>
    </row>
    <row r="309" spans="1:2" x14ac:dyDescent="0.35">
      <c r="A309" t="s">
        <v>684</v>
      </c>
      <c r="B309" t="s">
        <v>685</v>
      </c>
    </row>
    <row r="310" spans="1:2" x14ac:dyDescent="0.35">
      <c r="A310" s="58" t="s">
        <v>686</v>
      </c>
      <c r="B310" s="58" t="s">
        <v>687</v>
      </c>
    </row>
    <row r="311" spans="1:2" x14ac:dyDescent="0.35">
      <c r="A311" t="s">
        <v>688</v>
      </c>
      <c r="B311" t="s">
        <v>689</v>
      </c>
    </row>
    <row r="312" spans="1:2" x14ac:dyDescent="0.35">
      <c r="A312" t="s">
        <v>690</v>
      </c>
      <c r="B312" t="s">
        <v>691</v>
      </c>
    </row>
    <row r="313" spans="1:2" x14ac:dyDescent="0.35">
      <c r="A313" t="s">
        <v>692</v>
      </c>
      <c r="B313" t="s">
        <v>693</v>
      </c>
    </row>
    <row r="314" spans="1:2" x14ac:dyDescent="0.35">
      <c r="A314" t="s">
        <v>694</v>
      </c>
      <c r="B314" t="s">
        <v>695</v>
      </c>
    </row>
    <row r="315" spans="1:2" x14ac:dyDescent="0.35">
      <c r="A315" t="s">
        <v>696</v>
      </c>
      <c r="B315" t="s">
        <v>697</v>
      </c>
    </row>
    <row r="316" spans="1:2" x14ac:dyDescent="0.35">
      <c r="A316" t="s">
        <v>698</v>
      </c>
      <c r="B316" t="s">
        <v>699</v>
      </c>
    </row>
    <row r="317" spans="1:2" x14ac:dyDescent="0.35">
      <c r="A317" t="s">
        <v>700</v>
      </c>
      <c r="B317" t="s">
        <v>701</v>
      </c>
    </row>
    <row r="318" spans="1:2" x14ac:dyDescent="0.35">
      <c r="A318" t="s">
        <v>702</v>
      </c>
      <c r="B318" t="s">
        <v>703</v>
      </c>
    </row>
    <row r="319" spans="1:2" x14ac:dyDescent="0.35">
      <c r="A319" t="s">
        <v>704</v>
      </c>
      <c r="B319" t="s">
        <v>214</v>
      </c>
    </row>
    <row r="320" spans="1:2" x14ac:dyDescent="0.35">
      <c r="A320" t="s">
        <v>705</v>
      </c>
      <c r="B320" t="s">
        <v>706</v>
      </c>
    </row>
    <row r="321" spans="1:2" x14ac:dyDescent="0.35">
      <c r="A321" t="s">
        <v>707</v>
      </c>
      <c r="B321" t="s">
        <v>708</v>
      </c>
    </row>
    <row r="322" spans="1:2" x14ac:dyDescent="0.35">
      <c r="A322" t="s">
        <v>709</v>
      </c>
      <c r="B322" t="s">
        <v>710</v>
      </c>
    </row>
    <row r="323" spans="1:2" x14ac:dyDescent="0.35">
      <c r="A323" t="s">
        <v>711</v>
      </c>
      <c r="B323" t="s">
        <v>712</v>
      </c>
    </row>
    <row r="324" spans="1:2" x14ac:dyDescent="0.35">
      <c r="A324" t="s">
        <v>713</v>
      </c>
      <c r="B324" t="s">
        <v>714</v>
      </c>
    </row>
    <row r="325" spans="1:2" x14ac:dyDescent="0.35">
      <c r="A325" t="s">
        <v>715</v>
      </c>
      <c r="B325" t="s">
        <v>716</v>
      </c>
    </row>
    <row r="326" spans="1:2" x14ac:dyDescent="0.35">
      <c r="A326" t="s">
        <v>717</v>
      </c>
      <c r="B326" t="s">
        <v>718</v>
      </c>
    </row>
    <row r="327" spans="1:2" x14ac:dyDescent="0.35">
      <c r="A327" t="s">
        <v>719</v>
      </c>
      <c r="B327" t="s">
        <v>720</v>
      </c>
    </row>
    <row r="328" spans="1:2" x14ac:dyDescent="0.35">
      <c r="A328" t="s">
        <v>721</v>
      </c>
      <c r="B328" t="s">
        <v>722</v>
      </c>
    </row>
    <row r="329" spans="1:2" x14ac:dyDescent="0.35">
      <c r="A329" t="s">
        <v>723</v>
      </c>
      <c r="B329" t="s">
        <v>724</v>
      </c>
    </row>
    <row r="330" spans="1:2" x14ac:dyDescent="0.35">
      <c r="A330" t="s">
        <v>725</v>
      </c>
      <c r="B330" t="s">
        <v>726</v>
      </c>
    </row>
    <row r="331" spans="1:2" x14ac:dyDescent="0.35">
      <c r="A331" t="s">
        <v>727</v>
      </c>
      <c r="B331" t="s">
        <v>728</v>
      </c>
    </row>
    <row r="332" spans="1:2" x14ac:dyDescent="0.35">
      <c r="A332" t="s">
        <v>729</v>
      </c>
      <c r="B332" t="s">
        <v>730</v>
      </c>
    </row>
    <row r="333" spans="1:2" x14ac:dyDescent="0.35">
      <c r="A333" t="s">
        <v>731</v>
      </c>
      <c r="B333" t="s">
        <v>732</v>
      </c>
    </row>
    <row r="334" spans="1:2" x14ac:dyDescent="0.35">
      <c r="A334" t="s">
        <v>733</v>
      </c>
      <c r="B334" t="s">
        <v>734</v>
      </c>
    </row>
    <row r="335" spans="1:2" x14ac:dyDescent="0.35">
      <c r="A335" t="s">
        <v>735</v>
      </c>
      <c r="B335" t="s">
        <v>736</v>
      </c>
    </row>
    <row r="336" spans="1:2" x14ac:dyDescent="0.35">
      <c r="A336" t="s">
        <v>737</v>
      </c>
      <c r="B336" t="s">
        <v>738</v>
      </c>
    </row>
    <row r="337" spans="1:2" x14ac:dyDescent="0.35">
      <c r="A337" t="s">
        <v>739</v>
      </c>
      <c r="B337" t="s">
        <v>740</v>
      </c>
    </row>
    <row r="338" spans="1:2" x14ac:dyDescent="0.35">
      <c r="A338" t="s">
        <v>741</v>
      </c>
      <c r="B338" t="s">
        <v>742</v>
      </c>
    </row>
    <row r="339" spans="1:2" x14ac:dyDescent="0.35">
      <c r="A339" t="s">
        <v>743</v>
      </c>
      <c r="B339" t="s">
        <v>744</v>
      </c>
    </row>
    <row r="340" spans="1:2" x14ac:dyDescent="0.35">
      <c r="A340" t="s">
        <v>745</v>
      </c>
      <c r="B340" t="s">
        <v>746</v>
      </c>
    </row>
    <row r="341" spans="1:2" x14ac:dyDescent="0.35">
      <c r="A341" t="s">
        <v>747</v>
      </c>
      <c r="B341" t="s">
        <v>748</v>
      </c>
    </row>
    <row r="342" spans="1:2" x14ac:dyDescent="0.35">
      <c r="A342" t="s">
        <v>749</v>
      </c>
      <c r="B342" t="s">
        <v>750</v>
      </c>
    </row>
    <row r="343" spans="1:2" x14ac:dyDescent="0.35">
      <c r="A343" t="s">
        <v>751</v>
      </c>
      <c r="B343" t="s">
        <v>752</v>
      </c>
    </row>
    <row r="344" spans="1:2" x14ac:dyDescent="0.35">
      <c r="A344" t="s">
        <v>753</v>
      </c>
      <c r="B344" t="s">
        <v>754</v>
      </c>
    </row>
    <row r="345" spans="1:2" x14ac:dyDescent="0.35">
      <c r="A345" t="s">
        <v>755</v>
      </c>
      <c r="B345" t="s">
        <v>756</v>
      </c>
    </row>
    <row r="346" spans="1:2" x14ac:dyDescent="0.35">
      <c r="A346" t="s">
        <v>757</v>
      </c>
      <c r="B346" t="s">
        <v>758</v>
      </c>
    </row>
    <row r="347" spans="1:2" x14ac:dyDescent="0.35">
      <c r="A347" t="s">
        <v>759</v>
      </c>
      <c r="B347" t="s">
        <v>760</v>
      </c>
    </row>
    <row r="348" spans="1:2" x14ac:dyDescent="0.35">
      <c r="A348" t="s">
        <v>761</v>
      </c>
      <c r="B348" t="s">
        <v>762</v>
      </c>
    </row>
    <row r="349" spans="1:2" x14ac:dyDescent="0.35">
      <c r="A349" t="s">
        <v>763</v>
      </c>
      <c r="B349" t="s">
        <v>764</v>
      </c>
    </row>
    <row r="350" spans="1:2" x14ac:dyDescent="0.35">
      <c r="A350" t="s">
        <v>765</v>
      </c>
      <c r="B350" t="s">
        <v>766</v>
      </c>
    </row>
    <row r="351" spans="1:2" x14ac:dyDescent="0.35">
      <c r="A351" t="s">
        <v>767</v>
      </c>
      <c r="B351" t="s">
        <v>768</v>
      </c>
    </row>
    <row r="352" spans="1:2" x14ac:dyDescent="0.35">
      <c r="A352" s="46" t="s">
        <v>769</v>
      </c>
      <c r="B352" s="46" t="s">
        <v>770</v>
      </c>
    </row>
    <row r="353" spans="1:2" x14ac:dyDescent="0.35">
      <c r="A353" s="46" t="s">
        <v>771</v>
      </c>
      <c r="B353" s="46" t="s">
        <v>772</v>
      </c>
    </row>
    <row r="354" spans="1:2" x14ac:dyDescent="0.35">
      <c r="A354" s="46" t="s">
        <v>773</v>
      </c>
      <c r="B354" s="46" t="s">
        <v>774</v>
      </c>
    </row>
    <row r="355" spans="1:2" x14ac:dyDescent="0.35">
      <c r="A355" s="46" t="s">
        <v>775</v>
      </c>
      <c r="B355" s="46" t="s">
        <v>776</v>
      </c>
    </row>
    <row r="356" spans="1:2" x14ac:dyDescent="0.35">
      <c r="A356" s="46" t="s">
        <v>777</v>
      </c>
      <c r="B356" s="46" t="s">
        <v>778</v>
      </c>
    </row>
    <row r="357" spans="1:2" x14ac:dyDescent="0.35">
      <c r="A357" t="s">
        <v>779</v>
      </c>
      <c r="B357" t="s">
        <v>780</v>
      </c>
    </row>
    <row r="358" spans="1:2" x14ac:dyDescent="0.35">
      <c r="A358" s="46" t="s">
        <v>781</v>
      </c>
      <c r="B358" s="46" t="s">
        <v>782</v>
      </c>
    </row>
    <row r="359" spans="1:2" x14ac:dyDescent="0.35">
      <c r="A359" t="s">
        <v>783</v>
      </c>
      <c r="B359" t="s">
        <v>784</v>
      </c>
    </row>
    <row r="360" spans="1:2" x14ac:dyDescent="0.35">
      <c r="A360" s="46" t="s">
        <v>785</v>
      </c>
      <c r="B360" s="46" t="s">
        <v>786</v>
      </c>
    </row>
    <row r="361" spans="1:2" x14ac:dyDescent="0.35">
      <c r="A361" t="s">
        <v>787</v>
      </c>
      <c r="B361" t="s">
        <v>788</v>
      </c>
    </row>
    <row r="362" spans="1:2" x14ac:dyDescent="0.35">
      <c r="A362" s="46" t="s">
        <v>789</v>
      </c>
      <c r="B362" s="46" t="s">
        <v>790</v>
      </c>
    </row>
    <row r="363" spans="1:2" x14ac:dyDescent="0.35">
      <c r="A363" t="s">
        <v>791</v>
      </c>
      <c r="B363" t="s">
        <v>792</v>
      </c>
    </row>
    <row r="364" spans="1:2" x14ac:dyDescent="0.35">
      <c r="A364" t="s">
        <v>793</v>
      </c>
      <c r="B364" t="s">
        <v>794</v>
      </c>
    </row>
    <row r="365" spans="1:2" x14ac:dyDescent="0.35">
      <c r="A365" t="s">
        <v>795</v>
      </c>
      <c r="B365" t="s">
        <v>796</v>
      </c>
    </row>
    <row r="366" spans="1:2" x14ac:dyDescent="0.35">
      <c r="A366" s="46" t="s">
        <v>797</v>
      </c>
      <c r="B366" s="46" t="s">
        <v>798</v>
      </c>
    </row>
    <row r="367" spans="1:2" x14ac:dyDescent="0.35">
      <c r="A367" t="s">
        <v>799</v>
      </c>
      <c r="B367" t="s">
        <v>800</v>
      </c>
    </row>
    <row r="368" spans="1:2" x14ac:dyDescent="0.35">
      <c r="A368" t="s">
        <v>801</v>
      </c>
      <c r="B368" t="s">
        <v>802</v>
      </c>
    </row>
    <row r="369" spans="1:2" x14ac:dyDescent="0.35">
      <c r="A369" t="s">
        <v>803</v>
      </c>
      <c r="B369" t="s">
        <v>804</v>
      </c>
    </row>
    <row r="370" spans="1:2" x14ac:dyDescent="0.35">
      <c r="A370" t="s">
        <v>805</v>
      </c>
      <c r="B370" t="s">
        <v>806</v>
      </c>
    </row>
    <row r="371" spans="1:2" x14ac:dyDescent="0.35">
      <c r="A371" t="s">
        <v>807</v>
      </c>
      <c r="B371" t="s">
        <v>808</v>
      </c>
    </row>
    <row r="372" spans="1:2" x14ac:dyDescent="0.35">
      <c r="A372" t="s">
        <v>809</v>
      </c>
      <c r="B372" t="s">
        <v>810</v>
      </c>
    </row>
    <row r="373" spans="1:2" x14ac:dyDescent="0.35">
      <c r="A373" t="s">
        <v>811</v>
      </c>
      <c r="B373" t="s">
        <v>812</v>
      </c>
    </row>
    <row r="374" spans="1:2" x14ac:dyDescent="0.35">
      <c r="A374" t="s">
        <v>813</v>
      </c>
      <c r="B374" t="s">
        <v>814</v>
      </c>
    </row>
    <row r="375" spans="1:2" x14ac:dyDescent="0.35">
      <c r="A375" s="46" t="s">
        <v>815</v>
      </c>
      <c r="B375" s="46" t="s">
        <v>816</v>
      </c>
    </row>
    <row r="376" spans="1:2" x14ac:dyDescent="0.35">
      <c r="A376" t="s">
        <v>817</v>
      </c>
      <c r="B376" t="s">
        <v>818</v>
      </c>
    </row>
    <row r="377" spans="1:2" x14ac:dyDescent="0.35">
      <c r="A377" s="46" t="s">
        <v>819</v>
      </c>
      <c r="B377" s="46" t="s">
        <v>820</v>
      </c>
    </row>
    <row r="378" spans="1:2" x14ac:dyDescent="0.35">
      <c r="A378" t="s">
        <v>821</v>
      </c>
      <c r="B378" t="s">
        <v>822</v>
      </c>
    </row>
    <row r="379" spans="1:2" x14ac:dyDescent="0.35">
      <c r="A379" t="s">
        <v>823</v>
      </c>
      <c r="B379" t="s">
        <v>824</v>
      </c>
    </row>
    <row r="380" spans="1:2" x14ac:dyDescent="0.35">
      <c r="A380" t="s">
        <v>825</v>
      </c>
      <c r="B380" t="s">
        <v>826</v>
      </c>
    </row>
    <row r="381" spans="1:2" x14ac:dyDescent="0.35">
      <c r="A381" t="s">
        <v>827</v>
      </c>
      <c r="B381" t="s">
        <v>828</v>
      </c>
    </row>
    <row r="382" spans="1:2" x14ac:dyDescent="0.35">
      <c r="A382" t="s">
        <v>829</v>
      </c>
      <c r="B382" t="s">
        <v>830</v>
      </c>
    </row>
    <row r="383" spans="1:2" x14ac:dyDescent="0.35">
      <c r="A383" t="s">
        <v>831</v>
      </c>
      <c r="B383" t="s">
        <v>832</v>
      </c>
    </row>
    <row r="384" spans="1:2" x14ac:dyDescent="0.35">
      <c r="A384" t="s">
        <v>833</v>
      </c>
      <c r="B384" t="s">
        <v>834</v>
      </c>
    </row>
    <row r="385" spans="1:2" x14ac:dyDescent="0.35">
      <c r="A385" t="s">
        <v>835</v>
      </c>
      <c r="B385" t="s">
        <v>836</v>
      </c>
    </row>
    <row r="386" spans="1:2" x14ac:dyDescent="0.35">
      <c r="A386" t="s">
        <v>837</v>
      </c>
      <c r="B386" t="s">
        <v>838</v>
      </c>
    </row>
    <row r="387" spans="1:2" x14ac:dyDescent="0.35">
      <c r="A387" t="s">
        <v>839</v>
      </c>
      <c r="B387" t="s">
        <v>840</v>
      </c>
    </row>
    <row r="388" spans="1:2" x14ac:dyDescent="0.35">
      <c r="A388" t="s">
        <v>841</v>
      </c>
      <c r="B388" t="s">
        <v>842</v>
      </c>
    </row>
    <row r="389" spans="1:2" x14ac:dyDescent="0.35">
      <c r="A389" t="s">
        <v>843</v>
      </c>
      <c r="B389" t="s">
        <v>844</v>
      </c>
    </row>
    <row r="390" spans="1:2" x14ac:dyDescent="0.35">
      <c r="A390" t="s">
        <v>845</v>
      </c>
      <c r="B390" t="s">
        <v>846</v>
      </c>
    </row>
    <row r="391" spans="1:2" x14ac:dyDescent="0.35">
      <c r="A391" t="s">
        <v>847</v>
      </c>
      <c r="B391" t="s">
        <v>848</v>
      </c>
    </row>
    <row r="392" spans="1:2" x14ac:dyDescent="0.35">
      <c r="A392" t="s">
        <v>849</v>
      </c>
      <c r="B392" t="s">
        <v>850</v>
      </c>
    </row>
    <row r="393" spans="1:2" x14ac:dyDescent="0.35">
      <c r="A393" t="s">
        <v>851</v>
      </c>
      <c r="B393" t="s">
        <v>852</v>
      </c>
    </row>
    <row r="394" spans="1:2" x14ac:dyDescent="0.35">
      <c r="A394" t="s">
        <v>853</v>
      </c>
      <c r="B394" t="s">
        <v>854</v>
      </c>
    </row>
    <row r="395" spans="1:2" x14ac:dyDescent="0.35">
      <c r="A395" t="s">
        <v>855</v>
      </c>
      <c r="B395" t="s">
        <v>856</v>
      </c>
    </row>
    <row r="396" spans="1:2" x14ac:dyDescent="0.35">
      <c r="A396" t="s">
        <v>857</v>
      </c>
      <c r="B396" t="s">
        <v>858</v>
      </c>
    </row>
    <row r="397" spans="1:2" x14ac:dyDescent="0.35">
      <c r="A397" t="s">
        <v>859</v>
      </c>
      <c r="B397" t="s">
        <v>860</v>
      </c>
    </row>
    <row r="398" spans="1:2" x14ac:dyDescent="0.35">
      <c r="A398" t="s">
        <v>861</v>
      </c>
      <c r="B398" t="s">
        <v>862</v>
      </c>
    </row>
    <row r="399" spans="1:2" x14ac:dyDescent="0.35">
      <c r="A399" t="s">
        <v>863</v>
      </c>
      <c r="B399" t="s">
        <v>864</v>
      </c>
    </row>
    <row r="400" spans="1:2" x14ac:dyDescent="0.35">
      <c r="A400" t="s">
        <v>865</v>
      </c>
      <c r="B400" t="s">
        <v>866</v>
      </c>
    </row>
    <row r="401" spans="1:2" x14ac:dyDescent="0.35">
      <c r="A401" t="s">
        <v>867</v>
      </c>
      <c r="B401" t="s">
        <v>868</v>
      </c>
    </row>
    <row r="402" spans="1:2" x14ac:dyDescent="0.35">
      <c r="A402" t="s">
        <v>869</v>
      </c>
      <c r="B402" t="s">
        <v>870</v>
      </c>
    </row>
    <row r="403" spans="1:2" x14ac:dyDescent="0.35">
      <c r="A403" t="s">
        <v>871</v>
      </c>
      <c r="B403" t="s">
        <v>872</v>
      </c>
    </row>
    <row r="404" spans="1:2" x14ac:dyDescent="0.35">
      <c r="A404" t="s">
        <v>873</v>
      </c>
      <c r="B404" t="s">
        <v>569</v>
      </c>
    </row>
    <row r="405" spans="1:2" x14ac:dyDescent="0.35">
      <c r="A405" t="s">
        <v>874</v>
      </c>
      <c r="B405" t="s">
        <v>875</v>
      </c>
    </row>
    <row r="406" spans="1:2" x14ac:dyDescent="0.35">
      <c r="A406" t="s">
        <v>876</v>
      </c>
      <c r="B406" t="s">
        <v>877</v>
      </c>
    </row>
    <row r="407" spans="1:2" x14ac:dyDescent="0.35">
      <c r="A407" t="s">
        <v>878</v>
      </c>
      <c r="B407" t="s">
        <v>879</v>
      </c>
    </row>
    <row r="408" spans="1:2" x14ac:dyDescent="0.35">
      <c r="A408" t="s">
        <v>880</v>
      </c>
      <c r="B408" t="s">
        <v>881</v>
      </c>
    </row>
    <row r="409" spans="1:2" x14ac:dyDescent="0.35">
      <c r="A409" t="s">
        <v>882</v>
      </c>
      <c r="B409" t="s">
        <v>883</v>
      </c>
    </row>
    <row r="410" spans="1:2" x14ac:dyDescent="0.35">
      <c r="A410" t="s">
        <v>884</v>
      </c>
      <c r="B410" t="s">
        <v>885</v>
      </c>
    </row>
    <row r="411" spans="1:2" x14ac:dyDescent="0.35">
      <c r="A411" t="s">
        <v>886</v>
      </c>
      <c r="B411" t="s">
        <v>887</v>
      </c>
    </row>
    <row r="412" spans="1:2" x14ac:dyDescent="0.35">
      <c r="A412" t="s">
        <v>888</v>
      </c>
      <c r="B412" t="s">
        <v>889</v>
      </c>
    </row>
    <row r="413" spans="1:2" x14ac:dyDescent="0.35">
      <c r="A413" t="s">
        <v>890</v>
      </c>
      <c r="B413" t="s">
        <v>891</v>
      </c>
    </row>
    <row r="414" spans="1:2" x14ac:dyDescent="0.35">
      <c r="A414" t="s">
        <v>892</v>
      </c>
      <c r="B414" t="s">
        <v>893</v>
      </c>
    </row>
    <row r="415" spans="1:2" x14ac:dyDescent="0.35">
      <c r="A415" t="s">
        <v>894</v>
      </c>
      <c r="B415" t="s">
        <v>895</v>
      </c>
    </row>
    <row r="416" spans="1:2" x14ac:dyDescent="0.35">
      <c r="A416" t="s">
        <v>896</v>
      </c>
      <c r="B416" t="s">
        <v>897</v>
      </c>
    </row>
    <row r="417" spans="1:2" x14ac:dyDescent="0.35">
      <c r="A417" t="s">
        <v>898</v>
      </c>
      <c r="B417" t="s">
        <v>899</v>
      </c>
    </row>
    <row r="418" spans="1:2" x14ac:dyDescent="0.35">
      <c r="A418" t="s">
        <v>900</v>
      </c>
      <c r="B418" t="s">
        <v>901</v>
      </c>
    </row>
    <row r="419" spans="1:2" x14ac:dyDescent="0.35">
      <c r="A419" t="s">
        <v>902</v>
      </c>
      <c r="B419" t="s">
        <v>903</v>
      </c>
    </row>
    <row r="420" spans="1:2" x14ac:dyDescent="0.35">
      <c r="A420" t="s">
        <v>904</v>
      </c>
      <c r="B420" t="s">
        <v>905</v>
      </c>
    </row>
    <row r="421" spans="1:2" x14ac:dyDescent="0.35">
      <c r="A421" t="s">
        <v>906</v>
      </c>
      <c r="B421" t="s">
        <v>907</v>
      </c>
    </row>
    <row r="422" spans="1:2" x14ac:dyDescent="0.35">
      <c r="A422" t="s">
        <v>908</v>
      </c>
      <c r="B422" t="s">
        <v>909</v>
      </c>
    </row>
    <row r="423" spans="1:2" x14ac:dyDescent="0.35">
      <c r="A423" t="s">
        <v>910</v>
      </c>
      <c r="B423" t="s">
        <v>911</v>
      </c>
    </row>
    <row r="424" spans="1:2" x14ac:dyDescent="0.35">
      <c r="A424" t="s">
        <v>912</v>
      </c>
      <c r="B424" t="s">
        <v>913</v>
      </c>
    </row>
    <row r="425" spans="1:2" x14ac:dyDescent="0.35">
      <c r="A425" t="s">
        <v>914</v>
      </c>
      <c r="B425" t="s">
        <v>915</v>
      </c>
    </row>
    <row r="426" spans="1:2" x14ac:dyDescent="0.35">
      <c r="A426" t="s">
        <v>916</v>
      </c>
      <c r="B426" t="s">
        <v>917</v>
      </c>
    </row>
    <row r="427" spans="1:2" x14ac:dyDescent="0.35">
      <c r="A427" t="s">
        <v>918</v>
      </c>
      <c r="B427" t="s">
        <v>919</v>
      </c>
    </row>
    <row r="428" spans="1:2" x14ac:dyDescent="0.35">
      <c r="A428" t="s">
        <v>920</v>
      </c>
      <c r="B428" t="s">
        <v>921</v>
      </c>
    </row>
    <row r="429" spans="1:2" x14ac:dyDescent="0.35">
      <c r="A429" t="s">
        <v>922</v>
      </c>
      <c r="B429" t="s">
        <v>923</v>
      </c>
    </row>
    <row r="430" spans="1:2" x14ac:dyDescent="0.35">
      <c r="A430" t="s">
        <v>924</v>
      </c>
      <c r="B430" t="s">
        <v>925</v>
      </c>
    </row>
    <row r="431" spans="1:2" x14ac:dyDescent="0.35">
      <c r="A431" t="s">
        <v>926</v>
      </c>
      <c r="B431" t="s">
        <v>927</v>
      </c>
    </row>
    <row r="432" spans="1:2" x14ac:dyDescent="0.35">
      <c r="A432" t="s">
        <v>928</v>
      </c>
      <c r="B432" t="s">
        <v>929</v>
      </c>
    </row>
    <row r="433" spans="1:2" x14ac:dyDescent="0.35">
      <c r="A433" t="s">
        <v>930</v>
      </c>
      <c r="B433" t="s">
        <v>931</v>
      </c>
    </row>
    <row r="434" spans="1:2" x14ac:dyDescent="0.35">
      <c r="A434" t="s">
        <v>932</v>
      </c>
      <c r="B434" t="s">
        <v>933</v>
      </c>
    </row>
    <row r="435" spans="1:2" x14ac:dyDescent="0.35">
      <c r="A435" t="s">
        <v>934</v>
      </c>
      <c r="B435" t="s">
        <v>935</v>
      </c>
    </row>
    <row r="436" spans="1:2" x14ac:dyDescent="0.35">
      <c r="A436" t="s">
        <v>936</v>
      </c>
      <c r="B436" t="s">
        <v>937</v>
      </c>
    </row>
    <row r="437" spans="1:2" x14ac:dyDescent="0.35">
      <c r="A437" t="s">
        <v>938</v>
      </c>
      <c r="B437" t="s">
        <v>939</v>
      </c>
    </row>
    <row r="438" spans="1:2" x14ac:dyDescent="0.35">
      <c r="A438" t="s">
        <v>940</v>
      </c>
      <c r="B438" t="s">
        <v>941</v>
      </c>
    </row>
    <row r="439" spans="1:2" x14ac:dyDescent="0.35">
      <c r="A439" t="s">
        <v>942</v>
      </c>
      <c r="B439" t="s">
        <v>943</v>
      </c>
    </row>
    <row r="440" spans="1:2" x14ac:dyDescent="0.35">
      <c r="A440" t="s">
        <v>944</v>
      </c>
      <c r="B440" t="s">
        <v>945</v>
      </c>
    </row>
    <row r="441" spans="1:2" x14ac:dyDescent="0.35">
      <c r="A441" t="s">
        <v>946</v>
      </c>
      <c r="B441" t="s">
        <v>947</v>
      </c>
    </row>
    <row r="442" spans="1:2" x14ac:dyDescent="0.35">
      <c r="A442" t="s">
        <v>948</v>
      </c>
      <c r="B442" t="s">
        <v>949</v>
      </c>
    </row>
    <row r="443" spans="1:2" x14ac:dyDescent="0.35">
      <c r="A443" t="s">
        <v>950</v>
      </c>
      <c r="B443" t="s">
        <v>951</v>
      </c>
    </row>
    <row r="444" spans="1:2" x14ac:dyDescent="0.35">
      <c r="A444" t="s">
        <v>952</v>
      </c>
      <c r="B444" t="s">
        <v>953</v>
      </c>
    </row>
    <row r="445" spans="1:2" x14ac:dyDescent="0.35">
      <c r="A445" t="s">
        <v>954</v>
      </c>
      <c r="B445" t="s">
        <v>955</v>
      </c>
    </row>
    <row r="446" spans="1:2" x14ac:dyDescent="0.35">
      <c r="A446" t="s">
        <v>956</v>
      </c>
      <c r="B446" t="s">
        <v>957</v>
      </c>
    </row>
    <row r="447" spans="1:2" x14ac:dyDescent="0.35">
      <c r="A447" t="s">
        <v>958</v>
      </c>
      <c r="B447" t="s">
        <v>959</v>
      </c>
    </row>
    <row r="448" spans="1:2" x14ac:dyDescent="0.35">
      <c r="A448" t="s">
        <v>960</v>
      </c>
      <c r="B448" t="s">
        <v>961</v>
      </c>
    </row>
    <row r="449" spans="1:2" x14ac:dyDescent="0.35">
      <c r="A449" t="s">
        <v>962</v>
      </c>
      <c r="B449" t="s">
        <v>963</v>
      </c>
    </row>
    <row r="450" spans="1:2" x14ac:dyDescent="0.35">
      <c r="A450" t="s">
        <v>964</v>
      </c>
      <c r="B450" t="s">
        <v>965</v>
      </c>
    </row>
    <row r="451" spans="1:2" x14ac:dyDescent="0.35">
      <c r="A451" t="s">
        <v>966</v>
      </c>
      <c r="B451" t="s">
        <v>967</v>
      </c>
    </row>
    <row r="452" spans="1:2" x14ac:dyDescent="0.35">
      <c r="A452" t="s">
        <v>968</v>
      </c>
      <c r="B452" t="s">
        <v>969</v>
      </c>
    </row>
    <row r="453" spans="1:2" x14ac:dyDescent="0.35">
      <c r="A453" t="s">
        <v>970</v>
      </c>
      <c r="B453" t="s">
        <v>971</v>
      </c>
    </row>
    <row r="454" spans="1:2" x14ac:dyDescent="0.35">
      <c r="A454" t="s">
        <v>972</v>
      </c>
      <c r="B454" t="s">
        <v>973</v>
      </c>
    </row>
    <row r="455" spans="1:2" x14ac:dyDescent="0.35">
      <c r="A455" s="59" t="s">
        <v>974</v>
      </c>
      <c r="B455" s="59" t="s">
        <v>975</v>
      </c>
    </row>
    <row r="456" spans="1:2" x14ac:dyDescent="0.35">
      <c r="A456" s="59" t="s">
        <v>976</v>
      </c>
      <c r="B456" s="59" t="s">
        <v>977</v>
      </c>
    </row>
    <row r="457" spans="1:2" x14ac:dyDescent="0.35">
      <c r="A457" s="59" t="s">
        <v>978</v>
      </c>
      <c r="B457" s="59" t="s">
        <v>979</v>
      </c>
    </row>
    <row r="458" spans="1:2" x14ac:dyDescent="0.35">
      <c r="A458" s="59" t="s">
        <v>980</v>
      </c>
      <c r="B458" s="59" t="s">
        <v>981</v>
      </c>
    </row>
    <row r="459" spans="1:2" x14ac:dyDescent="0.35">
      <c r="A459" s="59" t="s">
        <v>982</v>
      </c>
      <c r="B459" s="59" t="s">
        <v>983</v>
      </c>
    </row>
    <row r="460" spans="1:2" x14ac:dyDescent="0.35">
      <c r="A460" s="59" t="s">
        <v>984</v>
      </c>
      <c r="B460" s="59" t="s">
        <v>985</v>
      </c>
    </row>
    <row r="461" spans="1:2" x14ac:dyDescent="0.35">
      <c r="A461" s="59" t="s">
        <v>986</v>
      </c>
      <c r="B461" s="59" t="s">
        <v>987</v>
      </c>
    </row>
    <row r="462" spans="1:2" x14ac:dyDescent="0.35">
      <c r="A462" s="59" t="s">
        <v>1111</v>
      </c>
      <c r="B462" s="59" t="s">
        <v>2018</v>
      </c>
    </row>
    <row r="463" spans="1:2" x14ac:dyDescent="0.35">
      <c r="A463" s="59" t="s">
        <v>988</v>
      </c>
      <c r="B463" s="59" t="s">
        <v>989</v>
      </c>
    </row>
    <row r="464" spans="1:2" x14ac:dyDescent="0.35">
      <c r="A464" s="59" t="s">
        <v>990</v>
      </c>
      <c r="B464" s="59" t="s">
        <v>991</v>
      </c>
    </row>
    <row r="465" spans="1:2" x14ac:dyDescent="0.35">
      <c r="A465" s="59" t="s">
        <v>992</v>
      </c>
      <c r="B465" s="59" t="s">
        <v>993</v>
      </c>
    </row>
    <row r="466" spans="1:2" x14ac:dyDescent="0.35">
      <c r="A466" s="59" t="s">
        <v>994</v>
      </c>
      <c r="B466" s="59" t="s">
        <v>995</v>
      </c>
    </row>
    <row r="467" spans="1:2" x14ac:dyDescent="0.35">
      <c r="A467" t="s">
        <v>996</v>
      </c>
      <c r="B467" t="s">
        <v>997</v>
      </c>
    </row>
    <row r="468" spans="1:2" x14ac:dyDescent="0.35">
      <c r="A468" t="s">
        <v>998</v>
      </c>
      <c r="B468" t="s">
        <v>999</v>
      </c>
    </row>
    <row r="469" spans="1:2" x14ac:dyDescent="0.35">
      <c r="A469" t="s">
        <v>1000</v>
      </c>
      <c r="B469" t="s">
        <v>1001</v>
      </c>
    </row>
    <row r="470" spans="1:2" x14ac:dyDescent="0.35">
      <c r="A470" t="s">
        <v>1002</v>
      </c>
      <c r="B470" t="s">
        <v>1003</v>
      </c>
    </row>
    <row r="471" spans="1:2" x14ac:dyDescent="0.35">
      <c r="A471" t="s">
        <v>1004</v>
      </c>
      <c r="B471" t="s">
        <v>1005</v>
      </c>
    </row>
    <row r="472" spans="1:2" x14ac:dyDescent="0.35">
      <c r="A472" t="s">
        <v>1006</v>
      </c>
      <c r="B472" t="s">
        <v>1007</v>
      </c>
    </row>
    <row r="473" spans="1:2" x14ac:dyDescent="0.35">
      <c r="A473" t="s">
        <v>1008</v>
      </c>
      <c r="B473" t="s">
        <v>1009</v>
      </c>
    </row>
    <row r="474" spans="1:2" x14ac:dyDescent="0.35">
      <c r="A474" t="s">
        <v>1010</v>
      </c>
      <c r="B474" t="s">
        <v>1011</v>
      </c>
    </row>
    <row r="475" spans="1:2" x14ac:dyDescent="0.35">
      <c r="A475" t="s">
        <v>1012</v>
      </c>
      <c r="B475" t="s">
        <v>1013</v>
      </c>
    </row>
    <row r="476" spans="1:2" x14ac:dyDescent="0.35">
      <c r="A476" t="s">
        <v>1014</v>
      </c>
      <c r="B476" t="s">
        <v>1015</v>
      </c>
    </row>
    <row r="477" spans="1:2" x14ac:dyDescent="0.35">
      <c r="A477" t="s">
        <v>1016</v>
      </c>
      <c r="B477" t="s">
        <v>1017</v>
      </c>
    </row>
    <row r="478" spans="1:2" x14ac:dyDescent="0.35">
      <c r="A478" t="s">
        <v>1018</v>
      </c>
      <c r="B478" t="s">
        <v>1019</v>
      </c>
    </row>
    <row r="479" spans="1:2" x14ac:dyDescent="0.35">
      <c r="A479" t="s">
        <v>1020</v>
      </c>
      <c r="B479" t="s">
        <v>1021</v>
      </c>
    </row>
    <row r="480" spans="1:2" x14ac:dyDescent="0.35">
      <c r="A480" t="s">
        <v>1022</v>
      </c>
      <c r="B480" t="s">
        <v>1023</v>
      </c>
    </row>
    <row r="481" spans="1:2" x14ac:dyDescent="0.35">
      <c r="A481" t="s">
        <v>1024</v>
      </c>
      <c r="B481" t="s">
        <v>1025</v>
      </c>
    </row>
    <row r="482" spans="1:2" x14ac:dyDescent="0.35">
      <c r="A482" t="s">
        <v>1026</v>
      </c>
      <c r="B482" t="s">
        <v>1027</v>
      </c>
    </row>
    <row r="483" spans="1:2" x14ac:dyDescent="0.35">
      <c r="A483" t="s">
        <v>1028</v>
      </c>
      <c r="B483" t="s">
        <v>1029</v>
      </c>
    </row>
    <row r="484" spans="1:2" x14ac:dyDescent="0.35">
      <c r="A484" t="s">
        <v>1030</v>
      </c>
      <c r="B484" t="s">
        <v>1031</v>
      </c>
    </row>
    <row r="485" spans="1:2" x14ac:dyDescent="0.35">
      <c r="A485" t="s">
        <v>1032</v>
      </c>
      <c r="B485" t="s">
        <v>1033</v>
      </c>
    </row>
    <row r="486" spans="1:2" x14ac:dyDescent="0.35">
      <c r="A486" t="s">
        <v>1034</v>
      </c>
      <c r="B486" t="s">
        <v>1035</v>
      </c>
    </row>
    <row r="487" spans="1:2" x14ac:dyDescent="0.35">
      <c r="A487" t="s">
        <v>1036</v>
      </c>
      <c r="B487" t="s">
        <v>1037</v>
      </c>
    </row>
    <row r="488" spans="1:2" x14ac:dyDescent="0.35">
      <c r="A488" t="s">
        <v>1038</v>
      </c>
      <c r="B488" t="s">
        <v>1039</v>
      </c>
    </row>
    <row r="489" spans="1:2" x14ac:dyDescent="0.35">
      <c r="A489" t="s">
        <v>1040</v>
      </c>
      <c r="B489" t="s">
        <v>1041</v>
      </c>
    </row>
    <row r="490" spans="1:2" x14ac:dyDescent="0.35">
      <c r="A490" t="s">
        <v>1042</v>
      </c>
      <c r="B490" t="s">
        <v>1043</v>
      </c>
    </row>
    <row r="491" spans="1:2" x14ac:dyDescent="0.35">
      <c r="A491" t="s">
        <v>1044</v>
      </c>
      <c r="B491" t="s">
        <v>1045</v>
      </c>
    </row>
    <row r="492" spans="1:2" x14ac:dyDescent="0.35">
      <c r="A492" t="s">
        <v>1046</v>
      </c>
      <c r="B492" t="s">
        <v>1047</v>
      </c>
    </row>
    <row r="493" spans="1:2" x14ac:dyDescent="0.35">
      <c r="A493" t="s">
        <v>1048</v>
      </c>
      <c r="B493" t="s">
        <v>1049</v>
      </c>
    </row>
    <row r="494" spans="1:2" x14ac:dyDescent="0.35">
      <c r="A494" t="s">
        <v>1050</v>
      </c>
      <c r="B494" t="s">
        <v>1051</v>
      </c>
    </row>
    <row r="495" spans="1:2" x14ac:dyDescent="0.35">
      <c r="A495" t="s">
        <v>1052</v>
      </c>
      <c r="B495" t="s">
        <v>1053</v>
      </c>
    </row>
    <row r="496" spans="1:2" x14ac:dyDescent="0.35">
      <c r="A496" t="s">
        <v>1054</v>
      </c>
      <c r="B496" t="s">
        <v>1055</v>
      </c>
    </row>
    <row r="497" spans="1:2" x14ac:dyDescent="0.35">
      <c r="A497" t="s">
        <v>1056</v>
      </c>
      <c r="B497" t="s">
        <v>1053</v>
      </c>
    </row>
    <row r="498" spans="1:2" x14ac:dyDescent="0.35">
      <c r="A498" t="s">
        <v>1057</v>
      </c>
      <c r="B498" t="s">
        <v>1058</v>
      </c>
    </row>
    <row r="499" spans="1:2" x14ac:dyDescent="0.35">
      <c r="A499" t="s">
        <v>1059</v>
      </c>
      <c r="B499" t="s">
        <v>1060</v>
      </c>
    </row>
    <row r="500" spans="1:2" x14ac:dyDescent="0.35">
      <c r="A500" t="s">
        <v>1061</v>
      </c>
      <c r="B500" t="s">
        <v>1062</v>
      </c>
    </row>
    <row r="501" spans="1:2" x14ac:dyDescent="0.35">
      <c r="A501" t="s">
        <v>1063</v>
      </c>
      <c r="B501" t="s">
        <v>1064</v>
      </c>
    </row>
    <row r="502" spans="1:2" x14ac:dyDescent="0.35">
      <c r="A502" t="s">
        <v>1065</v>
      </c>
      <c r="B502" t="s">
        <v>1066</v>
      </c>
    </row>
    <row r="503" spans="1:2" x14ac:dyDescent="0.35">
      <c r="A503" t="s">
        <v>1067</v>
      </c>
      <c r="B503" t="s">
        <v>1068</v>
      </c>
    </row>
    <row r="504" spans="1:2" x14ac:dyDescent="0.35">
      <c r="A504" t="s">
        <v>1069</v>
      </c>
      <c r="B504" t="s">
        <v>1070</v>
      </c>
    </row>
    <row r="505" spans="1:2" x14ac:dyDescent="0.35">
      <c r="A505" t="s">
        <v>1071</v>
      </c>
      <c r="B505" t="s">
        <v>1072</v>
      </c>
    </row>
    <row r="506" spans="1:2" x14ac:dyDescent="0.35">
      <c r="A506" t="s">
        <v>1073</v>
      </c>
      <c r="B506" t="s">
        <v>1074</v>
      </c>
    </row>
    <row r="507" spans="1:2" x14ac:dyDescent="0.35">
      <c r="A507" t="s">
        <v>1075</v>
      </c>
      <c r="B507" t="s">
        <v>1076</v>
      </c>
    </row>
    <row r="508" spans="1:2" x14ac:dyDescent="0.35">
      <c r="A508" t="s">
        <v>1077</v>
      </c>
      <c r="B508" t="s">
        <v>1045</v>
      </c>
    </row>
    <row r="509" spans="1:2" x14ac:dyDescent="0.35">
      <c r="A509" t="s">
        <v>1078</v>
      </c>
      <c r="B509" t="s">
        <v>1079</v>
      </c>
    </row>
    <row r="510" spans="1:2" x14ac:dyDescent="0.35">
      <c r="A510" t="s">
        <v>1080</v>
      </c>
      <c r="B510" t="s">
        <v>1081</v>
      </c>
    </row>
    <row r="511" spans="1:2" x14ac:dyDescent="0.35">
      <c r="A511" t="s">
        <v>1082</v>
      </c>
      <c r="B511" t="s">
        <v>1083</v>
      </c>
    </row>
    <row r="512" spans="1:2" x14ac:dyDescent="0.35">
      <c r="A512" t="s">
        <v>1084</v>
      </c>
      <c r="B512" t="s">
        <v>214</v>
      </c>
    </row>
    <row r="513" spans="1:2" x14ac:dyDescent="0.35">
      <c r="A513" t="s">
        <v>1085</v>
      </c>
      <c r="B513" t="s">
        <v>1086</v>
      </c>
    </row>
    <row r="514" spans="1:2" x14ac:dyDescent="0.35">
      <c r="A514" t="s">
        <v>1087</v>
      </c>
      <c r="B514" t="s">
        <v>1088</v>
      </c>
    </row>
    <row r="515" spans="1:2" x14ac:dyDescent="0.35">
      <c r="A515" t="s">
        <v>1089</v>
      </c>
      <c r="B515" t="s">
        <v>1090</v>
      </c>
    </row>
    <row r="516" spans="1:2" x14ac:dyDescent="0.35">
      <c r="A516" t="s">
        <v>1091</v>
      </c>
      <c r="B516" t="s">
        <v>1092</v>
      </c>
    </row>
    <row r="517" spans="1:2" x14ac:dyDescent="0.35">
      <c r="A517" s="68" t="s">
        <v>2019</v>
      </c>
      <c r="B517" t="s">
        <v>2020</v>
      </c>
    </row>
    <row r="518" spans="1:2" x14ac:dyDescent="0.35">
      <c r="A518" s="69" t="s">
        <v>1973</v>
      </c>
      <c r="B518" t="s">
        <v>2021</v>
      </c>
    </row>
    <row r="519" spans="1:2" x14ac:dyDescent="0.35">
      <c r="A519" s="68" t="s">
        <v>2022</v>
      </c>
      <c r="B519" t="s">
        <v>2023</v>
      </c>
    </row>
    <row r="520" spans="1:2" x14ac:dyDescent="0.35">
      <c r="A520" s="70" t="s">
        <v>2024</v>
      </c>
      <c r="B520" t="s">
        <v>2025</v>
      </c>
    </row>
    <row r="521" spans="1:2" x14ac:dyDescent="0.35">
      <c r="A521" s="68" t="s">
        <v>2026</v>
      </c>
      <c r="B521" t="s">
        <v>2027</v>
      </c>
    </row>
    <row r="522" spans="1:2" x14ac:dyDescent="0.35">
      <c r="A522" s="70" t="s">
        <v>2028</v>
      </c>
      <c r="B522" t="s">
        <v>2029</v>
      </c>
    </row>
    <row r="523" spans="1:2" x14ac:dyDescent="0.35">
      <c r="A523" s="68" t="s">
        <v>2030</v>
      </c>
      <c r="B523" t="s">
        <v>2031</v>
      </c>
    </row>
    <row r="524" spans="1:2" x14ac:dyDescent="0.35">
      <c r="A524" s="70" t="s">
        <v>2032</v>
      </c>
      <c r="B524" t="s">
        <v>2033</v>
      </c>
    </row>
    <row r="525" spans="1:2" x14ac:dyDescent="0.35">
      <c r="A525" s="68" t="s">
        <v>2034</v>
      </c>
      <c r="B525" t="s">
        <v>2035</v>
      </c>
    </row>
    <row r="526" spans="1:2" x14ac:dyDescent="0.35">
      <c r="A526" s="70" t="s">
        <v>2036</v>
      </c>
      <c r="B526" t="s">
        <v>2037</v>
      </c>
    </row>
    <row r="527" spans="1:2" x14ac:dyDescent="0.35">
      <c r="A527" s="68" t="s">
        <v>2038</v>
      </c>
      <c r="B527" t="s">
        <v>2039</v>
      </c>
    </row>
    <row r="528" spans="1:2" x14ac:dyDescent="0.35">
      <c r="A528" s="70" t="s">
        <v>2040</v>
      </c>
      <c r="B528" t="s">
        <v>2041</v>
      </c>
    </row>
    <row r="529" spans="1:2" x14ac:dyDescent="0.35">
      <c r="A529" s="68" t="s">
        <v>2042</v>
      </c>
      <c r="B529" t="s">
        <v>2043</v>
      </c>
    </row>
    <row r="530" spans="1:2" x14ac:dyDescent="0.35">
      <c r="A530" s="70" t="s">
        <v>2044</v>
      </c>
      <c r="B530" t="s">
        <v>2045</v>
      </c>
    </row>
    <row r="531" spans="1:2" x14ac:dyDescent="0.35">
      <c r="A531" s="68" t="s">
        <v>2046</v>
      </c>
      <c r="B531" t="s">
        <v>2047</v>
      </c>
    </row>
    <row r="532" spans="1:2" x14ac:dyDescent="0.35">
      <c r="A532" s="70" t="s">
        <v>2048</v>
      </c>
      <c r="B532" t="s">
        <v>2049</v>
      </c>
    </row>
    <row r="533" spans="1:2" x14ac:dyDescent="0.35">
      <c r="A533" s="68" t="s">
        <v>2050</v>
      </c>
      <c r="B533" t="s">
        <v>2051</v>
      </c>
    </row>
    <row r="534" spans="1:2" ht="14.25" customHeight="1" x14ac:dyDescent="0.35">
      <c r="A534" s="70" t="s">
        <v>2052</v>
      </c>
      <c r="B534" t="s">
        <v>2053</v>
      </c>
    </row>
    <row r="535" spans="1:2" x14ac:dyDescent="0.35">
      <c r="A535" s="68" t="s">
        <v>2054</v>
      </c>
      <c r="B535" t="s">
        <v>2055</v>
      </c>
    </row>
    <row r="536" spans="1:2" x14ac:dyDescent="0.35">
      <c r="A536" s="70" t="s">
        <v>2056</v>
      </c>
      <c r="B536" t="s">
        <v>2057</v>
      </c>
    </row>
    <row r="537" spans="1:2" x14ac:dyDescent="0.35">
      <c r="A537" s="68" t="s">
        <v>2058</v>
      </c>
      <c r="B537" t="s">
        <v>2059</v>
      </c>
    </row>
    <row r="538" spans="1:2" x14ac:dyDescent="0.35">
      <c r="A538" s="70" t="s">
        <v>2060</v>
      </c>
      <c r="B538" t="s">
        <v>2061</v>
      </c>
    </row>
    <row r="539" spans="1:2" x14ac:dyDescent="0.35">
      <c r="A539" s="68" t="s">
        <v>2062</v>
      </c>
      <c r="B539" t="s">
        <v>2063</v>
      </c>
    </row>
    <row r="540" spans="1:2" x14ac:dyDescent="0.35">
      <c r="A540" s="70" t="s">
        <v>2064</v>
      </c>
      <c r="B540" t="s">
        <v>2065</v>
      </c>
    </row>
    <row r="541" spans="1:2" x14ac:dyDescent="0.35">
      <c r="A541" s="68" t="s">
        <v>2066</v>
      </c>
      <c r="B541" t="s">
        <v>2067</v>
      </c>
    </row>
    <row r="542" spans="1:2" x14ac:dyDescent="0.35">
      <c r="A542" s="70" t="s">
        <v>2068</v>
      </c>
      <c r="B542" t="s">
        <v>2069</v>
      </c>
    </row>
    <row r="543" spans="1:2" x14ac:dyDescent="0.35">
      <c r="A543" s="68" t="s">
        <v>2070</v>
      </c>
      <c r="B543" t="s">
        <v>2071</v>
      </c>
    </row>
    <row r="544" spans="1:2" x14ac:dyDescent="0.35">
      <c r="A544" s="70" t="s">
        <v>2072</v>
      </c>
      <c r="B544" t="s">
        <v>2073</v>
      </c>
    </row>
    <row r="545" spans="1:2" x14ac:dyDescent="0.35">
      <c r="A545" s="68" t="s">
        <v>2074</v>
      </c>
      <c r="B545" t="s">
        <v>2075</v>
      </c>
    </row>
    <row r="546" spans="1:2" x14ac:dyDescent="0.35">
      <c r="A546" s="70" t="s">
        <v>2076</v>
      </c>
      <c r="B546" t="s">
        <v>2077</v>
      </c>
    </row>
    <row r="547" spans="1:2" x14ac:dyDescent="0.35">
      <c r="A547" s="68" t="s">
        <v>2078</v>
      </c>
      <c r="B547" t="s">
        <v>2079</v>
      </c>
    </row>
    <row r="548" spans="1:2" x14ac:dyDescent="0.35">
      <c r="A548" s="70" t="s">
        <v>2080</v>
      </c>
      <c r="B548" t="s">
        <v>2081</v>
      </c>
    </row>
    <row r="549" spans="1:2" x14ac:dyDescent="0.35">
      <c r="A549" s="68" t="s">
        <v>2082</v>
      </c>
      <c r="B549" t="s">
        <v>2083</v>
      </c>
    </row>
    <row r="550" spans="1:2" x14ac:dyDescent="0.35">
      <c r="A550" s="70" t="s">
        <v>2084</v>
      </c>
      <c r="B550" t="s">
        <v>2085</v>
      </c>
    </row>
    <row r="551" spans="1:2" x14ac:dyDescent="0.35">
      <c r="A551" s="68" t="s">
        <v>2086</v>
      </c>
      <c r="B551" t="s">
        <v>2087</v>
      </c>
    </row>
    <row r="552" spans="1:2" x14ac:dyDescent="0.35">
      <c r="A552" s="70" t="s">
        <v>2088</v>
      </c>
      <c r="B552" t="s">
        <v>2089</v>
      </c>
    </row>
    <row r="553" spans="1:2" x14ac:dyDescent="0.35">
      <c r="A553" s="68" t="s">
        <v>2090</v>
      </c>
      <c r="B553" t="s">
        <v>2091</v>
      </c>
    </row>
    <row r="554" spans="1:2" x14ac:dyDescent="0.35">
      <c r="A554" s="70" t="s">
        <v>2092</v>
      </c>
      <c r="B554" t="s">
        <v>2093</v>
      </c>
    </row>
    <row r="555" spans="1:2" x14ac:dyDescent="0.35">
      <c r="A555" s="68" t="s">
        <v>2094</v>
      </c>
      <c r="B555" t="s">
        <v>2095</v>
      </c>
    </row>
    <row r="556" spans="1:2" x14ac:dyDescent="0.35">
      <c r="A556" s="70" t="s">
        <v>2096</v>
      </c>
      <c r="B556" t="s">
        <v>2097</v>
      </c>
    </row>
    <row r="557" spans="1:2" x14ac:dyDescent="0.35">
      <c r="A557" s="68" t="s">
        <v>2098</v>
      </c>
      <c r="B557" t="s">
        <v>2099</v>
      </c>
    </row>
    <row r="558" spans="1:2" x14ac:dyDescent="0.35">
      <c r="A558" s="70" t="s">
        <v>2100</v>
      </c>
      <c r="B558" t="s">
        <v>2101</v>
      </c>
    </row>
    <row r="559" spans="1:2" x14ac:dyDescent="0.35">
      <c r="A559" s="68" t="s">
        <v>2102</v>
      </c>
      <c r="B559" t="s">
        <v>2103</v>
      </c>
    </row>
    <row r="560" spans="1:2" x14ac:dyDescent="0.35">
      <c r="A560" s="70" t="s">
        <v>2104</v>
      </c>
      <c r="B560" t="s">
        <v>2105</v>
      </c>
    </row>
    <row r="561" spans="1:2" x14ac:dyDescent="0.35">
      <c r="A561" s="68" t="s">
        <v>2106</v>
      </c>
      <c r="B561" t="s">
        <v>2107</v>
      </c>
    </row>
    <row r="562" spans="1:2" x14ac:dyDescent="0.35">
      <c r="A562" s="70" t="s">
        <v>2108</v>
      </c>
      <c r="B562" t="s">
        <v>2109</v>
      </c>
    </row>
    <row r="563" spans="1:2" x14ac:dyDescent="0.35">
      <c r="A563" s="68" t="s">
        <v>2110</v>
      </c>
      <c r="B563" t="s">
        <v>2111</v>
      </c>
    </row>
    <row r="564" spans="1:2" x14ac:dyDescent="0.35">
      <c r="A564" s="70" t="s">
        <v>2112</v>
      </c>
      <c r="B564" t="s">
        <v>2113</v>
      </c>
    </row>
    <row r="565" spans="1:2" x14ac:dyDescent="0.35">
      <c r="A565" s="68" t="s">
        <v>2114</v>
      </c>
      <c r="B565" t="s">
        <v>2115</v>
      </c>
    </row>
    <row r="566" spans="1:2" x14ac:dyDescent="0.35">
      <c r="A566" s="70" t="s">
        <v>2116</v>
      </c>
      <c r="B566" t="s">
        <v>2117</v>
      </c>
    </row>
    <row r="567" spans="1:2" x14ac:dyDescent="0.35">
      <c r="A567" s="68" t="s">
        <v>2118</v>
      </c>
      <c r="B567" t="s">
        <v>2119</v>
      </c>
    </row>
    <row r="568" spans="1:2" x14ac:dyDescent="0.35">
      <c r="A568" s="70" t="s">
        <v>2120</v>
      </c>
      <c r="B568" t="s">
        <v>2121</v>
      </c>
    </row>
    <row r="569" spans="1:2" x14ac:dyDescent="0.35">
      <c r="A569" s="68" t="s">
        <v>2122</v>
      </c>
      <c r="B569" t="s">
        <v>2123</v>
      </c>
    </row>
    <row r="570" spans="1:2" x14ac:dyDescent="0.35">
      <c r="A570" s="70" t="s">
        <v>2124</v>
      </c>
      <c r="B570" t="s">
        <v>2125</v>
      </c>
    </row>
    <row r="571" spans="1:2" x14ac:dyDescent="0.35">
      <c r="A571" s="68" t="s">
        <v>2126</v>
      </c>
      <c r="B571" t="s">
        <v>2127</v>
      </c>
    </row>
    <row r="572" spans="1:2" x14ac:dyDescent="0.35">
      <c r="A572" s="70" t="s">
        <v>2128</v>
      </c>
      <c r="B572" t="s">
        <v>2129</v>
      </c>
    </row>
    <row r="573" spans="1:2" x14ac:dyDescent="0.35">
      <c r="A573" s="68" t="s">
        <v>2130</v>
      </c>
      <c r="B573" t="s">
        <v>2131</v>
      </c>
    </row>
    <row r="574" spans="1:2" x14ac:dyDescent="0.35">
      <c r="A574" s="70" t="s">
        <v>2132</v>
      </c>
      <c r="B574" t="s">
        <v>2133</v>
      </c>
    </row>
    <row r="575" spans="1:2" x14ac:dyDescent="0.35">
      <c r="A575" s="68" t="s">
        <v>2134</v>
      </c>
      <c r="B575" t="s">
        <v>2135</v>
      </c>
    </row>
    <row r="576" spans="1:2" x14ac:dyDescent="0.35">
      <c r="A576" s="70" t="s">
        <v>2136</v>
      </c>
      <c r="B576" t="s">
        <v>2137</v>
      </c>
    </row>
    <row r="577" spans="1:2" x14ac:dyDescent="0.35">
      <c r="A577" s="68" t="s">
        <v>2138</v>
      </c>
      <c r="B577" s="58" t="s">
        <v>2139</v>
      </c>
    </row>
    <row r="578" spans="1:2" x14ac:dyDescent="0.35">
      <c r="A578" s="70" t="s">
        <v>2140</v>
      </c>
      <c r="B578" t="s">
        <v>2141</v>
      </c>
    </row>
    <row r="579" spans="1:2" x14ac:dyDescent="0.35">
      <c r="A579" s="68" t="s">
        <v>2142</v>
      </c>
      <c r="B579" t="s">
        <v>2143</v>
      </c>
    </row>
    <row r="580" spans="1:2" x14ac:dyDescent="0.35">
      <c r="A580" s="70" t="s">
        <v>2144</v>
      </c>
      <c r="B580" t="s">
        <v>2145</v>
      </c>
    </row>
    <row r="581" spans="1:2" x14ac:dyDescent="0.35">
      <c r="A581" s="68" t="s">
        <v>2146</v>
      </c>
      <c r="B581" t="s">
        <v>2147</v>
      </c>
    </row>
    <row r="582" spans="1:2" x14ac:dyDescent="0.35">
      <c r="A582" s="70" t="s">
        <v>2148</v>
      </c>
      <c r="B582" t="s">
        <v>2149</v>
      </c>
    </row>
    <row r="583" spans="1:2" x14ac:dyDescent="0.35">
      <c r="A583" s="68" t="s">
        <v>2150</v>
      </c>
      <c r="B583" t="s">
        <v>2151</v>
      </c>
    </row>
    <row r="584" spans="1:2" x14ac:dyDescent="0.35">
      <c r="A584" s="70" t="s">
        <v>2152</v>
      </c>
      <c r="B584" s="58" t="s">
        <v>2153</v>
      </c>
    </row>
    <row r="585" spans="1:2" x14ac:dyDescent="0.35">
      <c r="A585" s="68" t="s">
        <v>2154</v>
      </c>
      <c r="B585" t="s">
        <v>2155</v>
      </c>
    </row>
    <row r="586" spans="1:2" x14ac:dyDescent="0.35">
      <c r="A586" s="70" t="s">
        <v>2156</v>
      </c>
      <c r="B586" t="s">
        <v>2157</v>
      </c>
    </row>
    <row r="587" spans="1:2" x14ac:dyDescent="0.35">
      <c r="A587" s="68" t="s">
        <v>2158</v>
      </c>
      <c r="B587" t="s">
        <v>2159</v>
      </c>
    </row>
    <row r="588" spans="1:2" x14ac:dyDescent="0.35">
      <c r="A588" s="70" t="s">
        <v>2160</v>
      </c>
      <c r="B588" t="s">
        <v>2161</v>
      </c>
    </row>
    <row r="589" spans="1:2" x14ac:dyDescent="0.35">
      <c r="A589" s="68" t="s">
        <v>2162</v>
      </c>
      <c r="B589" t="s">
        <v>2163</v>
      </c>
    </row>
    <row r="590" spans="1:2" x14ac:dyDescent="0.35">
      <c r="A590" s="70" t="s">
        <v>2164</v>
      </c>
      <c r="B590" t="s">
        <v>2165</v>
      </c>
    </row>
    <row r="591" spans="1:2" x14ac:dyDescent="0.35">
      <c r="A591" s="68" t="s">
        <v>2166</v>
      </c>
      <c r="B591" t="s">
        <v>2167</v>
      </c>
    </row>
    <row r="592" spans="1:2" x14ac:dyDescent="0.35">
      <c r="A592" s="70" t="s">
        <v>2168</v>
      </c>
      <c r="B592" t="s">
        <v>2169</v>
      </c>
    </row>
    <row r="593" spans="1:2" x14ac:dyDescent="0.35">
      <c r="A593" s="68" t="s">
        <v>2170</v>
      </c>
      <c r="B593" t="s">
        <v>2171</v>
      </c>
    </row>
    <row r="594" spans="1:2" x14ac:dyDescent="0.35">
      <c r="A594" s="70" t="s">
        <v>2172</v>
      </c>
      <c r="B594" t="s">
        <v>2173</v>
      </c>
    </row>
    <row r="595" spans="1:2" x14ac:dyDescent="0.35">
      <c r="A595" s="68" t="s">
        <v>2174</v>
      </c>
      <c r="B595" t="s">
        <v>2175</v>
      </c>
    </row>
    <row r="596" spans="1:2" x14ac:dyDescent="0.35">
      <c r="A596" s="70" t="s">
        <v>2176</v>
      </c>
      <c r="B596" t="s">
        <v>2177</v>
      </c>
    </row>
    <row r="597" spans="1:2" x14ac:dyDescent="0.35">
      <c r="A597" s="68" t="s">
        <v>2178</v>
      </c>
      <c r="B597" t="s">
        <v>2179</v>
      </c>
    </row>
    <row r="598" spans="1:2" x14ac:dyDescent="0.35">
      <c r="A598" s="70" t="s">
        <v>2180</v>
      </c>
      <c r="B598" t="s">
        <v>2181</v>
      </c>
    </row>
    <row r="599" spans="1:2" x14ac:dyDescent="0.35">
      <c r="A599" s="68" t="s">
        <v>2182</v>
      </c>
      <c r="B599" t="s">
        <v>2183</v>
      </c>
    </row>
    <row r="600" spans="1:2" x14ac:dyDescent="0.35">
      <c r="A600" s="70" t="s">
        <v>2184</v>
      </c>
      <c r="B600" t="s">
        <v>2185</v>
      </c>
    </row>
    <row r="601" spans="1:2" x14ac:dyDescent="0.35">
      <c r="A601" s="68" t="s">
        <v>2186</v>
      </c>
      <c r="B601" t="s">
        <v>2187</v>
      </c>
    </row>
    <row r="602" spans="1:2" x14ac:dyDescent="0.35">
      <c r="A602" s="70" t="s">
        <v>2188</v>
      </c>
      <c r="B602" t="s">
        <v>2189</v>
      </c>
    </row>
    <row r="603" spans="1:2" x14ac:dyDescent="0.35">
      <c r="A603" s="68" t="s">
        <v>2190</v>
      </c>
      <c r="B603" t="s">
        <v>2191</v>
      </c>
    </row>
    <row r="604" spans="1:2" x14ac:dyDescent="0.35">
      <c r="A604" s="70" t="s">
        <v>2192</v>
      </c>
      <c r="B604" t="s">
        <v>2193</v>
      </c>
    </row>
    <row r="605" spans="1:2" x14ac:dyDescent="0.35">
      <c r="A605" s="68" t="s">
        <v>2194</v>
      </c>
      <c r="B605" t="s">
        <v>2195</v>
      </c>
    </row>
    <row r="606" spans="1:2" x14ac:dyDescent="0.35">
      <c r="A606" s="70" t="s">
        <v>2196</v>
      </c>
      <c r="B606" t="s">
        <v>2197</v>
      </c>
    </row>
    <row r="607" spans="1:2" x14ac:dyDescent="0.35">
      <c r="A607" s="68" t="s">
        <v>2198</v>
      </c>
      <c r="B607" t="s">
        <v>2199</v>
      </c>
    </row>
    <row r="608" spans="1:2" x14ac:dyDescent="0.35">
      <c r="A608" s="70" t="s">
        <v>2200</v>
      </c>
      <c r="B608" t="s">
        <v>2201</v>
      </c>
    </row>
    <row r="609" spans="1:2" x14ac:dyDescent="0.35">
      <c r="A609" s="68" t="s">
        <v>2202</v>
      </c>
      <c r="B609" t="s">
        <v>2203</v>
      </c>
    </row>
    <row r="610" spans="1:2" x14ac:dyDescent="0.35">
      <c r="A610" s="70" t="s">
        <v>2204</v>
      </c>
      <c r="B610" s="58" t="s">
        <v>2205</v>
      </c>
    </row>
    <row r="611" spans="1:2" x14ac:dyDescent="0.35">
      <c r="A611" s="68" t="s">
        <v>2206</v>
      </c>
      <c r="B611" t="s">
        <v>2207</v>
      </c>
    </row>
    <row r="612" spans="1:2" x14ac:dyDescent="0.35">
      <c r="A612" s="70" t="s">
        <v>2208</v>
      </c>
      <c r="B612" t="s">
        <v>2209</v>
      </c>
    </row>
    <row r="613" spans="1:2" x14ac:dyDescent="0.35">
      <c r="A613" s="68" t="s">
        <v>2210</v>
      </c>
      <c r="B613" t="s">
        <v>2211</v>
      </c>
    </row>
    <row r="614" spans="1:2" x14ac:dyDescent="0.35">
      <c r="A614" s="70" t="s">
        <v>2212</v>
      </c>
      <c r="B614" t="s">
        <v>2213</v>
      </c>
    </row>
    <row r="615" spans="1:2" x14ac:dyDescent="0.35">
      <c r="A615" s="68" t="s">
        <v>2214</v>
      </c>
      <c r="B615" t="s">
        <v>2215</v>
      </c>
    </row>
    <row r="616" spans="1:2" x14ac:dyDescent="0.35">
      <c r="A616" s="70" t="s">
        <v>2216</v>
      </c>
      <c r="B616" t="s">
        <v>2217</v>
      </c>
    </row>
    <row r="617" spans="1:2" x14ac:dyDescent="0.35">
      <c r="A617" s="68" t="s">
        <v>2218</v>
      </c>
      <c r="B617" t="s">
        <v>2219</v>
      </c>
    </row>
    <row r="618" spans="1:2" x14ac:dyDescent="0.35">
      <c r="A618" s="70" t="s">
        <v>2220</v>
      </c>
      <c r="B618" t="s">
        <v>2221</v>
      </c>
    </row>
    <row r="619" spans="1:2" x14ac:dyDescent="0.35">
      <c r="A619" s="68" t="s">
        <v>2222</v>
      </c>
      <c r="B619" t="s">
        <v>2223</v>
      </c>
    </row>
    <row r="620" spans="1:2" x14ac:dyDescent="0.35">
      <c r="A620" s="70" t="s">
        <v>2224</v>
      </c>
      <c r="B620" t="s">
        <v>2225</v>
      </c>
    </row>
    <row r="621" spans="1:2" x14ac:dyDescent="0.35">
      <c r="A621" s="68" t="s">
        <v>2226</v>
      </c>
      <c r="B621" t="s">
        <v>2227</v>
      </c>
    </row>
    <row r="622" spans="1:2" x14ac:dyDescent="0.35">
      <c r="A622" s="70" t="s">
        <v>2228</v>
      </c>
      <c r="B622" t="s">
        <v>2229</v>
      </c>
    </row>
    <row r="623" spans="1:2" x14ac:dyDescent="0.35">
      <c r="A623" s="68" t="s">
        <v>2230</v>
      </c>
      <c r="B623" t="s">
        <v>2231</v>
      </c>
    </row>
    <row r="624" spans="1:2" x14ac:dyDescent="0.35">
      <c r="A624" s="70" t="s">
        <v>2232</v>
      </c>
      <c r="B624" t="s">
        <v>2233</v>
      </c>
    </row>
    <row r="625" spans="1:2" x14ac:dyDescent="0.35">
      <c r="A625" s="68" t="s">
        <v>2234</v>
      </c>
      <c r="B625" t="s">
        <v>2235</v>
      </c>
    </row>
    <row r="626" spans="1:2" x14ac:dyDescent="0.35">
      <c r="A626" s="70" t="s">
        <v>2236</v>
      </c>
      <c r="B626" t="s">
        <v>2237</v>
      </c>
    </row>
    <row r="627" spans="1:2" x14ac:dyDescent="0.35">
      <c r="A627" s="68" t="s">
        <v>2238</v>
      </c>
      <c r="B627" t="s">
        <v>2239</v>
      </c>
    </row>
    <row r="628" spans="1:2" x14ac:dyDescent="0.35">
      <c r="A628" s="70" t="s">
        <v>2240</v>
      </c>
      <c r="B628" t="s">
        <v>2241</v>
      </c>
    </row>
    <row r="629" spans="1:2" x14ac:dyDescent="0.35">
      <c r="A629" s="68" t="s">
        <v>2242</v>
      </c>
      <c r="B629" t="s">
        <v>2243</v>
      </c>
    </row>
    <row r="630" spans="1:2" x14ac:dyDescent="0.35">
      <c r="A630" s="70" t="s">
        <v>2244</v>
      </c>
      <c r="B630" t="s">
        <v>2245</v>
      </c>
    </row>
    <row r="631" spans="1:2" x14ac:dyDescent="0.35">
      <c r="A631" s="68" t="s">
        <v>2246</v>
      </c>
      <c r="B631" t="s">
        <v>2247</v>
      </c>
    </row>
    <row r="632" spans="1:2" x14ac:dyDescent="0.35">
      <c r="A632" s="70" t="s">
        <v>2248</v>
      </c>
      <c r="B632" t="s">
        <v>2249</v>
      </c>
    </row>
    <row r="633" spans="1:2" x14ac:dyDescent="0.35">
      <c r="A633" s="68" t="s">
        <v>2250</v>
      </c>
      <c r="B633" t="s">
        <v>2251</v>
      </c>
    </row>
    <row r="634" spans="1:2" x14ac:dyDescent="0.35">
      <c r="A634" s="70" t="s">
        <v>2252</v>
      </c>
      <c r="B634" t="s">
        <v>2253</v>
      </c>
    </row>
    <row r="635" spans="1:2" x14ac:dyDescent="0.35">
      <c r="A635" s="68" t="s">
        <v>2254</v>
      </c>
      <c r="B635" t="s">
        <v>2255</v>
      </c>
    </row>
    <row r="636" spans="1:2" x14ac:dyDescent="0.35">
      <c r="A636" s="70" t="s">
        <v>2256</v>
      </c>
      <c r="B636" t="s">
        <v>2257</v>
      </c>
    </row>
    <row r="637" spans="1:2" x14ac:dyDescent="0.35">
      <c r="A637" s="68" t="s">
        <v>2258</v>
      </c>
      <c r="B637" t="s">
        <v>2259</v>
      </c>
    </row>
    <row r="638" spans="1:2" x14ac:dyDescent="0.35">
      <c r="A638" s="70" t="s">
        <v>2260</v>
      </c>
      <c r="B638" t="s">
        <v>2261</v>
      </c>
    </row>
    <row r="639" spans="1:2" x14ac:dyDescent="0.35">
      <c r="A639" s="68" t="s">
        <v>2262</v>
      </c>
      <c r="B639" t="s">
        <v>2263</v>
      </c>
    </row>
    <row r="640" spans="1:2" x14ac:dyDescent="0.35">
      <c r="A640" s="70" t="s">
        <v>2264</v>
      </c>
      <c r="B640" t="s">
        <v>2265</v>
      </c>
    </row>
    <row r="641" spans="1:2" x14ac:dyDescent="0.35">
      <c r="A641" s="68" t="s">
        <v>2266</v>
      </c>
      <c r="B641" t="s">
        <v>2267</v>
      </c>
    </row>
    <row r="642" spans="1:2" x14ac:dyDescent="0.35">
      <c r="A642" s="70" t="s">
        <v>2268</v>
      </c>
      <c r="B642" t="s">
        <v>2269</v>
      </c>
    </row>
    <row r="643" spans="1:2" x14ac:dyDescent="0.35">
      <c r="A643" s="68" t="s">
        <v>2270</v>
      </c>
      <c r="B643" t="s">
        <v>2271</v>
      </c>
    </row>
    <row r="644" spans="1:2" x14ac:dyDescent="0.35">
      <c r="A644" s="70" t="s">
        <v>2272</v>
      </c>
      <c r="B644" t="s">
        <v>2273</v>
      </c>
    </row>
    <row r="645" spans="1:2" x14ac:dyDescent="0.35">
      <c r="A645" s="68" t="s">
        <v>2274</v>
      </c>
      <c r="B645" t="s">
        <v>2275</v>
      </c>
    </row>
    <row r="646" spans="1:2" x14ac:dyDescent="0.35">
      <c r="A646" s="70" t="s">
        <v>2276</v>
      </c>
      <c r="B646" t="s">
        <v>2277</v>
      </c>
    </row>
    <row r="647" spans="1:2" x14ac:dyDescent="0.35">
      <c r="A647" s="68" t="s">
        <v>2278</v>
      </c>
      <c r="B647" t="s">
        <v>2279</v>
      </c>
    </row>
    <row r="648" spans="1:2" x14ac:dyDescent="0.35">
      <c r="A648" s="70" t="s">
        <v>2280</v>
      </c>
      <c r="B648" t="s">
        <v>2281</v>
      </c>
    </row>
    <row r="649" spans="1:2" x14ac:dyDescent="0.35">
      <c r="A649" s="68" t="s">
        <v>2282</v>
      </c>
      <c r="B649" t="s">
        <v>2283</v>
      </c>
    </row>
    <row r="650" spans="1:2" x14ac:dyDescent="0.35">
      <c r="A650" s="70" t="s">
        <v>2284</v>
      </c>
      <c r="B650" t="s">
        <v>2285</v>
      </c>
    </row>
    <row r="651" spans="1:2" x14ac:dyDescent="0.35">
      <c r="A651" s="68" t="s">
        <v>2286</v>
      </c>
      <c r="B651" t="s">
        <v>2287</v>
      </c>
    </row>
    <row r="652" spans="1:2" x14ac:dyDescent="0.35">
      <c r="A652" s="70" t="s">
        <v>2288</v>
      </c>
      <c r="B652" t="s">
        <v>2289</v>
      </c>
    </row>
    <row r="653" spans="1:2" x14ac:dyDescent="0.35">
      <c r="A653" s="68" t="s">
        <v>2290</v>
      </c>
      <c r="B653" t="s">
        <v>2291</v>
      </c>
    </row>
    <row r="654" spans="1:2" x14ac:dyDescent="0.35">
      <c r="A654" s="70" t="s">
        <v>2292</v>
      </c>
      <c r="B654" t="s">
        <v>2293</v>
      </c>
    </row>
    <row r="655" spans="1:2" x14ac:dyDescent="0.35">
      <c r="A655" s="68" t="s">
        <v>2294</v>
      </c>
      <c r="B655" t="s">
        <v>2295</v>
      </c>
    </row>
    <row r="656" spans="1:2" x14ac:dyDescent="0.35">
      <c r="A656" s="70" t="s">
        <v>2296</v>
      </c>
      <c r="B656" t="s">
        <v>2297</v>
      </c>
    </row>
    <row r="657" spans="1:2" x14ac:dyDescent="0.35">
      <c r="A657" s="68" t="s">
        <v>2298</v>
      </c>
      <c r="B657" t="s">
        <v>2299</v>
      </c>
    </row>
    <row r="658" spans="1:2" x14ac:dyDescent="0.35">
      <c r="A658" s="70" t="s">
        <v>2300</v>
      </c>
      <c r="B658" t="s">
        <v>2301</v>
      </c>
    </row>
    <row r="659" spans="1:2" x14ac:dyDescent="0.35">
      <c r="A659" s="68" t="s">
        <v>2302</v>
      </c>
      <c r="B659" t="s">
        <v>2303</v>
      </c>
    </row>
    <row r="660" spans="1:2" x14ac:dyDescent="0.35">
      <c r="A660" s="70" t="s">
        <v>2304</v>
      </c>
      <c r="B660" t="s">
        <v>2305</v>
      </c>
    </row>
    <row r="661" spans="1:2" x14ac:dyDescent="0.35">
      <c r="A661" s="68" t="s">
        <v>2306</v>
      </c>
      <c r="B661" t="s">
        <v>2307</v>
      </c>
    </row>
    <row r="662" spans="1:2" x14ac:dyDescent="0.35">
      <c r="A662" s="70" t="s">
        <v>2308</v>
      </c>
      <c r="B662" t="s">
        <v>2309</v>
      </c>
    </row>
    <row r="663" spans="1:2" x14ac:dyDescent="0.35">
      <c r="A663" s="68" t="s">
        <v>2310</v>
      </c>
      <c r="B663" t="s">
        <v>2311</v>
      </c>
    </row>
    <row r="664" spans="1:2" x14ac:dyDescent="0.35">
      <c r="A664" s="70" t="s">
        <v>2312</v>
      </c>
      <c r="B664" t="s">
        <v>2313</v>
      </c>
    </row>
    <row r="665" spans="1:2" x14ac:dyDescent="0.35">
      <c r="A665" s="68" t="s">
        <v>2314</v>
      </c>
      <c r="B665" t="s">
        <v>2315</v>
      </c>
    </row>
    <row r="666" spans="1:2" x14ac:dyDescent="0.35">
      <c r="A666" s="70" t="s">
        <v>2316</v>
      </c>
      <c r="B666" t="s">
        <v>2317</v>
      </c>
    </row>
    <row r="667" spans="1:2" x14ac:dyDescent="0.35">
      <c r="A667" s="68" t="s">
        <v>2318</v>
      </c>
      <c r="B667" t="s">
        <v>2319</v>
      </c>
    </row>
    <row r="668" spans="1:2" x14ac:dyDescent="0.35">
      <c r="A668" s="70" t="s">
        <v>2320</v>
      </c>
      <c r="B668" t="s">
        <v>2321</v>
      </c>
    </row>
    <row r="669" spans="1:2" x14ac:dyDescent="0.35">
      <c r="A669" s="68" t="s">
        <v>2322</v>
      </c>
      <c r="B669" t="s">
        <v>2323</v>
      </c>
    </row>
    <row r="670" spans="1:2" x14ac:dyDescent="0.35">
      <c r="A670" s="70" t="s">
        <v>2324</v>
      </c>
      <c r="B670" t="s">
        <v>2325</v>
      </c>
    </row>
    <row r="671" spans="1:2" x14ac:dyDescent="0.35">
      <c r="A671" s="68" t="s">
        <v>2326</v>
      </c>
      <c r="B671" t="s">
        <v>2327</v>
      </c>
    </row>
    <row r="672" spans="1:2" x14ac:dyDescent="0.35">
      <c r="A672" s="70" t="s">
        <v>2328</v>
      </c>
      <c r="B672" t="s">
        <v>2329</v>
      </c>
    </row>
    <row r="673" spans="1:2" x14ac:dyDescent="0.35">
      <c r="A673" s="68" t="s">
        <v>2330</v>
      </c>
      <c r="B673" t="s">
        <v>2331</v>
      </c>
    </row>
    <row r="674" spans="1:2" x14ac:dyDescent="0.35">
      <c r="A674" s="70" t="s">
        <v>2332</v>
      </c>
      <c r="B674" t="s">
        <v>2333</v>
      </c>
    </row>
    <row r="675" spans="1:2" x14ac:dyDescent="0.35">
      <c r="A675" s="68" t="s">
        <v>2334</v>
      </c>
      <c r="B675" t="s">
        <v>2335</v>
      </c>
    </row>
    <row r="676" spans="1:2" x14ac:dyDescent="0.35">
      <c r="A676" s="70" t="s">
        <v>2336</v>
      </c>
      <c r="B676" t="s">
        <v>2337</v>
      </c>
    </row>
    <row r="677" spans="1:2" x14ac:dyDescent="0.35">
      <c r="A677" s="68" t="s">
        <v>2338</v>
      </c>
      <c r="B677" t="s">
        <v>2339</v>
      </c>
    </row>
    <row r="678" spans="1:2" x14ac:dyDescent="0.35">
      <c r="A678" s="70" t="s">
        <v>2340</v>
      </c>
      <c r="B678" t="s">
        <v>2341</v>
      </c>
    </row>
    <row r="679" spans="1:2" x14ac:dyDescent="0.35">
      <c r="A679" s="68" t="s">
        <v>2342</v>
      </c>
      <c r="B679" t="s">
        <v>2343</v>
      </c>
    </row>
    <row r="680" spans="1:2" x14ac:dyDescent="0.35">
      <c r="A680" s="70" t="s">
        <v>2344</v>
      </c>
      <c r="B680" t="s">
        <v>2345</v>
      </c>
    </row>
    <row r="681" spans="1:2" x14ac:dyDescent="0.35">
      <c r="A681" s="68" t="s">
        <v>2346</v>
      </c>
      <c r="B681" t="s">
        <v>2347</v>
      </c>
    </row>
    <row r="682" spans="1:2" x14ac:dyDescent="0.35">
      <c r="A682" s="70" t="s">
        <v>2348</v>
      </c>
      <c r="B682" t="s">
        <v>2349</v>
      </c>
    </row>
    <row r="683" spans="1:2" x14ac:dyDescent="0.35">
      <c r="A683" s="68" t="s">
        <v>2350</v>
      </c>
      <c r="B683" t="s">
        <v>2351</v>
      </c>
    </row>
    <row r="684" spans="1:2" x14ac:dyDescent="0.35">
      <c r="A684" s="70" t="s">
        <v>2352</v>
      </c>
      <c r="B684" t="s">
        <v>2353</v>
      </c>
    </row>
    <row r="685" spans="1:2" x14ac:dyDescent="0.35">
      <c r="A685" s="68" t="s">
        <v>2354</v>
      </c>
      <c r="B685" t="s">
        <v>2355</v>
      </c>
    </row>
    <row r="686" spans="1:2" x14ac:dyDescent="0.35">
      <c r="A686" s="70" t="s">
        <v>2356</v>
      </c>
      <c r="B686" t="s">
        <v>2357</v>
      </c>
    </row>
    <row r="687" spans="1:2" x14ac:dyDescent="0.35">
      <c r="A687" s="68" t="s">
        <v>2358</v>
      </c>
      <c r="B687" t="s">
        <v>2359</v>
      </c>
    </row>
    <row r="688" spans="1:2" x14ac:dyDescent="0.35">
      <c r="A688" s="70" t="s">
        <v>2360</v>
      </c>
      <c r="B688" t="s">
        <v>2361</v>
      </c>
    </row>
    <row r="689" spans="1:2" x14ac:dyDescent="0.35">
      <c r="A689" s="68" t="s">
        <v>2362</v>
      </c>
      <c r="B689" t="s">
        <v>2363</v>
      </c>
    </row>
    <row r="690" spans="1:2" x14ac:dyDescent="0.35">
      <c r="A690" s="70" t="s">
        <v>2364</v>
      </c>
      <c r="B690" t="s">
        <v>2365</v>
      </c>
    </row>
    <row r="691" spans="1:2" x14ac:dyDescent="0.35">
      <c r="A691" s="68" t="s">
        <v>2366</v>
      </c>
      <c r="B691" t="s">
        <v>2367</v>
      </c>
    </row>
    <row r="692" spans="1:2" x14ac:dyDescent="0.35">
      <c r="A692" s="70" t="s">
        <v>2368</v>
      </c>
      <c r="B692" t="s">
        <v>2369</v>
      </c>
    </row>
    <row r="693" spans="1:2" x14ac:dyDescent="0.35">
      <c r="A693" s="68" t="s">
        <v>2370</v>
      </c>
      <c r="B693" t="s">
        <v>2371</v>
      </c>
    </row>
    <row r="694" spans="1:2" x14ac:dyDescent="0.35">
      <c r="A694" s="70" t="s">
        <v>2372</v>
      </c>
      <c r="B694" s="58" t="s">
        <v>2373</v>
      </c>
    </row>
    <row r="695" spans="1:2" x14ac:dyDescent="0.35">
      <c r="A695" s="68" t="s">
        <v>2374</v>
      </c>
      <c r="B695" s="58" t="s">
        <v>2375</v>
      </c>
    </row>
    <row r="696" spans="1:2" x14ac:dyDescent="0.35">
      <c r="A696" s="70" t="s">
        <v>2376</v>
      </c>
      <c r="B696" t="s">
        <v>2377</v>
      </c>
    </row>
    <row r="697" spans="1:2" x14ac:dyDescent="0.35">
      <c r="A697" s="68" t="s">
        <v>2378</v>
      </c>
      <c r="B697" t="s">
        <v>2379</v>
      </c>
    </row>
    <row r="698" spans="1:2" x14ac:dyDescent="0.35">
      <c r="A698" s="70" t="s">
        <v>2380</v>
      </c>
      <c r="B698" s="58" t="s">
        <v>2381</v>
      </c>
    </row>
    <row r="699" spans="1:2" x14ac:dyDescent="0.35">
      <c r="A699" s="68" t="s">
        <v>2382</v>
      </c>
      <c r="B699" t="s">
        <v>2383</v>
      </c>
    </row>
    <row r="700" spans="1:2" x14ac:dyDescent="0.35">
      <c r="A700" s="70" t="s">
        <v>2384</v>
      </c>
      <c r="B700" t="s">
        <v>2385</v>
      </c>
    </row>
    <row r="701" spans="1:2" x14ac:dyDescent="0.35">
      <c r="A701" s="68" t="s">
        <v>2386</v>
      </c>
      <c r="B701" t="s">
        <v>2387</v>
      </c>
    </row>
    <row r="702" spans="1:2" x14ac:dyDescent="0.35">
      <c r="A702" s="70" t="s">
        <v>2388</v>
      </c>
      <c r="B702" t="s">
        <v>2389</v>
      </c>
    </row>
    <row r="703" spans="1:2" x14ac:dyDescent="0.35">
      <c r="A703" s="68" t="s">
        <v>2390</v>
      </c>
      <c r="B703" t="s">
        <v>2391</v>
      </c>
    </row>
    <row r="704" spans="1:2" x14ac:dyDescent="0.35">
      <c r="A704" s="70" t="s">
        <v>2392</v>
      </c>
      <c r="B704" t="s">
        <v>2393</v>
      </c>
    </row>
    <row r="705" spans="1:2" x14ac:dyDescent="0.35">
      <c r="A705" s="68" t="s">
        <v>2394</v>
      </c>
      <c r="B705" t="s">
        <v>2395</v>
      </c>
    </row>
    <row r="706" spans="1:2" x14ac:dyDescent="0.35">
      <c r="A706" s="70" t="s">
        <v>2396</v>
      </c>
      <c r="B706" t="s">
        <v>2397</v>
      </c>
    </row>
    <row r="707" spans="1:2" x14ac:dyDescent="0.35">
      <c r="A707" s="68" t="s">
        <v>2398</v>
      </c>
      <c r="B707" t="s">
        <v>2399</v>
      </c>
    </row>
    <row r="708" spans="1:2" x14ac:dyDescent="0.35">
      <c r="A708" s="70" t="s">
        <v>2400</v>
      </c>
      <c r="B708" t="s">
        <v>2401</v>
      </c>
    </row>
    <row r="709" spans="1:2" x14ac:dyDescent="0.35">
      <c r="A709" s="68" t="s">
        <v>2402</v>
      </c>
      <c r="B709" t="s">
        <v>2403</v>
      </c>
    </row>
    <row r="710" spans="1:2" x14ac:dyDescent="0.35">
      <c r="A710" s="70" t="s">
        <v>2404</v>
      </c>
      <c r="B710" t="s">
        <v>2405</v>
      </c>
    </row>
    <row r="711" spans="1:2" x14ac:dyDescent="0.35">
      <c r="A711" s="68" t="s">
        <v>2406</v>
      </c>
      <c r="B711" t="s">
        <v>2407</v>
      </c>
    </row>
    <row r="712" spans="1:2" x14ac:dyDescent="0.35">
      <c r="A712" s="70" t="s">
        <v>2408</v>
      </c>
      <c r="B712" t="s">
        <v>2409</v>
      </c>
    </row>
    <row r="713" spans="1:2" x14ac:dyDescent="0.35">
      <c r="A713" s="68" t="s">
        <v>2410</v>
      </c>
      <c r="B713" t="s">
        <v>2411</v>
      </c>
    </row>
    <row r="714" spans="1:2" x14ac:dyDescent="0.35">
      <c r="A714" s="70" t="s">
        <v>2412</v>
      </c>
      <c r="B714" t="s">
        <v>2413</v>
      </c>
    </row>
    <row r="715" spans="1:2" x14ac:dyDescent="0.35">
      <c r="A715" s="68" t="s">
        <v>2414</v>
      </c>
      <c r="B715" t="s">
        <v>2415</v>
      </c>
    </row>
    <row r="716" spans="1:2" x14ac:dyDescent="0.35">
      <c r="A716" s="70" t="s">
        <v>2416</v>
      </c>
      <c r="B716" t="s">
        <v>2417</v>
      </c>
    </row>
    <row r="717" spans="1:2" x14ac:dyDescent="0.35">
      <c r="A717" s="68" t="s">
        <v>2418</v>
      </c>
      <c r="B717" t="s">
        <v>2419</v>
      </c>
    </row>
    <row r="718" spans="1:2" x14ac:dyDescent="0.35">
      <c r="A718" s="70" t="s">
        <v>2420</v>
      </c>
      <c r="B718" t="s">
        <v>2421</v>
      </c>
    </row>
    <row r="719" spans="1:2" x14ac:dyDescent="0.35">
      <c r="A719" s="68" t="s">
        <v>2422</v>
      </c>
      <c r="B719" t="s">
        <v>2423</v>
      </c>
    </row>
    <row r="720" spans="1:2" x14ac:dyDescent="0.35">
      <c r="A720" s="70" t="s">
        <v>2424</v>
      </c>
      <c r="B720" t="s">
        <v>2425</v>
      </c>
    </row>
    <row r="721" spans="1:2" x14ac:dyDescent="0.35">
      <c r="A721" s="68" t="s">
        <v>2426</v>
      </c>
      <c r="B721" t="s">
        <v>2427</v>
      </c>
    </row>
    <row r="722" spans="1:2" x14ac:dyDescent="0.35">
      <c r="A722" s="70" t="s">
        <v>2428</v>
      </c>
      <c r="B722" t="s">
        <v>2429</v>
      </c>
    </row>
    <row r="723" spans="1:2" x14ac:dyDescent="0.35">
      <c r="A723" s="68" t="s">
        <v>2430</v>
      </c>
      <c r="B723" t="s">
        <v>2431</v>
      </c>
    </row>
    <row r="724" spans="1:2" x14ac:dyDescent="0.35">
      <c r="A724" s="70" t="s">
        <v>2432</v>
      </c>
      <c r="B724" t="s">
        <v>2433</v>
      </c>
    </row>
    <row r="725" spans="1:2" x14ac:dyDescent="0.35">
      <c r="A725" s="68" t="s">
        <v>2434</v>
      </c>
      <c r="B725" t="s">
        <v>2435</v>
      </c>
    </row>
    <row r="726" spans="1:2" x14ac:dyDescent="0.35">
      <c r="A726" s="70" t="s">
        <v>2436</v>
      </c>
      <c r="B726" s="58" t="s">
        <v>2437</v>
      </c>
    </row>
    <row r="727" spans="1:2" x14ac:dyDescent="0.35">
      <c r="A727" s="68" t="s">
        <v>2438</v>
      </c>
      <c r="B727" t="s">
        <v>2439</v>
      </c>
    </row>
    <row r="728" spans="1:2" x14ac:dyDescent="0.35">
      <c r="A728" s="70" t="s">
        <v>2440</v>
      </c>
      <c r="B728" t="s">
        <v>2441</v>
      </c>
    </row>
    <row r="729" spans="1:2" x14ac:dyDescent="0.35">
      <c r="A729" s="68" t="s">
        <v>2442</v>
      </c>
      <c r="B729" t="s">
        <v>2443</v>
      </c>
    </row>
    <row r="730" spans="1:2" x14ac:dyDescent="0.35">
      <c r="A730" s="70" t="s">
        <v>2444</v>
      </c>
      <c r="B730" t="s">
        <v>2445</v>
      </c>
    </row>
    <row r="731" spans="1:2" x14ac:dyDescent="0.35">
      <c r="A731" s="68" t="s">
        <v>2446</v>
      </c>
      <c r="B731" t="s">
        <v>2447</v>
      </c>
    </row>
    <row r="732" spans="1:2" x14ac:dyDescent="0.35">
      <c r="A732" s="70" t="s">
        <v>2448</v>
      </c>
      <c r="B732" t="s">
        <v>2449</v>
      </c>
    </row>
    <row r="733" spans="1:2" x14ac:dyDescent="0.35">
      <c r="A733" s="68" t="s">
        <v>2450</v>
      </c>
      <c r="B733" t="s">
        <v>2451</v>
      </c>
    </row>
    <row r="734" spans="1:2" x14ac:dyDescent="0.35">
      <c r="A734" s="70" t="s">
        <v>2452</v>
      </c>
      <c r="B734" s="58" t="s">
        <v>2453</v>
      </c>
    </row>
    <row r="735" spans="1:2" x14ac:dyDescent="0.35">
      <c r="A735" s="68" t="s">
        <v>2454</v>
      </c>
      <c r="B735" t="s">
        <v>2455</v>
      </c>
    </row>
    <row r="736" spans="1:2" x14ac:dyDescent="0.35">
      <c r="A736" s="70" t="s">
        <v>2456</v>
      </c>
      <c r="B736" s="58" t="s">
        <v>2457</v>
      </c>
    </row>
    <row r="737" spans="1:2" x14ac:dyDescent="0.35">
      <c r="A737" s="68" t="s">
        <v>2458</v>
      </c>
      <c r="B737" s="58" t="s">
        <v>2459</v>
      </c>
    </row>
    <row r="738" spans="1:2" x14ac:dyDescent="0.35">
      <c r="A738" s="70" t="s">
        <v>2460</v>
      </c>
      <c r="B738" t="s">
        <v>2461</v>
      </c>
    </row>
    <row r="739" spans="1:2" x14ac:dyDescent="0.35">
      <c r="A739" s="68" t="s">
        <v>2462</v>
      </c>
      <c r="B739" t="s">
        <v>2463</v>
      </c>
    </row>
    <row r="740" spans="1:2" x14ac:dyDescent="0.35">
      <c r="A740" s="70" t="s">
        <v>2464</v>
      </c>
      <c r="B740" s="58" t="s">
        <v>2465</v>
      </c>
    </row>
    <row r="741" spans="1:2" x14ac:dyDescent="0.35">
      <c r="A741" s="68" t="s">
        <v>2466</v>
      </c>
      <c r="B741" s="58" t="s">
        <v>2467</v>
      </c>
    </row>
    <row r="742" spans="1:2" x14ac:dyDescent="0.35">
      <c r="A742" s="70" t="s">
        <v>2468</v>
      </c>
      <c r="B742" t="s">
        <v>2469</v>
      </c>
    </row>
    <row r="743" spans="1:2" x14ac:dyDescent="0.35">
      <c r="A743" s="68" t="s">
        <v>2470</v>
      </c>
      <c r="B743" t="s">
        <v>2471</v>
      </c>
    </row>
    <row r="744" spans="1:2" x14ac:dyDescent="0.35">
      <c r="A744" s="70" t="s">
        <v>2472</v>
      </c>
      <c r="B744" t="s">
        <v>2473</v>
      </c>
    </row>
    <row r="745" spans="1:2" x14ac:dyDescent="0.35">
      <c r="A745" s="68" t="s">
        <v>2474</v>
      </c>
      <c r="B745" t="s">
        <v>2475</v>
      </c>
    </row>
    <row r="746" spans="1:2" x14ac:dyDescent="0.35">
      <c r="A746" s="70" t="s">
        <v>2476</v>
      </c>
      <c r="B746" s="58" t="s">
        <v>2477</v>
      </c>
    </row>
    <row r="747" spans="1:2" x14ac:dyDescent="0.35">
      <c r="A747" s="68" t="s">
        <v>2478</v>
      </c>
      <c r="B747" s="58" t="s">
        <v>2479</v>
      </c>
    </row>
    <row r="748" spans="1:2" x14ac:dyDescent="0.35">
      <c r="A748" s="70" t="s">
        <v>2480</v>
      </c>
      <c r="B748" s="58" t="s">
        <v>2481</v>
      </c>
    </row>
    <row r="749" spans="1:2" x14ac:dyDescent="0.35">
      <c r="A749" s="68" t="s">
        <v>2482</v>
      </c>
      <c r="B749" t="s">
        <v>2483</v>
      </c>
    </row>
    <row r="750" spans="1:2" x14ac:dyDescent="0.35">
      <c r="A750" s="70" t="s">
        <v>2484</v>
      </c>
      <c r="B750" s="58" t="s">
        <v>2485</v>
      </c>
    </row>
    <row r="751" spans="1:2" x14ac:dyDescent="0.35">
      <c r="A751" s="68" t="s">
        <v>2486</v>
      </c>
      <c r="B751" t="s">
        <v>2487</v>
      </c>
    </row>
    <row r="752" spans="1:2" x14ac:dyDescent="0.35">
      <c r="A752" s="70" t="s">
        <v>2488</v>
      </c>
      <c r="B752" t="s">
        <v>2489</v>
      </c>
    </row>
    <row r="753" spans="1:2" x14ac:dyDescent="0.35">
      <c r="A753" s="68" t="s">
        <v>2490</v>
      </c>
      <c r="B753" t="s">
        <v>2491</v>
      </c>
    </row>
    <row r="754" spans="1:2" x14ac:dyDescent="0.35">
      <c r="A754" s="70" t="s">
        <v>2492</v>
      </c>
      <c r="B754" t="s">
        <v>2493</v>
      </c>
    </row>
    <row r="755" spans="1:2" x14ac:dyDescent="0.35">
      <c r="A755" s="68" t="s">
        <v>2494</v>
      </c>
      <c r="B755" t="s">
        <v>2495</v>
      </c>
    </row>
    <row r="756" spans="1:2" x14ac:dyDescent="0.35">
      <c r="A756" s="70" t="s">
        <v>2496</v>
      </c>
      <c r="B756" t="s">
        <v>2497</v>
      </c>
    </row>
    <row r="757" spans="1:2" x14ac:dyDescent="0.35">
      <c r="A757" s="68" t="s">
        <v>2498</v>
      </c>
      <c r="B757" t="s">
        <v>2499</v>
      </c>
    </row>
    <row r="758" spans="1:2" x14ac:dyDescent="0.35">
      <c r="A758" s="70" t="s">
        <v>2500</v>
      </c>
      <c r="B758" t="s">
        <v>2501</v>
      </c>
    </row>
    <row r="759" spans="1:2" x14ac:dyDescent="0.35">
      <c r="A759" s="68" t="s">
        <v>2502</v>
      </c>
      <c r="B759" t="s">
        <v>2503</v>
      </c>
    </row>
    <row r="760" spans="1:2" x14ac:dyDescent="0.35">
      <c r="A760" s="70" t="s">
        <v>2504</v>
      </c>
      <c r="B760" s="58" t="s">
        <v>2505</v>
      </c>
    </row>
    <row r="761" spans="1:2" x14ac:dyDescent="0.35">
      <c r="A761" s="68" t="s">
        <v>2506</v>
      </c>
      <c r="B761" t="s">
        <v>2507</v>
      </c>
    </row>
    <row r="762" spans="1:2" x14ac:dyDescent="0.35">
      <c r="A762" s="70" t="s">
        <v>2508</v>
      </c>
      <c r="B762" t="s">
        <v>2509</v>
      </c>
    </row>
    <row r="763" spans="1:2" x14ac:dyDescent="0.35">
      <c r="A763" s="68" t="s">
        <v>2510</v>
      </c>
      <c r="B763" t="s">
        <v>2511</v>
      </c>
    </row>
    <row r="764" spans="1:2" x14ac:dyDescent="0.35">
      <c r="A764" s="70" t="s">
        <v>2512</v>
      </c>
      <c r="B764" t="s">
        <v>2513</v>
      </c>
    </row>
    <row r="765" spans="1:2" x14ac:dyDescent="0.35">
      <c r="A765" s="68" t="s">
        <v>2514</v>
      </c>
      <c r="B765" t="s">
        <v>2515</v>
      </c>
    </row>
    <row r="766" spans="1:2" x14ac:dyDescent="0.35">
      <c r="A766" s="70" t="s">
        <v>2516</v>
      </c>
      <c r="B766" t="s">
        <v>2517</v>
      </c>
    </row>
    <row r="767" spans="1:2" x14ac:dyDescent="0.35">
      <c r="A767" s="68" t="s">
        <v>2518</v>
      </c>
      <c r="B767" t="s">
        <v>2519</v>
      </c>
    </row>
    <row r="768" spans="1:2" x14ac:dyDescent="0.35">
      <c r="A768" s="70" t="s">
        <v>2520</v>
      </c>
      <c r="B768" t="s">
        <v>2521</v>
      </c>
    </row>
    <row r="769" spans="1:2" x14ac:dyDescent="0.35">
      <c r="A769" s="68" t="s">
        <v>2522</v>
      </c>
      <c r="B769" t="s">
        <v>2523</v>
      </c>
    </row>
    <row r="770" spans="1:2" x14ac:dyDescent="0.35">
      <c r="A770" s="70" t="s">
        <v>2524</v>
      </c>
      <c r="B770" s="58" t="s">
        <v>2525</v>
      </c>
    </row>
    <row r="771" spans="1:2" x14ac:dyDescent="0.35">
      <c r="A771" s="68" t="s">
        <v>2526</v>
      </c>
      <c r="B771" t="s">
        <v>2527</v>
      </c>
    </row>
    <row r="772" spans="1:2" x14ac:dyDescent="0.35">
      <c r="A772" s="70" t="s">
        <v>2528</v>
      </c>
      <c r="B772" t="s">
        <v>2529</v>
      </c>
    </row>
    <row r="773" spans="1:2" x14ac:dyDescent="0.35">
      <c r="A773" s="68" t="s">
        <v>2530</v>
      </c>
      <c r="B773" t="s">
        <v>2531</v>
      </c>
    </row>
    <row r="774" spans="1:2" x14ac:dyDescent="0.35">
      <c r="A774" s="70" t="s">
        <v>2532</v>
      </c>
      <c r="B774" t="s">
        <v>2533</v>
      </c>
    </row>
    <row r="775" spans="1:2" x14ac:dyDescent="0.35">
      <c r="A775" s="68" t="s">
        <v>2534</v>
      </c>
      <c r="B775" s="58" t="s">
        <v>2535</v>
      </c>
    </row>
    <row r="776" spans="1:2" x14ac:dyDescent="0.35">
      <c r="A776" s="70" t="s">
        <v>2536</v>
      </c>
      <c r="B776" s="58" t="s">
        <v>2537</v>
      </c>
    </row>
    <row r="777" spans="1:2" x14ac:dyDescent="0.35">
      <c r="A777" s="68" t="s">
        <v>2538</v>
      </c>
      <c r="B777" t="s">
        <v>2539</v>
      </c>
    </row>
    <row r="778" spans="1:2" x14ac:dyDescent="0.35">
      <c r="A778" s="70" t="s">
        <v>2540</v>
      </c>
      <c r="B778" t="s">
        <v>2541</v>
      </c>
    </row>
    <row r="779" spans="1:2" x14ac:dyDescent="0.35">
      <c r="A779" s="68" t="s">
        <v>2542</v>
      </c>
      <c r="B779" t="s">
        <v>2543</v>
      </c>
    </row>
    <row r="780" spans="1:2" x14ac:dyDescent="0.35">
      <c r="A780" s="70" t="s">
        <v>2544</v>
      </c>
      <c r="B780" t="s">
        <v>2545</v>
      </c>
    </row>
    <row r="781" spans="1:2" x14ac:dyDescent="0.35">
      <c r="A781" s="68" t="s">
        <v>2546</v>
      </c>
      <c r="B781" t="s">
        <v>2547</v>
      </c>
    </row>
    <row r="782" spans="1:2" x14ac:dyDescent="0.35">
      <c r="A782" s="70" t="s">
        <v>2548</v>
      </c>
      <c r="B782" t="s">
        <v>2549</v>
      </c>
    </row>
    <row r="783" spans="1:2" x14ac:dyDescent="0.35">
      <c r="A783" s="68" t="s">
        <v>2550</v>
      </c>
      <c r="B783" t="s">
        <v>2551</v>
      </c>
    </row>
    <row r="784" spans="1:2" x14ac:dyDescent="0.35">
      <c r="A784" s="70" t="s">
        <v>2552</v>
      </c>
      <c r="B784" t="s">
        <v>2553</v>
      </c>
    </row>
    <row r="785" spans="1:2" x14ac:dyDescent="0.35">
      <c r="A785" s="68" t="s">
        <v>2554</v>
      </c>
      <c r="B785" t="s">
        <v>2555</v>
      </c>
    </row>
    <row r="786" spans="1:2" x14ac:dyDescent="0.35">
      <c r="A786" s="70" t="s">
        <v>2556</v>
      </c>
      <c r="B786" t="s">
        <v>2557</v>
      </c>
    </row>
    <row r="787" spans="1:2" x14ac:dyDescent="0.35">
      <c r="A787" s="68" t="s">
        <v>2558</v>
      </c>
      <c r="B787" t="s">
        <v>2559</v>
      </c>
    </row>
    <row r="788" spans="1:2" x14ac:dyDescent="0.35">
      <c r="A788" s="70" t="s">
        <v>2560</v>
      </c>
      <c r="B788" t="s">
        <v>2561</v>
      </c>
    </row>
    <row r="789" spans="1:2" x14ac:dyDescent="0.35">
      <c r="A789" s="68" t="s">
        <v>2562</v>
      </c>
      <c r="B789" t="s">
        <v>2563</v>
      </c>
    </row>
    <row r="790" spans="1:2" x14ac:dyDescent="0.35">
      <c r="A790" s="70" t="s">
        <v>2564</v>
      </c>
      <c r="B790" t="s">
        <v>2565</v>
      </c>
    </row>
    <row r="791" spans="1:2" x14ac:dyDescent="0.35">
      <c r="A791" s="68" t="s">
        <v>2566</v>
      </c>
      <c r="B791" t="s">
        <v>2567</v>
      </c>
    </row>
    <row r="792" spans="1:2" x14ac:dyDescent="0.35">
      <c r="A792" s="70" t="s">
        <v>2568</v>
      </c>
      <c r="B792" t="s">
        <v>2569</v>
      </c>
    </row>
    <row r="793" spans="1:2" x14ac:dyDescent="0.35">
      <c r="A793" s="68" t="s">
        <v>2570</v>
      </c>
      <c r="B793" t="s">
        <v>2571</v>
      </c>
    </row>
    <row r="794" spans="1:2" x14ac:dyDescent="0.35">
      <c r="A794" s="70" t="s">
        <v>2572</v>
      </c>
      <c r="B794" t="s">
        <v>2573</v>
      </c>
    </row>
    <row r="795" spans="1:2" x14ac:dyDescent="0.35">
      <c r="A795" s="68" t="s">
        <v>2574</v>
      </c>
      <c r="B795" t="s">
        <v>2575</v>
      </c>
    </row>
    <row r="796" spans="1:2" x14ac:dyDescent="0.35">
      <c r="A796" s="70" t="s">
        <v>2576</v>
      </c>
      <c r="B796" t="s">
        <v>2577</v>
      </c>
    </row>
    <row r="797" spans="1:2" x14ac:dyDescent="0.35">
      <c r="A797" s="68" t="s">
        <v>2578</v>
      </c>
      <c r="B797" t="s">
        <v>2579</v>
      </c>
    </row>
    <row r="798" spans="1:2" x14ac:dyDescent="0.35">
      <c r="A798" s="70" t="s">
        <v>2580</v>
      </c>
      <c r="B798" t="s">
        <v>2581</v>
      </c>
    </row>
    <row r="799" spans="1:2" x14ac:dyDescent="0.35">
      <c r="A799" s="68" t="s">
        <v>2582</v>
      </c>
      <c r="B799" t="s">
        <v>2583</v>
      </c>
    </row>
    <row r="800" spans="1:2" x14ac:dyDescent="0.35">
      <c r="A800" s="70" t="s">
        <v>2584</v>
      </c>
      <c r="B800" t="s">
        <v>2585</v>
      </c>
    </row>
    <row r="801" spans="1:2" x14ac:dyDescent="0.35">
      <c r="A801" s="68" t="s">
        <v>2586</v>
      </c>
      <c r="B801" t="s">
        <v>2587</v>
      </c>
    </row>
    <row r="802" spans="1:2" x14ac:dyDescent="0.35">
      <c r="A802" s="70" t="s">
        <v>2588</v>
      </c>
      <c r="B802" t="s">
        <v>2589</v>
      </c>
    </row>
    <row r="803" spans="1:2" x14ac:dyDescent="0.35">
      <c r="A803" s="68" t="s">
        <v>2590</v>
      </c>
      <c r="B803" t="s">
        <v>2591</v>
      </c>
    </row>
    <row r="804" spans="1:2" x14ac:dyDescent="0.35">
      <c r="A804" s="70" t="s">
        <v>2592</v>
      </c>
      <c r="B804" t="s">
        <v>2593</v>
      </c>
    </row>
    <row r="805" spans="1:2" x14ac:dyDescent="0.35">
      <c r="A805" s="68" t="s">
        <v>2594</v>
      </c>
      <c r="B805" t="s">
        <v>2595</v>
      </c>
    </row>
    <row r="806" spans="1:2" x14ac:dyDescent="0.35">
      <c r="A806" s="70" t="s">
        <v>2596</v>
      </c>
      <c r="B806" t="s">
        <v>2597</v>
      </c>
    </row>
    <row r="807" spans="1:2" x14ac:dyDescent="0.35">
      <c r="A807" s="68" t="s">
        <v>2598</v>
      </c>
      <c r="B807" t="s">
        <v>2599</v>
      </c>
    </row>
    <row r="808" spans="1:2" x14ac:dyDescent="0.35">
      <c r="A808" s="70" t="s">
        <v>2600</v>
      </c>
      <c r="B808" t="s">
        <v>2601</v>
      </c>
    </row>
    <row r="809" spans="1:2" x14ac:dyDescent="0.35">
      <c r="A809" s="68" t="s">
        <v>2602</v>
      </c>
      <c r="B809" t="s">
        <v>2603</v>
      </c>
    </row>
    <row r="810" spans="1:2" x14ac:dyDescent="0.35">
      <c r="A810" s="70" t="s">
        <v>2604</v>
      </c>
      <c r="B810" t="s">
        <v>2605</v>
      </c>
    </row>
    <row r="811" spans="1:2" x14ac:dyDescent="0.35">
      <c r="A811" s="68" t="s">
        <v>2606</v>
      </c>
      <c r="B811" t="s">
        <v>2607</v>
      </c>
    </row>
    <row r="812" spans="1:2" x14ac:dyDescent="0.35">
      <c r="A812" s="70" t="s">
        <v>2608</v>
      </c>
      <c r="B812" t="s">
        <v>2609</v>
      </c>
    </row>
    <row r="813" spans="1:2" x14ac:dyDescent="0.35">
      <c r="A813" s="68" t="s">
        <v>2610</v>
      </c>
      <c r="B813" t="s">
        <v>2611</v>
      </c>
    </row>
    <row r="814" spans="1:2" x14ac:dyDescent="0.35">
      <c r="A814" s="70" t="s">
        <v>2612</v>
      </c>
      <c r="B814" t="s">
        <v>2613</v>
      </c>
    </row>
    <row r="815" spans="1:2" x14ac:dyDescent="0.35">
      <c r="A815" s="68" t="s">
        <v>2614</v>
      </c>
      <c r="B815" t="s">
        <v>2615</v>
      </c>
    </row>
    <row r="816" spans="1:2" x14ac:dyDescent="0.35">
      <c r="A816" s="70" t="s">
        <v>2616</v>
      </c>
      <c r="B816" t="s">
        <v>2617</v>
      </c>
    </row>
    <row r="817" spans="1:2" x14ac:dyDescent="0.35">
      <c r="A817" s="68" t="s">
        <v>2618</v>
      </c>
      <c r="B817" t="s">
        <v>2619</v>
      </c>
    </row>
    <row r="818" spans="1:2" x14ac:dyDescent="0.35">
      <c r="A818" s="70" t="s">
        <v>2620</v>
      </c>
      <c r="B818" t="s">
        <v>2621</v>
      </c>
    </row>
    <row r="819" spans="1:2" x14ac:dyDescent="0.35">
      <c r="A819" s="68" t="s">
        <v>2622</v>
      </c>
      <c r="B819" t="s">
        <v>2623</v>
      </c>
    </row>
    <row r="820" spans="1:2" x14ac:dyDescent="0.35">
      <c r="A820" s="70" t="s">
        <v>2624</v>
      </c>
      <c r="B820" t="s">
        <v>2625</v>
      </c>
    </row>
    <row r="821" spans="1:2" x14ac:dyDescent="0.35">
      <c r="A821" s="68" t="s">
        <v>2626</v>
      </c>
      <c r="B821" t="s">
        <v>2627</v>
      </c>
    </row>
    <row r="822" spans="1:2" x14ac:dyDescent="0.35">
      <c r="A822" s="70" t="s">
        <v>2628</v>
      </c>
      <c r="B822" t="s">
        <v>2629</v>
      </c>
    </row>
    <row r="823" spans="1:2" x14ac:dyDescent="0.35">
      <c r="A823" s="68" t="s">
        <v>2630</v>
      </c>
      <c r="B823" t="s">
        <v>2631</v>
      </c>
    </row>
    <row r="824" spans="1:2" x14ac:dyDescent="0.35">
      <c r="A824" s="70" t="s">
        <v>2632</v>
      </c>
      <c r="B824" t="s">
        <v>2633</v>
      </c>
    </row>
    <row r="825" spans="1:2" x14ac:dyDescent="0.35">
      <c r="A825" s="68" t="s">
        <v>2634</v>
      </c>
      <c r="B825" t="s">
        <v>2635</v>
      </c>
    </row>
    <row r="826" spans="1:2" x14ac:dyDescent="0.35">
      <c r="A826" s="70" t="s">
        <v>2636</v>
      </c>
      <c r="B826" t="s">
        <v>2637</v>
      </c>
    </row>
    <row r="827" spans="1:2" x14ac:dyDescent="0.35">
      <c r="A827" s="68" t="s">
        <v>2638</v>
      </c>
      <c r="B827" t="s">
        <v>2639</v>
      </c>
    </row>
    <row r="828" spans="1:2" x14ac:dyDescent="0.35">
      <c r="A828" s="70" t="s">
        <v>2640</v>
      </c>
      <c r="B828" t="s">
        <v>2641</v>
      </c>
    </row>
    <row r="829" spans="1:2" x14ac:dyDescent="0.35">
      <c r="A829" s="68" t="s">
        <v>2642</v>
      </c>
      <c r="B829" t="s">
        <v>2643</v>
      </c>
    </row>
    <row r="830" spans="1:2" x14ac:dyDescent="0.35">
      <c r="A830" s="70" t="s">
        <v>2644</v>
      </c>
      <c r="B830" t="s">
        <v>2645</v>
      </c>
    </row>
    <row r="831" spans="1:2" x14ac:dyDescent="0.35">
      <c r="A831" s="68" t="s">
        <v>2646</v>
      </c>
      <c r="B831" t="s">
        <v>2647</v>
      </c>
    </row>
    <row r="832" spans="1:2" x14ac:dyDescent="0.35">
      <c r="A832" s="70" t="s">
        <v>2648</v>
      </c>
      <c r="B832" t="s">
        <v>2649</v>
      </c>
    </row>
    <row r="833" spans="1:2" x14ac:dyDescent="0.35">
      <c r="A833" s="68" t="s">
        <v>2650</v>
      </c>
      <c r="B833" t="s">
        <v>2651</v>
      </c>
    </row>
    <row r="834" spans="1:2" x14ac:dyDescent="0.35">
      <c r="A834" s="70" t="s">
        <v>2652</v>
      </c>
      <c r="B834" t="s">
        <v>2653</v>
      </c>
    </row>
    <row r="835" spans="1:2" x14ac:dyDescent="0.35">
      <c r="A835" s="68" t="s">
        <v>2654</v>
      </c>
      <c r="B835" s="58" t="s">
        <v>2655</v>
      </c>
    </row>
    <row r="836" spans="1:2" x14ac:dyDescent="0.35">
      <c r="A836" s="70" t="s">
        <v>2656</v>
      </c>
      <c r="B836" s="58" t="s">
        <v>2657</v>
      </c>
    </row>
    <row r="837" spans="1:2" x14ac:dyDescent="0.35">
      <c r="A837" s="68" t="s">
        <v>2658</v>
      </c>
      <c r="B837" s="58" t="s">
        <v>2659</v>
      </c>
    </row>
    <row r="838" spans="1:2" x14ac:dyDescent="0.35">
      <c r="A838" s="70" t="s">
        <v>2660</v>
      </c>
      <c r="B838" s="58" t="s">
        <v>2661</v>
      </c>
    </row>
    <row r="839" spans="1:2" x14ac:dyDescent="0.35">
      <c r="A839" s="68" t="s">
        <v>2662</v>
      </c>
      <c r="B839" s="58" t="s">
        <v>2663</v>
      </c>
    </row>
    <row r="840" spans="1:2" x14ac:dyDescent="0.35">
      <c r="A840" s="70" t="s">
        <v>2664</v>
      </c>
      <c r="B840" s="58" t="s">
        <v>2665</v>
      </c>
    </row>
    <row r="841" spans="1:2" x14ac:dyDescent="0.35">
      <c r="A841" s="68" t="s">
        <v>2666</v>
      </c>
      <c r="B841" s="58" t="s">
        <v>2667</v>
      </c>
    </row>
    <row r="842" spans="1:2" x14ac:dyDescent="0.35">
      <c r="A842" s="70" t="s">
        <v>2668</v>
      </c>
      <c r="B842" s="58" t="s">
        <v>2669</v>
      </c>
    </row>
    <row r="843" spans="1:2" x14ac:dyDescent="0.35">
      <c r="A843" s="68" t="s">
        <v>2670</v>
      </c>
      <c r="B843" s="58" t="s">
        <v>2671</v>
      </c>
    </row>
    <row r="844" spans="1:2" x14ac:dyDescent="0.35">
      <c r="A844" s="70" t="s">
        <v>2672</v>
      </c>
      <c r="B844" t="s">
        <v>2673</v>
      </c>
    </row>
    <row r="845" spans="1:2" x14ac:dyDescent="0.35">
      <c r="A845" s="68" t="s">
        <v>2674</v>
      </c>
      <c r="B845" t="s">
        <v>2675</v>
      </c>
    </row>
    <row r="846" spans="1:2" x14ac:dyDescent="0.35">
      <c r="A846" s="70" t="s">
        <v>2676</v>
      </c>
      <c r="B846" t="s">
        <v>2677</v>
      </c>
    </row>
    <row r="847" spans="1:2" x14ac:dyDescent="0.35">
      <c r="A847" s="68" t="s">
        <v>2678</v>
      </c>
      <c r="B847" t="s">
        <v>2679</v>
      </c>
    </row>
    <row r="848" spans="1:2" x14ac:dyDescent="0.35">
      <c r="A848" s="70" t="s">
        <v>2680</v>
      </c>
      <c r="B848" t="s">
        <v>2681</v>
      </c>
    </row>
    <row r="849" spans="1:2" x14ac:dyDescent="0.35">
      <c r="A849" s="68" t="s">
        <v>2682</v>
      </c>
      <c r="B849" t="s">
        <v>2683</v>
      </c>
    </row>
    <row r="850" spans="1:2" x14ac:dyDescent="0.35">
      <c r="A850" s="70" t="s">
        <v>2684</v>
      </c>
      <c r="B850" t="s">
        <v>2685</v>
      </c>
    </row>
    <row r="851" spans="1:2" x14ac:dyDescent="0.35">
      <c r="A851" s="68" t="s">
        <v>2686</v>
      </c>
      <c r="B851" t="s">
        <v>2687</v>
      </c>
    </row>
    <row r="852" spans="1:2" x14ac:dyDescent="0.35">
      <c r="A852" s="70" t="s">
        <v>2688</v>
      </c>
      <c r="B852" t="s">
        <v>2689</v>
      </c>
    </row>
    <row r="853" spans="1:2" x14ac:dyDescent="0.35">
      <c r="A853" s="68" t="s">
        <v>2690</v>
      </c>
      <c r="B853" s="58" t="s">
        <v>2691</v>
      </c>
    </row>
    <row r="854" spans="1:2" x14ac:dyDescent="0.35">
      <c r="A854" s="70" t="s">
        <v>2692</v>
      </c>
      <c r="B854" t="s">
        <v>2693</v>
      </c>
    </row>
    <row r="855" spans="1:2" x14ac:dyDescent="0.35">
      <c r="A855" s="68" t="s">
        <v>2694</v>
      </c>
      <c r="B855" t="s">
        <v>2695</v>
      </c>
    </row>
    <row r="856" spans="1:2" x14ac:dyDescent="0.35">
      <c r="A856" s="70" t="s">
        <v>2696</v>
      </c>
      <c r="B856" t="s">
        <v>2697</v>
      </c>
    </row>
    <row r="857" spans="1:2" x14ac:dyDescent="0.35">
      <c r="A857" s="68" t="s">
        <v>2698</v>
      </c>
      <c r="B857" t="s">
        <v>2699</v>
      </c>
    </row>
    <row r="858" spans="1:2" x14ac:dyDescent="0.35">
      <c r="A858" s="70" t="s">
        <v>2700</v>
      </c>
      <c r="B858" s="58" t="s">
        <v>2701</v>
      </c>
    </row>
    <row r="859" spans="1:2" x14ac:dyDescent="0.35">
      <c r="A859" s="68" t="s">
        <v>2702</v>
      </c>
      <c r="B859" t="s">
        <v>2703</v>
      </c>
    </row>
    <row r="860" spans="1:2" x14ac:dyDescent="0.35">
      <c r="A860" s="70" t="s">
        <v>2704</v>
      </c>
      <c r="B860" s="58" t="s">
        <v>2705</v>
      </c>
    </row>
    <row r="861" spans="1:2" x14ac:dyDescent="0.35">
      <c r="A861" s="68" t="s">
        <v>2706</v>
      </c>
      <c r="B861" t="s">
        <v>2707</v>
      </c>
    </row>
    <row r="862" spans="1:2" x14ac:dyDescent="0.35">
      <c r="A862" s="70" t="s">
        <v>2708</v>
      </c>
      <c r="B862" t="s">
        <v>2709</v>
      </c>
    </row>
    <row r="863" spans="1:2" x14ac:dyDescent="0.35">
      <c r="A863" s="68" t="s">
        <v>2710</v>
      </c>
      <c r="B863" t="s">
        <v>2711</v>
      </c>
    </row>
    <row r="864" spans="1:2" x14ac:dyDescent="0.35">
      <c r="A864" s="70" t="s">
        <v>2712</v>
      </c>
      <c r="B864" t="s">
        <v>2713</v>
      </c>
    </row>
    <row r="865" spans="1:2" x14ac:dyDescent="0.35">
      <c r="A865" s="68" t="s">
        <v>2714</v>
      </c>
      <c r="B865" t="s">
        <v>2715</v>
      </c>
    </row>
    <row r="866" spans="1:2" x14ac:dyDescent="0.35">
      <c r="A866" s="70" t="s">
        <v>2716</v>
      </c>
      <c r="B866" t="s">
        <v>2717</v>
      </c>
    </row>
    <row r="867" spans="1:2" x14ac:dyDescent="0.35">
      <c r="A867" s="68" t="s">
        <v>2718</v>
      </c>
      <c r="B867" t="s">
        <v>2719</v>
      </c>
    </row>
    <row r="868" spans="1:2" x14ac:dyDescent="0.35">
      <c r="A868" s="70" t="s">
        <v>2720</v>
      </c>
      <c r="B868" t="s">
        <v>2721</v>
      </c>
    </row>
    <row r="869" spans="1:2" x14ac:dyDescent="0.35">
      <c r="A869" s="68" t="s">
        <v>2722</v>
      </c>
      <c r="B869" t="s">
        <v>2723</v>
      </c>
    </row>
    <row r="870" spans="1:2" x14ac:dyDescent="0.35">
      <c r="A870" s="70" t="s">
        <v>2724</v>
      </c>
      <c r="B870" t="s">
        <v>2725</v>
      </c>
    </row>
    <row r="871" spans="1:2" x14ac:dyDescent="0.35">
      <c r="A871" s="68" t="s">
        <v>2726</v>
      </c>
      <c r="B871" t="s">
        <v>2727</v>
      </c>
    </row>
    <row r="872" spans="1:2" x14ac:dyDescent="0.35">
      <c r="A872" s="70" t="s">
        <v>2728</v>
      </c>
      <c r="B872" t="s">
        <v>2729</v>
      </c>
    </row>
    <row r="873" spans="1:2" x14ac:dyDescent="0.35">
      <c r="A873" s="68" t="s">
        <v>2730</v>
      </c>
      <c r="B873" t="s">
        <v>2731</v>
      </c>
    </row>
    <row r="874" spans="1:2" x14ac:dyDescent="0.35">
      <c r="A874" s="70" t="s">
        <v>2732</v>
      </c>
      <c r="B874" t="s">
        <v>2733</v>
      </c>
    </row>
    <row r="875" spans="1:2" x14ac:dyDescent="0.35">
      <c r="A875" s="68" t="s">
        <v>2734</v>
      </c>
      <c r="B875" t="s">
        <v>2735</v>
      </c>
    </row>
    <row r="876" spans="1:2" x14ac:dyDescent="0.35">
      <c r="A876" s="70" t="s">
        <v>2736</v>
      </c>
      <c r="B876" t="s">
        <v>2737</v>
      </c>
    </row>
    <row r="877" spans="1:2" x14ac:dyDescent="0.35">
      <c r="A877" s="68" t="s">
        <v>2738</v>
      </c>
      <c r="B877" t="s">
        <v>2739</v>
      </c>
    </row>
    <row r="878" spans="1:2" x14ac:dyDescent="0.35">
      <c r="A878" s="70" t="s">
        <v>2740</v>
      </c>
      <c r="B878" t="s">
        <v>2741</v>
      </c>
    </row>
    <row r="879" spans="1:2" x14ac:dyDescent="0.35">
      <c r="A879" s="68" t="s">
        <v>2742</v>
      </c>
      <c r="B879" t="s">
        <v>2743</v>
      </c>
    </row>
    <row r="880" spans="1:2" x14ac:dyDescent="0.35">
      <c r="A880" s="70" t="s">
        <v>2744</v>
      </c>
      <c r="B880" t="s">
        <v>2745</v>
      </c>
    </row>
    <row r="881" spans="1:2" x14ac:dyDescent="0.35">
      <c r="A881" s="68" t="s">
        <v>2746</v>
      </c>
      <c r="B881" t="s">
        <v>2747</v>
      </c>
    </row>
    <row r="882" spans="1:2" x14ac:dyDescent="0.35">
      <c r="A882" s="70" t="s">
        <v>2748</v>
      </c>
      <c r="B882" t="s">
        <v>2749</v>
      </c>
    </row>
    <row r="883" spans="1:2" x14ac:dyDescent="0.35">
      <c r="A883" s="68" t="s">
        <v>2750</v>
      </c>
      <c r="B883" t="s">
        <v>2751</v>
      </c>
    </row>
    <row r="884" spans="1:2" x14ac:dyDescent="0.35">
      <c r="A884" s="70" t="s">
        <v>2752</v>
      </c>
      <c r="B884" t="s">
        <v>2753</v>
      </c>
    </row>
    <row r="885" spans="1:2" x14ac:dyDescent="0.35">
      <c r="A885" s="68" t="s">
        <v>2754</v>
      </c>
      <c r="B885" t="s">
        <v>2755</v>
      </c>
    </row>
    <row r="886" spans="1:2" x14ac:dyDescent="0.35">
      <c r="A886" s="70" t="s">
        <v>2756</v>
      </c>
      <c r="B886" t="s">
        <v>2757</v>
      </c>
    </row>
    <row r="887" spans="1:2" x14ac:dyDescent="0.35">
      <c r="A887" s="68" t="s">
        <v>2758</v>
      </c>
      <c r="B887" t="s">
        <v>2759</v>
      </c>
    </row>
    <row r="888" spans="1:2" x14ac:dyDescent="0.35">
      <c r="A888" s="70" t="s">
        <v>2760</v>
      </c>
      <c r="B888" t="s">
        <v>2761</v>
      </c>
    </row>
    <row r="889" spans="1:2" x14ac:dyDescent="0.35">
      <c r="A889" s="68" t="s">
        <v>2762</v>
      </c>
      <c r="B889" t="s">
        <v>2763</v>
      </c>
    </row>
    <row r="890" spans="1:2" x14ac:dyDescent="0.35">
      <c r="A890" s="70" t="s">
        <v>2764</v>
      </c>
      <c r="B890" t="s">
        <v>2765</v>
      </c>
    </row>
    <row r="891" spans="1:2" x14ac:dyDescent="0.35">
      <c r="A891" s="68" t="s">
        <v>2766</v>
      </c>
      <c r="B891" t="s">
        <v>2767</v>
      </c>
    </row>
    <row r="892" spans="1:2" x14ac:dyDescent="0.35">
      <c r="A892" s="70" t="s">
        <v>2768</v>
      </c>
      <c r="B892" t="s">
        <v>2769</v>
      </c>
    </row>
    <row r="893" spans="1:2" x14ac:dyDescent="0.35">
      <c r="A893" s="68" t="s">
        <v>2770</v>
      </c>
      <c r="B893" t="s">
        <v>2771</v>
      </c>
    </row>
    <row r="894" spans="1:2" x14ac:dyDescent="0.35">
      <c r="A894" s="70" t="s">
        <v>2772</v>
      </c>
      <c r="B894" t="s">
        <v>2773</v>
      </c>
    </row>
    <row r="895" spans="1:2" x14ac:dyDescent="0.35">
      <c r="A895" s="68" t="s">
        <v>2774</v>
      </c>
      <c r="B895" t="s">
        <v>2775</v>
      </c>
    </row>
    <row r="896" spans="1:2" x14ac:dyDescent="0.35">
      <c r="A896" s="70" t="s">
        <v>2776</v>
      </c>
      <c r="B896" t="s">
        <v>2777</v>
      </c>
    </row>
    <row r="897" spans="1:2" x14ac:dyDescent="0.35">
      <c r="A897" s="68" t="s">
        <v>2778</v>
      </c>
      <c r="B897" t="s">
        <v>2779</v>
      </c>
    </row>
    <row r="898" spans="1:2" x14ac:dyDescent="0.35">
      <c r="A898" s="70" t="s">
        <v>2780</v>
      </c>
      <c r="B898" s="58" t="s">
        <v>2781</v>
      </c>
    </row>
    <row r="899" spans="1:2" x14ac:dyDescent="0.35">
      <c r="A899" s="68" t="s">
        <v>2782</v>
      </c>
      <c r="B899" s="58" t="s">
        <v>2783</v>
      </c>
    </row>
    <row r="900" spans="1:2" x14ac:dyDescent="0.35">
      <c r="A900" s="70" t="s">
        <v>2784</v>
      </c>
      <c r="B900" s="58" t="s">
        <v>2785</v>
      </c>
    </row>
    <row r="901" spans="1:2" x14ac:dyDescent="0.35">
      <c r="A901" s="68" t="s">
        <v>2786</v>
      </c>
      <c r="B901" t="s">
        <v>2787</v>
      </c>
    </row>
    <row r="902" spans="1:2" x14ac:dyDescent="0.35">
      <c r="A902" s="70" t="s">
        <v>2788</v>
      </c>
      <c r="B902" t="s">
        <v>2789</v>
      </c>
    </row>
    <row r="903" spans="1:2" x14ac:dyDescent="0.35">
      <c r="A903" s="68" t="s">
        <v>2790</v>
      </c>
      <c r="B903" t="s">
        <v>2791</v>
      </c>
    </row>
    <row r="904" spans="1:2" x14ac:dyDescent="0.35">
      <c r="A904" s="70" t="s">
        <v>2792</v>
      </c>
      <c r="B904" t="s">
        <v>2793</v>
      </c>
    </row>
    <row r="905" spans="1:2" x14ac:dyDescent="0.35">
      <c r="A905" s="68" t="s">
        <v>2794</v>
      </c>
      <c r="B905" t="s">
        <v>2795</v>
      </c>
    </row>
    <row r="906" spans="1:2" x14ac:dyDescent="0.35">
      <c r="A906" s="70" t="s">
        <v>2796</v>
      </c>
      <c r="B906" t="s">
        <v>2797</v>
      </c>
    </row>
    <row r="907" spans="1:2" x14ac:dyDescent="0.35">
      <c r="A907" s="68" t="s">
        <v>2798</v>
      </c>
      <c r="B907" t="s">
        <v>2799</v>
      </c>
    </row>
    <row r="908" spans="1:2" x14ac:dyDescent="0.35">
      <c r="A908" s="70" t="s">
        <v>2800</v>
      </c>
      <c r="B908" t="s">
        <v>2801</v>
      </c>
    </row>
    <row r="909" spans="1:2" x14ac:dyDescent="0.35">
      <c r="A909" s="68" t="s">
        <v>2802</v>
      </c>
      <c r="B909" t="s">
        <v>2803</v>
      </c>
    </row>
    <row r="910" spans="1:2" x14ac:dyDescent="0.35">
      <c r="A910" s="70" t="s">
        <v>2804</v>
      </c>
      <c r="B910" t="s">
        <v>2805</v>
      </c>
    </row>
    <row r="911" spans="1:2" x14ac:dyDescent="0.35">
      <c r="A911" s="68" t="s">
        <v>2806</v>
      </c>
      <c r="B911" t="s">
        <v>2807</v>
      </c>
    </row>
    <row r="912" spans="1:2" x14ac:dyDescent="0.35">
      <c r="A912" s="57" t="s">
        <v>2808</v>
      </c>
      <c r="B912" t="s">
        <v>2809</v>
      </c>
    </row>
    <row r="913" spans="1:2" x14ac:dyDescent="0.35">
      <c r="A913" s="71" t="s">
        <v>2810</v>
      </c>
      <c r="B913" t="s">
        <v>2811</v>
      </c>
    </row>
    <row r="914" spans="1:2" x14ac:dyDescent="0.35">
      <c r="A914" s="70" t="s">
        <v>2812</v>
      </c>
      <c r="B914" t="s">
        <v>2813</v>
      </c>
    </row>
    <row r="915" spans="1:2" x14ac:dyDescent="0.35">
      <c r="A915" s="68" t="s">
        <v>2814</v>
      </c>
      <c r="B915" t="s">
        <v>2815</v>
      </c>
    </row>
    <row r="916" spans="1:2" x14ac:dyDescent="0.35">
      <c r="A916" s="70" t="s">
        <v>2816</v>
      </c>
      <c r="B916" t="s">
        <v>2817</v>
      </c>
    </row>
    <row r="917" spans="1:2" x14ac:dyDescent="0.35">
      <c r="A917" s="68" t="s">
        <v>2818</v>
      </c>
      <c r="B917" t="s">
        <v>2819</v>
      </c>
    </row>
    <row r="918" spans="1:2" x14ac:dyDescent="0.35">
      <c r="A918" s="70" t="s">
        <v>2820</v>
      </c>
      <c r="B918" t="s">
        <v>2821</v>
      </c>
    </row>
    <row r="919" spans="1:2" x14ac:dyDescent="0.35">
      <c r="A919" s="68" t="s">
        <v>2822</v>
      </c>
      <c r="B919" t="s">
        <v>2823</v>
      </c>
    </row>
    <row r="920" spans="1:2" x14ac:dyDescent="0.35">
      <c r="A920" s="70" t="s">
        <v>2824</v>
      </c>
      <c r="B920" t="s">
        <v>2825</v>
      </c>
    </row>
    <row r="921" spans="1:2" x14ac:dyDescent="0.35">
      <c r="A921" s="68" t="s">
        <v>2826</v>
      </c>
      <c r="B921" t="s">
        <v>2827</v>
      </c>
    </row>
    <row r="922" spans="1:2" x14ac:dyDescent="0.35">
      <c r="A922" s="70" t="s">
        <v>2828</v>
      </c>
      <c r="B922" t="s">
        <v>2829</v>
      </c>
    </row>
    <row r="923" spans="1:2" x14ac:dyDescent="0.35">
      <c r="A923" s="68" t="s">
        <v>2830</v>
      </c>
      <c r="B923" t="s">
        <v>2831</v>
      </c>
    </row>
    <row r="924" spans="1:2" x14ac:dyDescent="0.35">
      <c r="A924" s="70" t="s">
        <v>2832</v>
      </c>
      <c r="B924" t="s">
        <v>2833</v>
      </c>
    </row>
    <row r="925" spans="1:2" x14ac:dyDescent="0.35">
      <c r="A925" s="68" t="s">
        <v>2834</v>
      </c>
      <c r="B925" t="s">
        <v>2835</v>
      </c>
    </row>
    <row r="926" spans="1:2" x14ac:dyDescent="0.35">
      <c r="A926" s="70" t="s">
        <v>2836</v>
      </c>
      <c r="B926" t="s">
        <v>2837</v>
      </c>
    </row>
    <row r="927" spans="1:2" x14ac:dyDescent="0.35">
      <c r="A927" s="68" t="s">
        <v>2838</v>
      </c>
      <c r="B927" t="s">
        <v>2839</v>
      </c>
    </row>
    <row r="928" spans="1:2" x14ac:dyDescent="0.35">
      <c r="A928" s="70" t="s">
        <v>2840</v>
      </c>
      <c r="B928" t="s">
        <v>2841</v>
      </c>
    </row>
    <row r="929" spans="1:2" x14ac:dyDescent="0.35">
      <c r="A929" s="68" t="s">
        <v>2842</v>
      </c>
      <c r="B929" t="s">
        <v>2843</v>
      </c>
    </row>
    <row r="930" spans="1:2" x14ac:dyDescent="0.35">
      <c r="A930" s="70" t="s">
        <v>2844</v>
      </c>
      <c r="B930" t="s">
        <v>2845</v>
      </c>
    </row>
    <row r="931" spans="1:2" x14ac:dyDescent="0.35">
      <c r="A931" s="68" t="s">
        <v>2846</v>
      </c>
      <c r="B931" t="s">
        <v>2847</v>
      </c>
    </row>
    <row r="932" spans="1:2" x14ac:dyDescent="0.35">
      <c r="A932" s="70" t="s">
        <v>2848</v>
      </c>
      <c r="B932" t="s">
        <v>2849</v>
      </c>
    </row>
    <row r="933" spans="1:2" x14ac:dyDescent="0.35">
      <c r="A933" s="68" t="s">
        <v>2850</v>
      </c>
      <c r="B933" t="s">
        <v>2851</v>
      </c>
    </row>
    <row r="934" spans="1:2" x14ac:dyDescent="0.35">
      <c r="A934" s="70" t="s">
        <v>2852</v>
      </c>
      <c r="B934" t="s">
        <v>2853</v>
      </c>
    </row>
    <row r="935" spans="1:2" x14ac:dyDescent="0.35">
      <c r="A935" s="68" t="s">
        <v>2854</v>
      </c>
      <c r="B935" t="s">
        <v>2855</v>
      </c>
    </row>
    <row r="936" spans="1:2" x14ac:dyDescent="0.35">
      <c r="A936" s="70" t="s">
        <v>2856</v>
      </c>
      <c r="B936" t="s">
        <v>2857</v>
      </c>
    </row>
    <row r="937" spans="1:2" x14ac:dyDescent="0.35">
      <c r="A937" s="68" t="s">
        <v>2858</v>
      </c>
      <c r="B937" t="s">
        <v>2859</v>
      </c>
    </row>
    <row r="938" spans="1:2" x14ac:dyDescent="0.35">
      <c r="A938" s="70" t="s">
        <v>2860</v>
      </c>
      <c r="B938" t="s">
        <v>2861</v>
      </c>
    </row>
    <row r="939" spans="1:2" x14ac:dyDescent="0.35">
      <c r="A939" s="68" t="s">
        <v>2862</v>
      </c>
      <c r="B939" t="s">
        <v>2863</v>
      </c>
    </row>
    <row r="940" spans="1:2" x14ac:dyDescent="0.35">
      <c r="A940" s="70" t="s">
        <v>2864</v>
      </c>
      <c r="B940" t="s">
        <v>2865</v>
      </c>
    </row>
    <row r="941" spans="1:2" x14ac:dyDescent="0.35">
      <c r="A941" s="68" t="s">
        <v>2866</v>
      </c>
      <c r="B941" t="s">
        <v>2867</v>
      </c>
    </row>
    <row r="942" spans="1:2" x14ac:dyDescent="0.35">
      <c r="A942" s="70" t="s">
        <v>2868</v>
      </c>
      <c r="B942" t="s">
        <v>2869</v>
      </c>
    </row>
    <row r="943" spans="1:2" x14ac:dyDescent="0.35">
      <c r="A943" s="68" t="s">
        <v>2870</v>
      </c>
      <c r="B943" t="s">
        <v>2871</v>
      </c>
    </row>
    <row r="944" spans="1:2" x14ac:dyDescent="0.35">
      <c r="A944" s="70" t="s">
        <v>2872</v>
      </c>
      <c r="B944" t="s">
        <v>2873</v>
      </c>
    </row>
    <row r="945" spans="1:2" x14ac:dyDescent="0.35">
      <c r="A945" s="68" t="s">
        <v>2874</v>
      </c>
      <c r="B945" t="s">
        <v>2875</v>
      </c>
    </row>
    <row r="946" spans="1:2" x14ac:dyDescent="0.35">
      <c r="A946" s="70" t="s">
        <v>2876</v>
      </c>
      <c r="B946" t="s">
        <v>2877</v>
      </c>
    </row>
    <row r="947" spans="1:2" x14ac:dyDescent="0.35">
      <c r="A947" s="68" t="s">
        <v>2878</v>
      </c>
      <c r="B947" t="s">
        <v>2879</v>
      </c>
    </row>
    <row r="948" spans="1:2" x14ac:dyDescent="0.35">
      <c r="A948" s="70" t="s">
        <v>2880</v>
      </c>
      <c r="B948" t="s">
        <v>2881</v>
      </c>
    </row>
    <row r="949" spans="1:2" x14ac:dyDescent="0.35">
      <c r="A949" s="68" t="s">
        <v>2882</v>
      </c>
      <c r="B949" t="s">
        <v>2883</v>
      </c>
    </row>
    <row r="950" spans="1:2" x14ac:dyDescent="0.35">
      <c r="A950" s="70" t="s">
        <v>2884</v>
      </c>
      <c r="B950" t="s">
        <v>2885</v>
      </c>
    </row>
    <row r="951" spans="1:2" x14ac:dyDescent="0.35">
      <c r="A951" s="68" t="s">
        <v>2886</v>
      </c>
      <c r="B951" t="s">
        <v>2887</v>
      </c>
    </row>
    <row r="952" spans="1:2" x14ac:dyDescent="0.35">
      <c r="A952" s="70" t="s">
        <v>2888</v>
      </c>
      <c r="B952" t="s">
        <v>2889</v>
      </c>
    </row>
    <row r="953" spans="1:2" x14ac:dyDescent="0.35">
      <c r="A953" s="68" t="s">
        <v>2890</v>
      </c>
      <c r="B953" t="s">
        <v>2891</v>
      </c>
    </row>
    <row r="954" spans="1:2" x14ac:dyDescent="0.35">
      <c r="A954" s="70" t="s">
        <v>2892</v>
      </c>
      <c r="B954" t="s">
        <v>2893</v>
      </c>
    </row>
    <row r="955" spans="1:2" x14ac:dyDescent="0.35">
      <c r="A955" s="68" t="s">
        <v>2894</v>
      </c>
      <c r="B955" t="s">
        <v>2895</v>
      </c>
    </row>
    <row r="956" spans="1:2" x14ac:dyDescent="0.35">
      <c r="A956" s="70" t="s">
        <v>2896</v>
      </c>
      <c r="B956" t="s">
        <v>2897</v>
      </c>
    </row>
    <row r="957" spans="1:2" x14ac:dyDescent="0.35">
      <c r="A957" s="68" t="s">
        <v>2898</v>
      </c>
      <c r="B957" t="s">
        <v>2899</v>
      </c>
    </row>
    <row r="958" spans="1:2" x14ac:dyDescent="0.35">
      <c r="A958" s="70" t="s">
        <v>2900</v>
      </c>
      <c r="B958" t="s">
        <v>2901</v>
      </c>
    </row>
    <row r="959" spans="1:2" x14ac:dyDescent="0.35">
      <c r="A959" s="68" t="s">
        <v>2902</v>
      </c>
      <c r="B959" t="s">
        <v>2903</v>
      </c>
    </row>
    <row r="960" spans="1:2" x14ac:dyDescent="0.35">
      <c r="A960" s="70" t="s">
        <v>2904</v>
      </c>
      <c r="B960" t="s">
        <v>2905</v>
      </c>
    </row>
    <row r="961" spans="1:2" x14ac:dyDescent="0.35">
      <c r="A961" s="68" t="s">
        <v>2906</v>
      </c>
      <c r="B961" t="s">
        <v>2907</v>
      </c>
    </row>
    <row r="962" spans="1:2" x14ac:dyDescent="0.35">
      <c r="A962" s="70" t="s">
        <v>2908</v>
      </c>
      <c r="B962" t="s">
        <v>2909</v>
      </c>
    </row>
    <row r="963" spans="1:2" x14ac:dyDescent="0.35">
      <c r="A963" s="68" t="s">
        <v>2910</v>
      </c>
      <c r="B963" t="s">
        <v>2911</v>
      </c>
    </row>
    <row r="964" spans="1:2" x14ac:dyDescent="0.35">
      <c r="A964" s="70" t="s">
        <v>2912</v>
      </c>
      <c r="B964" t="s">
        <v>2913</v>
      </c>
    </row>
    <row r="965" spans="1:2" x14ac:dyDescent="0.35">
      <c r="A965" s="68" t="s">
        <v>2914</v>
      </c>
      <c r="B965" t="s">
        <v>2915</v>
      </c>
    </row>
    <row r="966" spans="1:2" x14ac:dyDescent="0.35">
      <c r="A966" s="70" t="s">
        <v>2916</v>
      </c>
      <c r="B966" t="s">
        <v>2917</v>
      </c>
    </row>
    <row r="967" spans="1:2" x14ac:dyDescent="0.35">
      <c r="A967" s="68" t="s">
        <v>2918</v>
      </c>
      <c r="B967" t="s">
        <v>2919</v>
      </c>
    </row>
    <row r="968" spans="1:2" x14ac:dyDescent="0.35">
      <c r="A968" s="70" t="s">
        <v>2920</v>
      </c>
      <c r="B968" t="s">
        <v>2921</v>
      </c>
    </row>
    <row r="969" spans="1:2" x14ac:dyDescent="0.35">
      <c r="A969" s="68" t="s">
        <v>2922</v>
      </c>
      <c r="B969" t="s">
        <v>2923</v>
      </c>
    </row>
    <row r="970" spans="1:2" x14ac:dyDescent="0.35">
      <c r="A970" s="70" t="s">
        <v>2924</v>
      </c>
      <c r="B970" t="s">
        <v>2925</v>
      </c>
    </row>
    <row r="971" spans="1:2" x14ac:dyDescent="0.35">
      <c r="A971" s="68" t="s">
        <v>2926</v>
      </c>
      <c r="B971" t="s">
        <v>2927</v>
      </c>
    </row>
    <row r="972" spans="1:2" x14ac:dyDescent="0.35">
      <c r="A972" s="70" t="s">
        <v>2928</v>
      </c>
      <c r="B972" t="s">
        <v>2929</v>
      </c>
    </row>
    <row r="973" spans="1:2" x14ac:dyDescent="0.35">
      <c r="A973" s="68" t="s">
        <v>2930</v>
      </c>
      <c r="B973" t="s">
        <v>2931</v>
      </c>
    </row>
    <row r="974" spans="1:2" x14ac:dyDescent="0.35">
      <c r="A974" s="70" t="s">
        <v>2932</v>
      </c>
      <c r="B974" t="s">
        <v>2933</v>
      </c>
    </row>
    <row r="975" spans="1:2" x14ac:dyDescent="0.35">
      <c r="A975" s="68" t="s">
        <v>2934</v>
      </c>
      <c r="B975" t="s">
        <v>2935</v>
      </c>
    </row>
    <row r="976" spans="1:2" x14ac:dyDescent="0.35">
      <c r="A976" s="70" t="s">
        <v>2936</v>
      </c>
      <c r="B976" t="s">
        <v>2937</v>
      </c>
    </row>
    <row r="977" spans="1:2" x14ac:dyDescent="0.35">
      <c r="A977" s="68" t="s">
        <v>2938</v>
      </c>
      <c r="B977" t="s">
        <v>2939</v>
      </c>
    </row>
    <row r="978" spans="1:2" x14ac:dyDescent="0.35">
      <c r="A978" s="70" t="s">
        <v>2940</v>
      </c>
      <c r="B978" t="s">
        <v>2941</v>
      </c>
    </row>
    <row r="979" spans="1:2" x14ac:dyDescent="0.35">
      <c r="A979" s="68" t="s">
        <v>2942</v>
      </c>
      <c r="B979" t="s">
        <v>2943</v>
      </c>
    </row>
    <row r="980" spans="1:2" x14ac:dyDescent="0.35">
      <c r="A980" s="70" t="s">
        <v>2944</v>
      </c>
      <c r="B980" t="s">
        <v>2945</v>
      </c>
    </row>
    <row r="981" spans="1:2" x14ac:dyDescent="0.35">
      <c r="A981" s="68" t="s">
        <v>2946</v>
      </c>
      <c r="B981" t="s">
        <v>2947</v>
      </c>
    </row>
    <row r="982" spans="1:2" x14ac:dyDescent="0.35">
      <c r="A982" s="70" t="s">
        <v>2948</v>
      </c>
      <c r="B982" t="s">
        <v>2949</v>
      </c>
    </row>
    <row r="983" spans="1:2" x14ac:dyDescent="0.35">
      <c r="A983" s="68" t="s">
        <v>2950</v>
      </c>
      <c r="B983" t="s">
        <v>2951</v>
      </c>
    </row>
    <row r="984" spans="1:2" x14ac:dyDescent="0.35">
      <c r="A984" s="70" t="s">
        <v>2952</v>
      </c>
      <c r="B984" t="s">
        <v>2953</v>
      </c>
    </row>
    <row r="985" spans="1:2" x14ac:dyDescent="0.35">
      <c r="A985" s="68" t="s">
        <v>2954</v>
      </c>
      <c r="B985" t="s">
        <v>2955</v>
      </c>
    </row>
    <row r="986" spans="1:2" x14ac:dyDescent="0.35">
      <c r="A986" s="70" t="s">
        <v>2956</v>
      </c>
      <c r="B986" t="s">
        <v>2957</v>
      </c>
    </row>
    <row r="987" spans="1:2" x14ac:dyDescent="0.35">
      <c r="A987" s="68" t="s">
        <v>2958</v>
      </c>
      <c r="B987" t="s">
        <v>2959</v>
      </c>
    </row>
    <row r="988" spans="1:2" x14ac:dyDescent="0.35">
      <c r="A988" s="70" t="s">
        <v>2960</v>
      </c>
      <c r="B988" t="s">
        <v>2961</v>
      </c>
    </row>
    <row r="989" spans="1:2" x14ac:dyDescent="0.35">
      <c r="A989" s="68" t="s">
        <v>2962</v>
      </c>
      <c r="B989" t="s">
        <v>2963</v>
      </c>
    </row>
    <row r="990" spans="1:2" x14ac:dyDescent="0.35">
      <c r="A990" s="70" t="s">
        <v>2964</v>
      </c>
      <c r="B990" t="s">
        <v>2965</v>
      </c>
    </row>
    <row r="991" spans="1:2" x14ac:dyDescent="0.35">
      <c r="A991" s="68" t="s">
        <v>2966</v>
      </c>
      <c r="B991" t="s">
        <v>2967</v>
      </c>
    </row>
    <row r="992" spans="1:2" x14ac:dyDescent="0.35">
      <c r="A992" s="70" t="s">
        <v>2968</v>
      </c>
      <c r="B992" t="s">
        <v>2969</v>
      </c>
    </row>
    <row r="993" spans="1:2" x14ac:dyDescent="0.35">
      <c r="A993" s="68" t="s">
        <v>2970</v>
      </c>
      <c r="B993" t="s">
        <v>2971</v>
      </c>
    </row>
    <row r="994" spans="1:2" x14ac:dyDescent="0.35">
      <c r="A994" s="72" t="s">
        <v>2972</v>
      </c>
      <c r="B994" s="48" t="s">
        <v>2973</v>
      </c>
    </row>
    <row r="995" spans="1:2" x14ac:dyDescent="0.35">
      <c r="A995" s="68" t="s">
        <v>2974</v>
      </c>
      <c r="B995" t="s">
        <v>2975</v>
      </c>
    </row>
    <row r="996" spans="1:2" x14ac:dyDescent="0.35">
      <c r="A996" s="70" t="s">
        <v>2976</v>
      </c>
      <c r="B996" t="s">
        <v>2977</v>
      </c>
    </row>
    <row r="997" spans="1:2" x14ac:dyDescent="0.35">
      <c r="A997" s="68" t="s">
        <v>2978</v>
      </c>
      <c r="B997" t="s">
        <v>2979</v>
      </c>
    </row>
    <row r="998" spans="1:2" x14ac:dyDescent="0.35">
      <c r="A998" s="70" t="s">
        <v>2980</v>
      </c>
      <c r="B998" t="s">
        <v>2981</v>
      </c>
    </row>
    <row r="999" spans="1:2" x14ac:dyDescent="0.35">
      <c r="A999" s="68" t="s">
        <v>2982</v>
      </c>
      <c r="B999" t="s">
        <v>2983</v>
      </c>
    </row>
    <row r="1000" spans="1:2" x14ac:dyDescent="0.35">
      <c r="A1000" s="70" t="s">
        <v>2984</v>
      </c>
      <c r="B1000" t="s">
        <v>2985</v>
      </c>
    </row>
    <row r="1001" spans="1:2" x14ac:dyDescent="0.35">
      <c r="A1001" s="68" t="s">
        <v>2986</v>
      </c>
      <c r="B1001" t="s">
        <v>2987</v>
      </c>
    </row>
    <row r="1002" spans="1:2" x14ac:dyDescent="0.35">
      <c r="A1002" s="70" t="s">
        <v>2988</v>
      </c>
      <c r="B1002" t="s">
        <v>2989</v>
      </c>
    </row>
    <row r="1003" spans="1:2" x14ac:dyDescent="0.35">
      <c r="A1003" s="68" t="s">
        <v>2990</v>
      </c>
      <c r="B1003" t="s">
        <v>2991</v>
      </c>
    </row>
    <row r="1004" spans="1:2" x14ac:dyDescent="0.35">
      <c r="A1004" s="70" t="s">
        <v>2992</v>
      </c>
      <c r="B1004" t="s">
        <v>2993</v>
      </c>
    </row>
    <row r="1005" spans="1:2" x14ac:dyDescent="0.35">
      <c r="A1005" s="68" t="s">
        <v>2994</v>
      </c>
      <c r="B1005" t="s">
        <v>2995</v>
      </c>
    </row>
    <row r="1006" spans="1:2" x14ac:dyDescent="0.35">
      <c r="A1006" s="57" t="s">
        <v>2996</v>
      </c>
      <c r="B1006" t="s">
        <v>2997</v>
      </c>
    </row>
    <row r="1007" spans="1:2" x14ac:dyDescent="0.35">
      <c r="A1007" s="68" t="s">
        <v>2998</v>
      </c>
      <c r="B1007" t="s">
        <v>2999</v>
      </c>
    </row>
    <row r="1008" spans="1:2" x14ac:dyDescent="0.35">
      <c r="A1008" s="70" t="s">
        <v>3000</v>
      </c>
      <c r="B1008" t="s">
        <v>3001</v>
      </c>
    </row>
    <row r="1009" spans="1:2" x14ac:dyDescent="0.35">
      <c r="A1009" s="68" t="s">
        <v>3002</v>
      </c>
      <c r="B1009" t="s">
        <v>3003</v>
      </c>
    </row>
    <row r="1010" spans="1:2" x14ac:dyDescent="0.35">
      <c r="A1010" s="70" t="s">
        <v>3004</v>
      </c>
      <c r="B1010" t="s">
        <v>3005</v>
      </c>
    </row>
    <row r="1011" spans="1:2" x14ac:dyDescent="0.35">
      <c r="A1011" s="68" t="s">
        <v>3006</v>
      </c>
      <c r="B1011" t="s">
        <v>3007</v>
      </c>
    </row>
    <row r="1012" spans="1:2" x14ac:dyDescent="0.35">
      <c r="A1012" s="70" t="s">
        <v>3008</v>
      </c>
      <c r="B1012" t="s">
        <v>3009</v>
      </c>
    </row>
    <row r="1013" spans="1:2" x14ac:dyDescent="0.35">
      <c r="A1013" s="68" t="s">
        <v>3010</v>
      </c>
      <c r="B1013" t="s">
        <v>3011</v>
      </c>
    </row>
    <row r="1014" spans="1:2" x14ac:dyDescent="0.35">
      <c r="A1014" s="70" t="s">
        <v>3012</v>
      </c>
      <c r="B1014" t="s">
        <v>3013</v>
      </c>
    </row>
    <row r="1015" spans="1:2" x14ac:dyDescent="0.35">
      <c r="A1015" s="68" t="s">
        <v>3014</v>
      </c>
      <c r="B1015" t="s">
        <v>3015</v>
      </c>
    </row>
    <row r="1016" spans="1:2" x14ac:dyDescent="0.35">
      <c r="A1016" s="70" t="s">
        <v>3016</v>
      </c>
      <c r="B1016" t="s">
        <v>3017</v>
      </c>
    </row>
    <row r="1017" spans="1:2" x14ac:dyDescent="0.35">
      <c r="A1017" s="68" t="s">
        <v>3018</v>
      </c>
      <c r="B1017" t="s">
        <v>3019</v>
      </c>
    </row>
    <row r="1018" spans="1:2" x14ac:dyDescent="0.35">
      <c r="A1018" s="70" t="s">
        <v>3020</v>
      </c>
      <c r="B1018" t="s">
        <v>3021</v>
      </c>
    </row>
    <row r="1019" spans="1:2" x14ac:dyDescent="0.35">
      <c r="A1019" s="68" t="s">
        <v>3022</v>
      </c>
      <c r="B1019" t="s">
        <v>3023</v>
      </c>
    </row>
    <row r="1020" spans="1:2" x14ac:dyDescent="0.35">
      <c r="A1020" s="70" t="s">
        <v>3024</v>
      </c>
      <c r="B1020" t="s">
        <v>3025</v>
      </c>
    </row>
    <row r="1021" spans="1:2" x14ac:dyDescent="0.35">
      <c r="A1021" s="68" t="s">
        <v>3026</v>
      </c>
      <c r="B1021" t="s">
        <v>3027</v>
      </c>
    </row>
    <row r="1022" spans="1:2" x14ac:dyDescent="0.35">
      <c r="A1022" s="70" t="s">
        <v>3028</v>
      </c>
      <c r="B1022" t="s">
        <v>3029</v>
      </c>
    </row>
    <row r="1023" spans="1:2" x14ac:dyDescent="0.35">
      <c r="A1023" s="68" t="s">
        <v>3030</v>
      </c>
      <c r="B1023" t="s">
        <v>3031</v>
      </c>
    </row>
    <row r="1024" spans="1:2" x14ac:dyDescent="0.35">
      <c r="A1024" s="70" t="s">
        <v>3032</v>
      </c>
      <c r="B1024" t="s">
        <v>3033</v>
      </c>
    </row>
    <row r="1025" spans="1:2" x14ac:dyDescent="0.35">
      <c r="A1025" s="68" t="s">
        <v>3034</v>
      </c>
      <c r="B1025" t="s">
        <v>3035</v>
      </c>
    </row>
    <row r="1026" spans="1:2" x14ac:dyDescent="0.35">
      <c r="A1026" s="70" t="s">
        <v>3036</v>
      </c>
      <c r="B1026" t="s">
        <v>3037</v>
      </c>
    </row>
    <row r="1027" spans="1:2" x14ac:dyDescent="0.35">
      <c r="A1027" s="68" t="s">
        <v>3038</v>
      </c>
      <c r="B1027" t="s">
        <v>3039</v>
      </c>
    </row>
    <row r="1028" spans="1:2" x14ac:dyDescent="0.35">
      <c r="A1028" s="70" t="s">
        <v>3040</v>
      </c>
      <c r="B1028" t="s">
        <v>3041</v>
      </c>
    </row>
    <row r="1029" spans="1:2" x14ac:dyDescent="0.35">
      <c r="A1029" s="68" t="s">
        <v>3042</v>
      </c>
      <c r="B1029" t="s">
        <v>3043</v>
      </c>
    </row>
    <row r="1030" spans="1:2" x14ac:dyDescent="0.35">
      <c r="A1030" s="70" t="s">
        <v>3044</v>
      </c>
      <c r="B1030" t="s">
        <v>3045</v>
      </c>
    </row>
    <row r="1031" spans="1:2" x14ac:dyDescent="0.35">
      <c r="A1031" s="68" t="s">
        <v>3046</v>
      </c>
      <c r="B1031" t="s">
        <v>3047</v>
      </c>
    </row>
    <row r="1032" spans="1:2" x14ac:dyDescent="0.35">
      <c r="A1032" s="70" t="s">
        <v>3048</v>
      </c>
      <c r="B1032" t="s">
        <v>3049</v>
      </c>
    </row>
    <row r="1033" spans="1:2" x14ac:dyDescent="0.35">
      <c r="A1033" s="68" t="s">
        <v>3050</v>
      </c>
      <c r="B1033" t="s">
        <v>3051</v>
      </c>
    </row>
    <row r="1034" spans="1:2" x14ac:dyDescent="0.35">
      <c r="A1034" s="70" t="s">
        <v>3052</v>
      </c>
      <c r="B1034" t="s">
        <v>3053</v>
      </c>
    </row>
    <row r="1035" spans="1:2" x14ac:dyDescent="0.35">
      <c r="A1035" s="68" t="s">
        <v>3054</v>
      </c>
      <c r="B1035" t="s">
        <v>3055</v>
      </c>
    </row>
    <row r="1036" spans="1:2" x14ac:dyDescent="0.35">
      <c r="A1036" s="70" t="s">
        <v>3056</v>
      </c>
      <c r="B1036" t="s">
        <v>3057</v>
      </c>
    </row>
    <row r="1037" spans="1:2" x14ac:dyDescent="0.35">
      <c r="A1037" s="68" t="s">
        <v>3058</v>
      </c>
      <c r="B1037" t="s">
        <v>3059</v>
      </c>
    </row>
    <row r="1038" spans="1:2" x14ac:dyDescent="0.35">
      <c r="A1038" s="70" t="s">
        <v>3060</v>
      </c>
      <c r="B1038" t="s">
        <v>3061</v>
      </c>
    </row>
    <row r="1039" spans="1:2" x14ac:dyDescent="0.35">
      <c r="A1039" s="68" t="s">
        <v>3062</v>
      </c>
      <c r="B1039" s="57" t="s">
        <v>3063</v>
      </c>
    </row>
    <row r="1040" spans="1:2" x14ac:dyDescent="0.35">
      <c r="A1040" s="70" t="s">
        <v>3064</v>
      </c>
      <c r="B1040" s="57" t="s">
        <v>3065</v>
      </c>
    </row>
    <row r="1041" spans="1:2" x14ac:dyDescent="0.35">
      <c r="A1041" s="68" t="s">
        <v>3066</v>
      </c>
      <c r="B1041" t="s">
        <v>3067</v>
      </c>
    </row>
    <row r="1042" spans="1:2" x14ac:dyDescent="0.35">
      <c r="A1042" s="70" t="s">
        <v>3068</v>
      </c>
      <c r="B1042" t="s">
        <v>3069</v>
      </c>
    </row>
    <row r="1043" spans="1:2" x14ac:dyDescent="0.35">
      <c r="A1043" s="68" t="s">
        <v>3070</v>
      </c>
      <c r="B1043" t="s">
        <v>3071</v>
      </c>
    </row>
    <row r="1044" spans="1:2" x14ac:dyDescent="0.35">
      <c r="A1044" s="70" t="s">
        <v>3072</v>
      </c>
      <c r="B1044" t="s">
        <v>3073</v>
      </c>
    </row>
    <row r="1045" spans="1:2" x14ac:dyDescent="0.35">
      <c r="A1045" s="68" t="s">
        <v>3074</v>
      </c>
      <c r="B1045" t="s">
        <v>3075</v>
      </c>
    </row>
    <row r="1046" spans="1:2" x14ac:dyDescent="0.35">
      <c r="A1046" s="70" t="s">
        <v>3076</v>
      </c>
      <c r="B1046" t="s">
        <v>3077</v>
      </c>
    </row>
    <row r="1047" spans="1:2" x14ac:dyDescent="0.35">
      <c r="A1047" s="68" t="s">
        <v>3078</v>
      </c>
      <c r="B1047" t="s">
        <v>3079</v>
      </c>
    </row>
    <row r="1048" spans="1:2" x14ac:dyDescent="0.35">
      <c r="A1048" s="70" t="s">
        <v>3080</v>
      </c>
      <c r="B1048" t="s">
        <v>3081</v>
      </c>
    </row>
    <row r="1049" spans="1:2" x14ac:dyDescent="0.35">
      <c r="A1049" s="68" t="s">
        <v>3082</v>
      </c>
      <c r="B1049" t="s">
        <v>3083</v>
      </c>
    </row>
    <row r="1050" spans="1:2" x14ac:dyDescent="0.35">
      <c r="A1050" s="70" t="s">
        <v>3084</v>
      </c>
      <c r="B1050" t="s">
        <v>3085</v>
      </c>
    </row>
    <row r="1051" spans="1:2" x14ac:dyDescent="0.35">
      <c r="A1051" s="68" t="s">
        <v>3086</v>
      </c>
      <c r="B1051" t="s">
        <v>3087</v>
      </c>
    </row>
    <row r="1052" spans="1:2" x14ac:dyDescent="0.35">
      <c r="A1052" s="70" t="s">
        <v>3088</v>
      </c>
      <c r="B1052" t="s">
        <v>3089</v>
      </c>
    </row>
    <row r="1053" spans="1:2" x14ac:dyDescent="0.35">
      <c r="A1053" s="68" t="s">
        <v>3090</v>
      </c>
      <c r="B1053" t="s">
        <v>3091</v>
      </c>
    </row>
    <row r="1054" spans="1:2" x14ac:dyDescent="0.35">
      <c r="A1054" s="70" t="s">
        <v>3092</v>
      </c>
      <c r="B1054" t="s">
        <v>3093</v>
      </c>
    </row>
    <row r="1055" spans="1:2" x14ac:dyDescent="0.35">
      <c r="A1055" s="68" t="s">
        <v>3094</v>
      </c>
      <c r="B1055" t="s">
        <v>3095</v>
      </c>
    </row>
    <row r="1056" spans="1:2" x14ac:dyDescent="0.35">
      <c r="A1056" s="70" t="s">
        <v>3096</v>
      </c>
      <c r="B1056" t="s">
        <v>3097</v>
      </c>
    </row>
    <row r="1057" spans="1:3" x14ac:dyDescent="0.35">
      <c r="A1057" s="68" t="s">
        <v>3098</v>
      </c>
      <c r="B1057" t="s">
        <v>3099</v>
      </c>
    </row>
    <row r="1058" spans="1:3" x14ac:dyDescent="0.35">
      <c r="A1058" s="70" t="s">
        <v>3100</v>
      </c>
      <c r="B1058" t="s">
        <v>3101</v>
      </c>
    </row>
    <row r="1059" spans="1:3" x14ac:dyDescent="0.35">
      <c r="A1059" s="68" t="s">
        <v>3102</v>
      </c>
      <c r="B1059" t="s">
        <v>3103</v>
      </c>
    </row>
    <row r="1060" spans="1:3" x14ac:dyDescent="0.35">
      <c r="A1060" s="70" t="s">
        <v>3104</v>
      </c>
      <c r="B1060" t="s">
        <v>3105</v>
      </c>
    </row>
    <row r="1061" spans="1:3" x14ac:dyDescent="0.35">
      <c r="A1061" s="68" t="s">
        <v>3106</v>
      </c>
      <c r="B1061" t="s">
        <v>3107</v>
      </c>
    </row>
    <row r="1062" spans="1:3" x14ac:dyDescent="0.35">
      <c r="A1062" s="70" t="s">
        <v>3108</v>
      </c>
      <c r="B1062" t="s">
        <v>3109</v>
      </c>
    </row>
    <row r="1063" spans="1:3" x14ac:dyDescent="0.35">
      <c r="A1063" s="68" t="s">
        <v>3110</v>
      </c>
      <c r="B1063" t="s">
        <v>3111</v>
      </c>
    </row>
    <row r="1064" spans="1:3" x14ac:dyDescent="0.35">
      <c r="A1064" s="70" t="s">
        <v>3112</v>
      </c>
      <c r="B1064" t="s">
        <v>3113</v>
      </c>
    </row>
    <row r="1065" spans="1:3" x14ac:dyDescent="0.35">
      <c r="A1065" s="68" t="s">
        <v>3114</v>
      </c>
      <c r="B1065" t="s">
        <v>3115</v>
      </c>
    </row>
    <row r="1066" spans="1:3" x14ac:dyDescent="0.35">
      <c r="A1066" s="70" t="s">
        <v>3116</v>
      </c>
      <c r="B1066" t="s">
        <v>3117</v>
      </c>
    </row>
    <row r="1067" spans="1:3" x14ac:dyDescent="0.35">
      <c r="A1067" s="68" t="s">
        <v>3118</v>
      </c>
      <c r="B1067" t="s">
        <v>3119</v>
      </c>
    </row>
    <row r="1068" spans="1:3" x14ac:dyDescent="0.35">
      <c r="A1068" s="70" t="s">
        <v>3120</v>
      </c>
      <c r="B1068" t="s">
        <v>3121</v>
      </c>
    </row>
    <row r="1069" spans="1:3" x14ac:dyDescent="0.35">
      <c r="A1069" s="72" t="s">
        <v>3122</v>
      </c>
      <c r="B1069" s="48" t="s">
        <v>3123</v>
      </c>
      <c r="C1069" t="s">
        <v>3124</v>
      </c>
    </row>
    <row r="1070" spans="1:3" x14ac:dyDescent="0.35">
      <c r="A1070" s="70" t="s">
        <v>3125</v>
      </c>
      <c r="B1070" t="s">
        <v>3126</v>
      </c>
    </row>
    <row r="1071" spans="1:3" x14ac:dyDescent="0.35">
      <c r="A1071" s="72" t="s">
        <v>3127</v>
      </c>
      <c r="B1071" t="s">
        <v>3128</v>
      </c>
    </row>
    <row r="1072" spans="1:3" x14ac:dyDescent="0.35">
      <c r="A1072" s="72" t="s">
        <v>3129</v>
      </c>
      <c r="B1072" t="s">
        <v>3130</v>
      </c>
    </row>
    <row r="1073" spans="1:3" x14ac:dyDescent="0.35">
      <c r="A1073" s="72" t="s">
        <v>3131</v>
      </c>
      <c r="B1073" t="s">
        <v>3132</v>
      </c>
    </row>
    <row r="1074" spans="1:3" x14ac:dyDescent="0.35">
      <c r="A1074" s="72" t="s">
        <v>3133</v>
      </c>
      <c r="B1074" t="s">
        <v>3134</v>
      </c>
    </row>
    <row r="1075" spans="1:3" x14ac:dyDescent="0.35">
      <c r="A1075" s="72" t="s">
        <v>3135</v>
      </c>
      <c r="B1075" t="s">
        <v>3136</v>
      </c>
    </row>
    <row r="1076" spans="1:3" x14ac:dyDescent="0.35">
      <c r="A1076" s="72" t="s">
        <v>3137</v>
      </c>
      <c r="B1076" t="s">
        <v>3138</v>
      </c>
    </row>
    <row r="1077" spans="1:3" x14ac:dyDescent="0.35">
      <c r="A1077" s="72" t="s">
        <v>3139</v>
      </c>
      <c r="B1077" t="s">
        <v>3140</v>
      </c>
    </row>
    <row r="1078" spans="1:3" x14ac:dyDescent="0.35">
      <c r="A1078" s="72" t="s">
        <v>3141</v>
      </c>
      <c r="B1078" t="s">
        <v>3142</v>
      </c>
    </row>
    <row r="1079" spans="1:3" x14ac:dyDescent="0.35">
      <c r="A1079" s="72" t="s">
        <v>3143</v>
      </c>
      <c r="B1079" t="s">
        <v>3144</v>
      </c>
    </row>
    <row r="1080" spans="1:3" x14ac:dyDescent="0.35">
      <c r="A1080" s="72" t="s">
        <v>3145</v>
      </c>
      <c r="B1080" t="s">
        <v>3146</v>
      </c>
    </row>
    <row r="1081" spans="1:3" x14ac:dyDescent="0.35">
      <c r="A1081" s="68" t="s">
        <v>3147</v>
      </c>
      <c r="B1081" t="s">
        <v>3148</v>
      </c>
    </row>
    <row r="1082" spans="1:3" x14ac:dyDescent="0.35">
      <c r="A1082" s="70" t="s">
        <v>3149</v>
      </c>
      <c r="B1082" t="s">
        <v>3150</v>
      </c>
    </row>
    <row r="1083" spans="1:3" x14ac:dyDescent="0.35">
      <c r="A1083" s="68" t="s">
        <v>3151</v>
      </c>
      <c r="B1083" t="s">
        <v>3152</v>
      </c>
    </row>
    <row r="1084" spans="1:3" x14ac:dyDescent="0.35">
      <c r="A1084" s="72" t="s">
        <v>3153</v>
      </c>
      <c r="B1084" s="48" t="s">
        <v>3154</v>
      </c>
      <c r="C1084" t="s">
        <v>3124</v>
      </c>
    </row>
    <row r="1085" spans="1:3" x14ac:dyDescent="0.35">
      <c r="A1085" s="68" t="s">
        <v>3155</v>
      </c>
      <c r="B1085" t="s">
        <v>3156</v>
      </c>
    </row>
    <row r="1086" spans="1:3" x14ac:dyDescent="0.35">
      <c r="A1086" s="70" t="s">
        <v>3157</v>
      </c>
      <c r="B1086" t="s">
        <v>3158</v>
      </c>
    </row>
    <row r="1087" spans="1:3" x14ac:dyDescent="0.35">
      <c r="A1087" s="68" t="s">
        <v>3159</v>
      </c>
      <c r="B1087" t="s">
        <v>3160</v>
      </c>
    </row>
    <row r="1088" spans="1:3" x14ac:dyDescent="0.35">
      <c r="A1088" s="70" t="s">
        <v>3161</v>
      </c>
      <c r="B1088" t="s">
        <v>3162</v>
      </c>
    </row>
    <row r="1089" spans="1:3" x14ac:dyDescent="0.35">
      <c r="A1089" s="68" t="s">
        <v>3163</v>
      </c>
      <c r="B1089" t="s">
        <v>3164</v>
      </c>
    </row>
    <row r="1090" spans="1:3" x14ac:dyDescent="0.35">
      <c r="A1090" s="70" t="s">
        <v>3165</v>
      </c>
      <c r="B1090" t="s">
        <v>3166</v>
      </c>
    </row>
    <row r="1091" spans="1:3" x14ac:dyDescent="0.35">
      <c r="A1091" s="68" t="s">
        <v>3167</v>
      </c>
      <c r="B1091" t="s">
        <v>3168</v>
      </c>
    </row>
    <row r="1092" spans="1:3" x14ac:dyDescent="0.35">
      <c r="A1092" s="70" t="s">
        <v>3169</v>
      </c>
      <c r="B1092" t="s">
        <v>3170</v>
      </c>
    </row>
    <row r="1093" spans="1:3" x14ac:dyDescent="0.35">
      <c r="A1093" s="68" t="s">
        <v>3171</v>
      </c>
      <c r="B1093" t="s">
        <v>3172</v>
      </c>
    </row>
    <row r="1094" spans="1:3" x14ac:dyDescent="0.35">
      <c r="A1094" s="70" t="s">
        <v>3173</v>
      </c>
      <c r="B1094" t="s">
        <v>3174</v>
      </c>
    </row>
    <row r="1095" spans="1:3" x14ac:dyDescent="0.35">
      <c r="A1095" s="68" t="s">
        <v>3175</v>
      </c>
      <c r="B1095" t="s">
        <v>3176</v>
      </c>
    </row>
    <row r="1096" spans="1:3" x14ac:dyDescent="0.35">
      <c r="A1096" s="70" t="s">
        <v>3177</v>
      </c>
      <c r="B1096" t="s">
        <v>3178</v>
      </c>
    </row>
    <row r="1097" spans="1:3" x14ac:dyDescent="0.35">
      <c r="A1097" s="72" t="s">
        <v>3179</v>
      </c>
      <c r="B1097" s="48" t="s">
        <v>3180</v>
      </c>
      <c r="C1097" t="s">
        <v>3124</v>
      </c>
    </row>
    <row r="1098" spans="1:3" x14ac:dyDescent="0.35">
      <c r="A1098" s="70" t="s">
        <v>3181</v>
      </c>
      <c r="B1098" t="s">
        <v>3182</v>
      </c>
    </row>
    <row r="1099" spans="1:3" x14ac:dyDescent="0.35">
      <c r="A1099" s="68" t="s">
        <v>3183</v>
      </c>
      <c r="B1099" t="s">
        <v>3184</v>
      </c>
    </row>
    <row r="1100" spans="1:3" x14ac:dyDescent="0.35">
      <c r="A1100" s="70" t="s">
        <v>3185</v>
      </c>
      <c r="B1100" t="s">
        <v>3186</v>
      </c>
    </row>
    <row r="1101" spans="1:3" x14ac:dyDescent="0.35">
      <c r="A1101" s="68" t="s">
        <v>3187</v>
      </c>
      <c r="B1101" t="s">
        <v>3188</v>
      </c>
    </row>
    <row r="1102" spans="1:3" x14ac:dyDescent="0.35">
      <c r="A1102" s="70" t="s">
        <v>3189</v>
      </c>
      <c r="B1102" t="s">
        <v>3190</v>
      </c>
    </row>
    <row r="1103" spans="1:3" x14ac:dyDescent="0.35">
      <c r="A1103" s="68" t="s">
        <v>3191</v>
      </c>
      <c r="B1103" t="s">
        <v>3192</v>
      </c>
    </row>
    <row r="1104" spans="1:3" x14ac:dyDescent="0.35">
      <c r="A1104" s="70" t="s">
        <v>3193</v>
      </c>
      <c r="B1104" t="s">
        <v>3194</v>
      </c>
    </row>
    <row r="1105" spans="1:2" x14ac:dyDescent="0.35">
      <c r="A1105" s="68" t="s">
        <v>3195</v>
      </c>
      <c r="B1105" t="s">
        <v>3196</v>
      </c>
    </row>
    <row r="1106" spans="1:2" x14ac:dyDescent="0.35">
      <c r="A1106" s="70" t="s">
        <v>3197</v>
      </c>
      <c r="B1106" t="s">
        <v>3198</v>
      </c>
    </row>
    <row r="1107" spans="1:2" x14ac:dyDescent="0.35">
      <c r="A1107" s="68" t="s">
        <v>3199</v>
      </c>
      <c r="B1107" t="s">
        <v>3200</v>
      </c>
    </row>
    <row r="1108" spans="1:2" x14ac:dyDescent="0.35">
      <c r="A1108" s="70" t="s">
        <v>3201</v>
      </c>
      <c r="B1108" t="s">
        <v>3202</v>
      </c>
    </row>
    <row r="1109" spans="1:2" x14ac:dyDescent="0.35">
      <c r="A1109" s="68" t="s">
        <v>3203</v>
      </c>
      <c r="B1109" t="s">
        <v>3204</v>
      </c>
    </row>
    <row r="1110" spans="1:2" x14ac:dyDescent="0.35">
      <c r="A1110" s="70" t="s">
        <v>3205</v>
      </c>
      <c r="B1110" t="s">
        <v>3206</v>
      </c>
    </row>
    <row r="1111" spans="1:2" x14ac:dyDescent="0.35">
      <c r="A1111" s="68" t="s">
        <v>3207</v>
      </c>
      <c r="B1111" t="s">
        <v>3208</v>
      </c>
    </row>
    <row r="1112" spans="1:2" x14ac:dyDescent="0.35">
      <c r="A1112" s="70" t="s">
        <v>3209</v>
      </c>
      <c r="B1112" t="s">
        <v>3210</v>
      </c>
    </row>
    <row r="1113" spans="1:2" x14ac:dyDescent="0.35">
      <c r="A1113" s="68" t="s">
        <v>3211</v>
      </c>
      <c r="B1113" t="s">
        <v>3212</v>
      </c>
    </row>
    <row r="1114" spans="1:2" x14ac:dyDescent="0.35">
      <c r="A1114" s="70" t="s">
        <v>3213</v>
      </c>
      <c r="B1114" t="s">
        <v>3214</v>
      </c>
    </row>
    <row r="1115" spans="1:2" x14ac:dyDescent="0.35">
      <c r="A1115" s="68" t="s">
        <v>3215</v>
      </c>
      <c r="B1115" t="s">
        <v>3216</v>
      </c>
    </row>
    <row r="1116" spans="1:2" x14ac:dyDescent="0.35">
      <c r="A1116" s="70" t="s">
        <v>3217</v>
      </c>
      <c r="B1116" t="s">
        <v>3218</v>
      </c>
    </row>
    <row r="1117" spans="1:2" x14ac:dyDescent="0.35">
      <c r="A1117" s="68" t="s">
        <v>3219</v>
      </c>
      <c r="B1117" t="s">
        <v>3220</v>
      </c>
    </row>
    <row r="1118" spans="1:2" x14ac:dyDescent="0.35">
      <c r="A1118" s="73" t="s">
        <v>3221</v>
      </c>
      <c r="B1118" t="s">
        <v>3222</v>
      </c>
    </row>
    <row r="1119" spans="1:2" x14ac:dyDescent="0.35">
      <c r="A1119" s="73" t="s">
        <v>3223</v>
      </c>
      <c r="B1119" t="s">
        <v>3224</v>
      </c>
    </row>
    <row r="1120" spans="1:2" x14ac:dyDescent="0.35">
      <c r="A1120" s="73" t="s">
        <v>3225</v>
      </c>
      <c r="B1120" t="s">
        <v>3226</v>
      </c>
    </row>
    <row r="1121" spans="1:2" x14ac:dyDescent="0.35">
      <c r="A1121" s="73" t="s">
        <v>3227</v>
      </c>
      <c r="B1121" t="s">
        <v>3228</v>
      </c>
    </row>
    <row r="1122" spans="1:2" x14ac:dyDescent="0.35">
      <c r="A1122" s="73" t="s">
        <v>3229</v>
      </c>
      <c r="B1122" t="s">
        <v>3230</v>
      </c>
    </row>
    <row r="1123" spans="1:2" x14ac:dyDescent="0.35">
      <c r="A1123" s="73" t="s">
        <v>3231</v>
      </c>
      <c r="B1123" t="s">
        <v>3232</v>
      </c>
    </row>
    <row r="1124" spans="1:2" x14ac:dyDescent="0.35">
      <c r="A1124" s="73" t="s">
        <v>3233</v>
      </c>
      <c r="B1124" t="s">
        <v>3234</v>
      </c>
    </row>
    <row r="1125" spans="1:2" x14ac:dyDescent="0.35">
      <c r="A1125" s="73" t="s">
        <v>3235</v>
      </c>
      <c r="B1125" t="s">
        <v>3236</v>
      </c>
    </row>
    <row r="1126" spans="1:2" x14ac:dyDescent="0.35">
      <c r="A1126" s="73" t="s">
        <v>3237</v>
      </c>
      <c r="B1126" t="s">
        <v>3238</v>
      </c>
    </row>
    <row r="1127" spans="1:2" x14ac:dyDescent="0.35">
      <c r="A1127" s="73" t="s">
        <v>3239</v>
      </c>
      <c r="B1127" t="s">
        <v>3240</v>
      </c>
    </row>
    <row r="1128" spans="1:2" x14ac:dyDescent="0.35">
      <c r="A1128" s="73" t="s">
        <v>3241</v>
      </c>
      <c r="B1128" t="s">
        <v>3242</v>
      </c>
    </row>
    <row r="1129" spans="1:2" x14ac:dyDescent="0.35">
      <c r="A1129" s="73" t="s">
        <v>3243</v>
      </c>
      <c r="B1129" t="s">
        <v>3244</v>
      </c>
    </row>
    <row r="1130" spans="1:2" x14ac:dyDescent="0.35">
      <c r="A1130" s="73" t="s">
        <v>3245</v>
      </c>
      <c r="B1130" t="s">
        <v>3246</v>
      </c>
    </row>
    <row r="1131" spans="1:2" x14ac:dyDescent="0.35">
      <c r="A1131" s="73" t="s">
        <v>3247</v>
      </c>
      <c r="B1131" t="s">
        <v>3248</v>
      </c>
    </row>
    <row r="1132" spans="1:2" x14ac:dyDescent="0.35">
      <c r="A1132" s="73" t="s">
        <v>3249</v>
      </c>
      <c r="B1132" t="s">
        <v>3250</v>
      </c>
    </row>
    <row r="1133" spans="1:2" x14ac:dyDescent="0.35">
      <c r="A1133" s="73" t="s">
        <v>3251</v>
      </c>
      <c r="B1133" t="s">
        <v>3252</v>
      </c>
    </row>
    <row r="1134" spans="1:2" x14ac:dyDescent="0.35">
      <c r="A1134" s="73" t="s">
        <v>3253</v>
      </c>
      <c r="B1134" t="s">
        <v>3254</v>
      </c>
    </row>
    <row r="1135" spans="1:2" x14ac:dyDescent="0.35">
      <c r="A1135" s="73" t="s">
        <v>3255</v>
      </c>
      <c r="B1135" t="s">
        <v>3256</v>
      </c>
    </row>
    <row r="1136" spans="1:2" x14ac:dyDescent="0.35">
      <c r="A1136" s="73" t="s">
        <v>3257</v>
      </c>
      <c r="B1136" t="s">
        <v>3258</v>
      </c>
    </row>
    <row r="1137" spans="1:2" x14ac:dyDescent="0.35">
      <c r="A1137" s="73" t="s">
        <v>3259</v>
      </c>
      <c r="B1137" t="s">
        <v>3260</v>
      </c>
    </row>
    <row r="1138" spans="1:2" x14ac:dyDescent="0.35">
      <c r="A1138" s="73" t="s">
        <v>3261</v>
      </c>
      <c r="B1138" t="s">
        <v>3262</v>
      </c>
    </row>
    <row r="1139" spans="1:2" x14ac:dyDescent="0.35">
      <c r="A1139" s="73" t="s">
        <v>3263</v>
      </c>
      <c r="B1139" t="s">
        <v>3264</v>
      </c>
    </row>
    <row r="1140" spans="1:2" x14ac:dyDescent="0.35">
      <c r="A1140" s="73" t="s">
        <v>3265</v>
      </c>
      <c r="B1140" t="s">
        <v>3266</v>
      </c>
    </row>
    <row r="1141" spans="1:2" x14ac:dyDescent="0.35">
      <c r="A1141" s="73" t="s">
        <v>3267</v>
      </c>
      <c r="B1141" t="s">
        <v>3268</v>
      </c>
    </row>
    <row r="1142" spans="1:2" x14ac:dyDescent="0.35">
      <c r="A1142" s="73" t="s">
        <v>3269</v>
      </c>
      <c r="B1142" t="s">
        <v>3270</v>
      </c>
    </row>
    <row r="1143" spans="1:2" x14ac:dyDescent="0.35">
      <c r="A1143" s="73" t="s">
        <v>3271</v>
      </c>
      <c r="B1143" t="s">
        <v>3272</v>
      </c>
    </row>
    <row r="1144" spans="1:2" x14ac:dyDescent="0.35">
      <c r="A1144" s="73" t="s">
        <v>3273</v>
      </c>
      <c r="B1144" t="s">
        <v>3274</v>
      </c>
    </row>
    <row r="1145" spans="1:2" x14ac:dyDescent="0.35">
      <c r="A1145" s="73" t="s">
        <v>3275</v>
      </c>
      <c r="B1145" t="s">
        <v>3276</v>
      </c>
    </row>
    <row r="1146" spans="1:2" x14ac:dyDescent="0.35">
      <c r="A1146" s="73" t="s">
        <v>3277</v>
      </c>
      <c r="B1146" t="s">
        <v>3278</v>
      </c>
    </row>
    <row r="1147" spans="1:2" x14ac:dyDescent="0.35">
      <c r="A1147" s="73" t="s">
        <v>3279</v>
      </c>
      <c r="B1147" t="s">
        <v>3280</v>
      </c>
    </row>
    <row r="1148" spans="1:2" x14ac:dyDescent="0.35">
      <c r="A1148" s="73" t="s">
        <v>3281</v>
      </c>
      <c r="B1148" t="s">
        <v>3282</v>
      </c>
    </row>
    <row r="1149" spans="1:2" x14ac:dyDescent="0.35">
      <c r="A1149" s="73" t="s">
        <v>3283</v>
      </c>
      <c r="B1149" t="s">
        <v>3284</v>
      </c>
    </row>
    <row r="1150" spans="1:2" x14ac:dyDescent="0.35">
      <c r="A1150" s="73" t="s">
        <v>3285</v>
      </c>
      <c r="B1150" t="s">
        <v>3286</v>
      </c>
    </row>
    <row r="1151" spans="1:2" x14ac:dyDescent="0.35">
      <c r="A1151" s="73" t="s">
        <v>3287</v>
      </c>
      <c r="B1151" t="s">
        <v>3288</v>
      </c>
    </row>
    <row r="1152" spans="1:2" x14ac:dyDescent="0.35">
      <c r="A1152" s="73" t="s">
        <v>3289</v>
      </c>
      <c r="B1152" t="s">
        <v>3290</v>
      </c>
    </row>
    <row r="1153" spans="1:2" x14ac:dyDescent="0.35">
      <c r="A1153" s="73" t="s">
        <v>3291</v>
      </c>
      <c r="B1153" t="s">
        <v>3292</v>
      </c>
    </row>
    <row r="1154" spans="1:2" x14ac:dyDescent="0.35">
      <c r="A1154" s="73" t="s">
        <v>3293</v>
      </c>
      <c r="B1154" t="s">
        <v>3294</v>
      </c>
    </row>
    <row r="1155" spans="1:2" x14ac:dyDescent="0.35">
      <c r="A1155" s="73" t="s">
        <v>3295</v>
      </c>
      <c r="B1155" t="s">
        <v>3296</v>
      </c>
    </row>
    <row r="1156" spans="1:2" x14ac:dyDescent="0.35">
      <c r="A1156" s="73" t="s">
        <v>3297</v>
      </c>
      <c r="B1156" t="s">
        <v>3298</v>
      </c>
    </row>
    <row r="1157" spans="1:2" x14ac:dyDescent="0.35">
      <c r="A1157" s="73" t="s">
        <v>3299</v>
      </c>
      <c r="B1157" t="s">
        <v>3300</v>
      </c>
    </row>
    <row r="1158" spans="1:2" x14ac:dyDescent="0.35">
      <c r="A1158" s="73" t="s">
        <v>3301</v>
      </c>
      <c r="B1158" t="s">
        <v>3302</v>
      </c>
    </row>
    <row r="1159" spans="1:2" x14ac:dyDescent="0.35">
      <c r="A1159" s="73" t="s">
        <v>3303</v>
      </c>
      <c r="B1159" t="s">
        <v>3304</v>
      </c>
    </row>
    <row r="1160" spans="1:2" x14ac:dyDescent="0.35">
      <c r="A1160" s="73" t="s">
        <v>3305</v>
      </c>
      <c r="B1160" t="s">
        <v>3306</v>
      </c>
    </row>
    <row r="1161" spans="1:2" x14ac:dyDescent="0.35">
      <c r="A1161" s="73" t="s">
        <v>3307</v>
      </c>
      <c r="B1161" t="s">
        <v>3308</v>
      </c>
    </row>
    <row r="1162" spans="1:2" x14ac:dyDescent="0.35">
      <c r="A1162" s="73" t="s">
        <v>3309</v>
      </c>
      <c r="B1162" t="s">
        <v>3310</v>
      </c>
    </row>
    <row r="1163" spans="1:2" x14ac:dyDescent="0.35">
      <c r="A1163" s="73" t="s">
        <v>3311</v>
      </c>
      <c r="B1163" t="s">
        <v>3312</v>
      </c>
    </row>
    <row r="1164" spans="1:2" x14ac:dyDescent="0.35">
      <c r="A1164" s="73" t="s">
        <v>3313</v>
      </c>
      <c r="B1164" t="s">
        <v>3314</v>
      </c>
    </row>
    <row r="1165" spans="1:2" x14ac:dyDescent="0.35">
      <c r="A1165" s="73" t="s">
        <v>3315</v>
      </c>
      <c r="B1165" t="s">
        <v>3316</v>
      </c>
    </row>
    <row r="1166" spans="1:2" x14ac:dyDescent="0.35">
      <c r="A1166" s="73" t="s">
        <v>3317</v>
      </c>
      <c r="B1166" t="s">
        <v>3318</v>
      </c>
    </row>
    <row r="1167" spans="1:2" x14ac:dyDescent="0.35">
      <c r="A1167" s="73" t="s">
        <v>3319</v>
      </c>
      <c r="B1167" t="s">
        <v>3320</v>
      </c>
    </row>
    <row r="1168" spans="1:2" x14ac:dyDescent="0.35">
      <c r="A1168" s="73" t="s">
        <v>3321</v>
      </c>
      <c r="B1168" t="s">
        <v>3322</v>
      </c>
    </row>
    <row r="1169" spans="1:2" x14ac:dyDescent="0.35">
      <c r="A1169" s="73" t="s">
        <v>3323</v>
      </c>
      <c r="B1169" t="s">
        <v>3324</v>
      </c>
    </row>
    <row r="1170" spans="1:2" x14ac:dyDescent="0.35">
      <c r="A1170" s="73" t="s">
        <v>3325</v>
      </c>
      <c r="B1170" t="s">
        <v>3326</v>
      </c>
    </row>
    <row r="1171" spans="1:2" x14ac:dyDescent="0.35">
      <c r="A1171" s="73" t="s">
        <v>3327</v>
      </c>
      <c r="B1171" t="s">
        <v>3328</v>
      </c>
    </row>
    <row r="1172" spans="1:2" x14ac:dyDescent="0.35">
      <c r="A1172" s="73" t="s">
        <v>3329</v>
      </c>
      <c r="B1172" t="s">
        <v>3330</v>
      </c>
    </row>
    <row r="1173" spans="1:2" x14ac:dyDescent="0.35">
      <c r="A1173" s="73" t="s">
        <v>3331</v>
      </c>
      <c r="B1173" t="s">
        <v>3332</v>
      </c>
    </row>
    <row r="1174" spans="1:2" x14ac:dyDescent="0.35">
      <c r="A1174" s="73" t="s">
        <v>3333</v>
      </c>
      <c r="B1174" t="s">
        <v>3334</v>
      </c>
    </row>
    <row r="1175" spans="1:2" x14ac:dyDescent="0.35">
      <c r="A1175" s="73" t="s">
        <v>3335</v>
      </c>
      <c r="B1175" t="s">
        <v>3336</v>
      </c>
    </row>
    <row r="1176" spans="1:2" x14ac:dyDescent="0.35">
      <c r="A1176" s="73" t="s">
        <v>3337</v>
      </c>
      <c r="B1176" t="s">
        <v>3338</v>
      </c>
    </row>
    <row r="1177" spans="1:2" x14ac:dyDescent="0.35">
      <c r="A1177" s="73" t="s">
        <v>3339</v>
      </c>
      <c r="B1177" t="s">
        <v>3340</v>
      </c>
    </row>
    <row r="1178" spans="1:2" x14ac:dyDescent="0.35">
      <c r="A1178" s="73" t="s">
        <v>3341</v>
      </c>
      <c r="B1178" t="s">
        <v>3342</v>
      </c>
    </row>
    <row r="1179" spans="1:2" x14ac:dyDescent="0.35">
      <c r="A1179" s="73" t="s">
        <v>3343</v>
      </c>
      <c r="B1179" t="s">
        <v>3344</v>
      </c>
    </row>
    <row r="1180" spans="1:2" x14ac:dyDescent="0.35">
      <c r="A1180" s="73" t="s">
        <v>3345</v>
      </c>
      <c r="B1180" t="s">
        <v>3346</v>
      </c>
    </row>
    <row r="1181" spans="1:2" x14ac:dyDescent="0.35">
      <c r="A1181" s="73" t="s">
        <v>3347</v>
      </c>
      <c r="B1181" t="s">
        <v>3348</v>
      </c>
    </row>
    <row r="1182" spans="1:2" x14ac:dyDescent="0.35">
      <c r="A1182" s="73" t="s">
        <v>3349</v>
      </c>
      <c r="B1182" t="s">
        <v>3350</v>
      </c>
    </row>
    <row r="1183" spans="1:2" x14ac:dyDescent="0.35">
      <c r="A1183" s="73" t="s">
        <v>3351</v>
      </c>
      <c r="B1183" t="s">
        <v>3352</v>
      </c>
    </row>
    <row r="1184" spans="1:2" x14ac:dyDescent="0.35">
      <c r="A1184" s="73" t="s">
        <v>3353</v>
      </c>
      <c r="B1184" t="s">
        <v>3354</v>
      </c>
    </row>
    <row r="1185" spans="1:2" x14ac:dyDescent="0.35">
      <c r="A1185" s="73" t="s">
        <v>3355</v>
      </c>
      <c r="B1185" t="s">
        <v>3356</v>
      </c>
    </row>
    <row r="1186" spans="1:2" x14ac:dyDescent="0.35">
      <c r="A1186" s="73" t="s">
        <v>3357</v>
      </c>
      <c r="B1186" t="s">
        <v>3358</v>
      </c>
    </row>
    <row r="1187" spans="1:2" x14ac:dyDescent="0.35">
      <c r="A1187" s="73" t="s">
        <v>3359</v>
      </c>
      <c r="B1187" t="s">
        <v>3360</v>
      </c>
    </row>
    <row r="1188" spans="1:2" x14ac:dyDescent="0.35">
      <c r="A1188" s="73" t="s">
        <v>3361</v>
      </c>
      <c r="B1188" t="s">
        <v>3362</v>
      </c>
    </row>
    <row r="1189" spans="1:2" x14ac:dyDescent="0.35">
      <c r="A1189" s="73" t="s">
        <v>3363</v>
      </c>
      <c r="B1189" t="s">
        <v>3364</v>
      </c>
    </row>
    <row r="1190" spans="1:2" x14ac:dyDescent="0.35">
      <c r="A1190" s="73" t="s">
        <v>3365</v>
      </c>
      <c r="B1190" t="s">
        <v>3366</v>
      </c>
    </row>
    <row r="1191" spans="1:2" x14ac:dyDescent="0.35">
      <c r="A1191" s="73" t="s">
        <v>3367</v>
      </c>
      <c r="B1191" t="s">
        <v>3368</v>
      </c>
    </row>
    <row r="1192" spans="1:2" x14ac:dyDescent="0.35">
      <c r="A1192" s="73" t="s">
        <v>3369</v>
      </c>
      <c r="B1192" t="s">
        <v>3370</v>
      </c>
    </row>
    <row r="1193" spans="1:2" x14ac:dyDescent="0.35">
      <c r="A1193" s="73" t="s">
        <v>3371</v>
      </c>
      <c r="B1193" t="s">
        <v>3372</v>
      </c>
    </row>
    <row r="1194" spans="1:2" x14ac:dyDescent="0.35">
      <c r="A1194" s="73" t="s">
        <v>3373</v>
      </c>
      <c r="B1194" t="s">
        <v>3374</v>
      </c>
    </row>
    <row r="1195" spans="1:2" x14ac:dyDescent="0.35">
      <c r="A1195" s="73" t="s">
        <v>3375</v>
      </c>
      <c r="B1195" t="s">
        <v>3376</v>
      </c>
    </row>
    <row r="1196" spans="1:2" x14ac:dyDescent="0.35">
      <c r="A1196" s="73" t="s">
        <v>3377</v>
      </c>
      <c r="B1196" t="s">
        <v>3378</v>
      </c>
    </row>
    <row r="1197" spans="1:2" x14ac:dyDescent="0.35">
      <c r="A1197" s="73" t="s">
        <v>3379</v>
      </c>
      <c r="B1197" t="s">
        <v>3380</v>
      </c>
    </row>
    <row r="1198" spans="1:2" x14ac:dyDescent="0.35">
      <c r="A1198" s="73" t="s">
        <v>3381</v>
      </c>
      <c r="B1198" t="s">
        <v>3382</v>
      </c>
    </row>
    <row r="1199" spans="1:2" x14ac:dyDescent="0.35">
      <c r="A1199" s="73" t="s">
        <v>3383</v>
      </c>
      <c r="B1199" t="s">
        <v>3384</v>
      </c>
    </row>
    <row r="1200" spans="1:2" x14ac:dyDescent="0.35">
      <c r="A1200" s="73" t="s">
        <v>3385</v>
      </c>
      <c r="B1200" t="s">
        <v>3386</v>
      </c>
    </row>
    <row r="1201" spans="1:2" x14ac:dyDescent="0.35">
      <c r="A1201" s="73" t="s">
        <v>3387</v>
      </c>
      <c r="B1201" t="s">
        <v>3388</v>
      </c>
    </row>
    <row r="1202" spans="1:2" x14ac:dyDescent="0.35">
      <c r="A1202" s="73" t="s">
        <v>3389</v>
      </c>
      <c r="B1202" t="s">
        <v>3390</v>
      </c>
    </row>
    <row r="1203" spans="1:2" x14ac:dyDescent="0.35">
      <c r="A1203" s="73" t="s">
        <v>3391</v>
      </c>
      <c r="B1203" t="s">
        <v>3392</v>
      </c>
    </row>
    <row r="1204" spans="1:2" x14ac:dyDescent="0.35">
      <c r="A1204" s="73" t="s">
        <v>3393</v>
      </c>
      <c r="B1204" t="s">
        <v>3392</v>
      </c>
    </row>
    <row r="1205" spans="1:2" x14ac:dyDescent="0.35">
      <c r="A1205" s="73" t="s">
        <v>3394</v>
      </c>
      <c r="B1205" t="s">
        <v>3395</v>
      </c>
    </row>
    <row r="1206" spans="1:2" x14ac:dyDescent="0.35">
      <c r="A1206" s="73" t="s">
        <v>3396</v>
      </c>
      <c r="B1206" t="s">
        <v>3397</v>
      </c>
    </row>
    <row r="1207" spans="1:2" x14ac:dyDescent="0.35">
      <c r="A1207" s="73" t="s">
        <v>3398</v>
      </c>
      <c r="B1207" t="s">
        <v>3399</v>
      </c>
    </row>
    <row r="1208" spans="1:2" x14ac:dyDescent="0.35">
      <c r="A1208" s="73" t="s">
        <v>3400</v>
      </c>
      <c r="B1208" t="s">
        <v>3401</v>
      </c>
    </row>
    <row r="1209" spans="1:2" x14ac:dyDescent="0.35">
      <c r="A1209" s="73" t="s">
        <v>3402</v>
      </c>
      <c r="B1209" t="s">
        <v>3403</v>
      </c>
    </row>
    <row r="1210" spans="1:2" x14ac:dyDescent="0.35">
      <c r="A1210" s="73" t="s">
        <v>3404</v>
      </c>
      <c r="B1210" t="s">
        <v>3405</v>
      </c>
    </row>
    <row r="1211" spans="1:2" x14ac:dyDescent="0.35">
      <c r="A1211" s="73" t="s">
        <v>3406</v>
      </c>
      <c r="B1211" t="s">
        <v>3407</v>
      </c>
    </row>
    <row r="1212" spans="1:2" x14ac:dyDescent="0.35">
      <c r="A1212" s="73" t="s">
        <v>3408</v>
      </c>
      <c r="B1212" t="s">
        <v>3409</v>
      </c>
    </row>
    <row r="1213" spans="1:2" x14ac:dyDescent="0.35">
      <c r="A1213" s="73" t="s">
        <v>3410</v>
      </c>
      <c r="B1213" t="s">
        <v>3411</v>
      </c>
    </row>
    <row r="1214" spans="1:2" x14ac:dyDescent="0.35">
      <c r="A1214" s="73" t="s">
        <v>3412</v>
      </c>
      <c r="B1214" t="s">
        <v>3413</v>
      </c>
    </row>
    <row r="1215" spans="1:2" x14ac:dyDescent="0.35">
      <c r="A1215" s="73" t="s">
        <v>3414</v>
      </c>
      <c r="B1215" t="s">
        <v>3415</v>
      </c>
    </row>
    <row r="1216" spans="1:2" x14ac:dyDescent="0.35">
      <c r="A1216" s="73" t="s">
        <v>3416</v>
      </c>
      <c r="B1216" t="s">
        <v>3417</v>
      </c>
    </row>
    <row r="1217" spans="1:2" x14ac:dyDescent="0.35">
      <c r="A1217" s="73" t="s">
        <v>3418</v>
      </c>
      <c r="B1217" t="s">
        <v>3419</v>
      </c>
    </row>
    <row r="1218" spans="1:2" x14ac:dyDescent="0.35">
      <c r="A1218" s="73" t="s">
        <v>3420</v>
      </c>
      <c r="B1218" t="s">
        <v>3421</v>
      </c>
    </row>
    <row r="1219" spans="1:2" x14ac:dyDescent="0.35">
      <c r="A1219" s="73" t="s">
        <v>3422</v>
      </c>
      <c r="B1219" t="s">
        <v>3423</v>
      </c>
    </row>
    <row r="1220" spans="1:2" x14ac:dyDescent="0.35">
      <c r="A1220" s="73" t="s">
        <v>3424</v>
      </c>
      <c r="B1220" t="s">
        <v>3425</v>
      </c>
    </row>
    <row r="1221" spans="1:2" x14ac:dyDescent="0.35">
      <c r="A1221" s="73" t="s">
        <v>3426</v>
      </c>
      <c r="B1221" t="s">
        <v>3427</v>
      </c>
    </row>
    <row r="1222" spans="1:2" x14ac:dyDescent="0.35">
      <c r="A1222" s="73" t="s">
        <v>3428</v>
      </c>
      <c r="B1222" t="s">
        <v>3429</v>
      </c>
    </row>
    <row r="1223" spans="1:2" x14ac:dyDescent="0.35">
      <c r="A1223" s="73" t="s">
        <v>3430</v>
      </c>
      <c r="B1223" t="s">
        <v>3431</v>
      </c>
    </row>
    <row r="1224" spans="1:2" x14ac:dyDescent="0.35">
      <c r="A1224" s="73" t="s">
        <v>3432</v>
      </c>
      <c r="B1224" t="s">
        <v>3433</v>
      </c>
    </row>
    <row r="1225" spans="1:2" x14ac:dyDescent="0.35">
      <c r="A1225" s="73" t="s">
        <v>3434</v>
      </c>
      <c r="B1225" t="s">
        <v>3435</v>
      </c>
    </row>
    <row r="1226" spans="1:2" x14ac:dyDescent="0.35">
      <c r="A1226" s="73" t="s">
        <v>3436</v>
      </c>
      <c r="B1226" t="s">
        <v>3437</v>
      </c>
    </row>
    <row r="1227" spans="1:2" x14ac:dyDescent="0.35">
      <c r="A1227" s="73" t="s">
        <v>3438</v>
      </c>
      <c r="B1227" t="s">
        <v>3439</v>
      </c>
    </row>
    <row r="1228" spans="1:2" x14ac:dyDescent="0.35">
      <c r="A1228" s="73" t="s">
        <v>3440</v>
      </c>
      <c r="B1228" t="s">
        <v>3441</v>
      </c>
    </row>
    <row r="1229" spans="1:2" x14ac:dyDescent="0.35">
      <c r="A1229" s="73" t="s">
        <v>3442</v>
      </c>
      <c r="B1229" t="s">
        <v>3443</v>
      </c>
    </row>
    <row r="1230" spans="1:2" x14ac:dyDescent="0.35">
      <c r="A1230" s="73" t="s">
        <v>3444</v>
      </c>
      <c r="B1230" t="s">
        <v>3445</v>
      </c>
    </row>
    <row r="1231" spans="1:2" x14ac:dyDescent="0.35">
      <c r="A1231" s="73" t="s">
        <v>3446</v>
      </c>
      <c r="B1231" t="s">
        <v>3447</v>
      </c>
    </row>
    <row r="1232" spans="1:2" x14ac:dyDescent="0.35">
      <c r="A1232" s="73" t="s">
        <v>3448</v>
      </c>
      <c r="B1232" t="s">
        <v>3449</v>
      </c>
    </row>
    <row r="1233" spans="1:2" x14ac:dyDescent="0.35">
      <c r="A1233" s="73" t="s">
        <v>3450</v>
      </c>
      <c r="B1233" t="s">
        <v>3451</v>
      </c>
    </row>
    <row r="1234" spans="1:2" x14ac:dyDescent="0.35">
      <c r="A1234" s="73" t="s">
        <v>3452</v>
      </c>
      <c r="B1234" t="s">
        <v>3453</v>
      </c>
    </row>
    <row r="1235" spans="1:2" x14ac:dyDescent="0.35">
      <c r="A1235" s="73" t="s">
        <v>3454</v>
      </c>
      <c r="B1235" t="s">
        <v>3455</v>
      </c>
    </row>
    <row r="1236" spans="1:2" x14ac:dyDescent="0.35">
      <c r="A1236" s="73" t="s">
        <v>3456</v>
      </c>
      <c r="B1236" t="s">
        <v>3457</v>
      </c>
    </row>
    <row r="1237" spans="1:2" x14ac:dyDescent="0.35">
      <c r="A1237" s="73" t="s">
        <v>3458</v>
      </c>
      <c r="B1237" t="s">
        <v>3459</v>
      </c>
    </row>
    <row r="1238" spans="1:2" x14ac:dyDescent="0.35">
      <c r="A1238" s="73" t="s">
        <v>3460</v>
      </c>
      <c r="B1238" t="s">
        <v>3461</v>
      </c>
    </row>
    <row r="1239" spans="1:2" x14ac:dyDescent="0.35">
      <c r="A1239" s="73" t="s">
        <v>3462</v>
      </c>
      <c r="B1239" t="s">
        <v>3463</v>
      </c>
    </row>
    <row r="1240" spans="1:2" x14ac:dyDescent="0.35">
      <c r="A1240" s="73" t="s">
        <v>3464</v>
      </c>
      <c r="B1240" t="s">
        <v>3465</v>
      </c>
    </row>
    <row r="1241" spans="1:2" x14ac:dyDescent="0.35">
      <c r="A1241" s="73" t="s">
        <v>3466</v>
      </c>
      <c r="B1241" t="s">
        <v>3467</v>
      </c>
    </row>
    <row r="1242" spans="1:2" x14ac:dyDescent="0.35">
      <c r="A1242" s="73" t="s">
        <v>3468</v>
      </c>
      <c r="B1242" t="s">
        <v>3469</v>
      </c>
    </row>
    <row r="1243" spans="1:2" x14ac:dyDescent="0.35">
      <c r="A1243" s="73" t="s">
        <v>3470</v>
      </c>
      <c r="B1243" t="s">
        <v>3471</v>
      </c>
    </row>
    <row r="1244" spans="1:2" x14ac:dyDescent="0.35">
      <c r="A1244" s="73" t="s">
        <v>3472</v>
      </c>
      <c r="B1244" t="s">
        <v>3473</v>
      </c>
    </row>
    <row r="1245" spans="1:2" x14ac:dyDescent="0.35">
      <c r="A1245" s="73" t="s">
        <v>3474</v>
      </c>
      <c r="B1245" t="s">
        <v>3475</v>
      </c>
    </row>
    <row r="1246" spans="1:2" x14ac:dyDescent="0.35">
      <c r="A1246" s="73" t="s">
        <v>3476</v>
      </c>
      <c r="B1246" t="s">
        <v>3477</v>
      </c>
    </row>
    <row r="1247" spans="1:2" x14ac:dyDescent="0.35">
      <c r="A1247" s="73" t="s">
        <v>3478</v>
      </c>
      <c r="B1247" t="s">
        <v>3479</v>
      </c>
    </row>
    <row r="1248" spans="1:2" x14ac:dyDescent="0.35">
      <c r="A1248" s="73" t="s">
        <v>3480</v>
      </c>
      <c r="B1248" t="s">
        <v>3481</v>
      </c>
    </row>
    <row r="1249" spans="1:2" x14ac:dyDescent="0.35">
      <c r="A1249" s="73" t="s">
        <v>3482</v>
      </c>
      <c r="B1249" t="s">
        <v>3483</v>
      </c>
    </row>
    <row r="1250" spans="1:2" x14ac:dyDescent="0.35">
      <c r="A1250" s="73" t="s">
        <v>3484</v>
      </c>
      <c r="B1250" t="s">
        <v>3485</v>
      </c>
    </row>
    <row r="1251" spans="1:2" x14ac:dyDescent="0.35">
      <c r="A1251" s="73" t="s">
        <v>3486</v>
      </c>
      <c r="B1251" t="s">
        <v>3487</v>
      </c>
    </row>
    <row r="1252" spans="1:2" x14ac:dyDescent="0.35">
      <c r="A1252" s="73" t="s">
        <v>3488</v>
      </c>
      <c r="B1252" t="s">
        <v>3489</v>
      </c>
    </row>
    <row r="1253" spans="1:2" x14ac:dyDescent="0.35">
      <c r="A1253" s="73" t="s">
        <v>3490</v>
      </c>
      <c r="B1253" t="s">
        <v>3491</v>
      </c>
    </row>
    <row r="1254" spans="1:2" x14ac:dyDescent="0.35">
      <c r="A1254" s="73" t="s">
        <v>3492</v>
      </c>
      <c r="B1254" t="s">
        <v>3493</v>
      </c>
    </row>
    <row r="1255" spans="1:2" x14ac:dyDescent="0.35">
      <c r="A1255" s="73" t="s">
        <v>3494</v>
      </c>
      <c r="B1255" t="s">
        <v>3495</v>
      </c>
    </row>
    <row r="1256" spans="1:2" x14ac:dyDescent="0.35">
      <c r="A1256" s="73" t="s">
        <v>3496</v>
      </c>
      <c r="B1256" t="s">
        <v>3497</v>
      </c>
    </row>
    <row r="1257" spans="1:2" x14ac:dyDescent="0.35">
      <c r="A1257" s="73" t="s">
        <v>3498</v>
      </c>
      <c r="B1257" t="s">
        <v>3499</v>
      </c>
    </row>
    <row r="1258" spans="1:2" x14ac:dyDescent="0.35">
      <c r="A1258" s="73" t="s">
        <v>3500</v>
      </c>
      <c r="B1258" t="s">
        <v>3501</v>
      </c>
    </row>
    <row r="1259" spans="1:2" x14ac:dyDescent="0.35">
      <c r="A1259" s="73" t="s">
        <v>3502</v>
      </c>
      <c r="B1259" t="s">
        <v>3503</v>
      </c>
    </row>
    <row r="1260" spans="1:2" x14ac:dyDescent="0.35">
      <c r="A1260" s="73" t="s">
        <v>3504</v>
      </c>
      <c r="B1260" t="s">
        <v>3505</v>
      </c>
    </row>
    <row r="1261" spans="1:2" x14ac:dyDescent="0.35">
      <c r="A1261" s="73" t="s">
        <v>3506</v>
      </c>
      <c r="B1261" t="s">
        <v>3507</v>
      </c>
    </row>
    <row r="1262" spans="1:2" x14ac:dyDescent="0.35">
      <c r="A1262" s="73" t="s">
        <v>3508</v>
      </c>
      <c r="B1262" t="s">
        <v>3509</v>
      </c>
    </row>
    <row r="1263" spans="1:2" x14ac:dyDescent="0.35">
      <c r="A1263" s="73" t="s">
        <v>3510</v>
      </c>
      <c r="B1263" t="s">
        <v>3509</v>
      </c>
    </row>
    <row r="1264" spans="1:2" x14ac:dyDescent="0.35">
      <c r="A1264" s="73" t="s">
        <v>3511</v>
      </c>
      <c r="B1264" t="s">
        <v>3512</v>
      </c>
    </row>
    <row r="1265" spans="1:2" x14ac:dyDescent="0.35">
      <c r="A1265" s="73" t="s">
        <v>3513</v>
      </c>
      <c r="B1265" t="s">
        <v>3514</v>
      </c>
    </row>
    <row r="1266" spans="1:2" x14ac:dyDescent="0.35">
      <c r="A1266" s="73" t="s">
        <v>3515</v>
      </c>
      <c r="B1266" t="s">
        <v>3516</v>
      </c>
    </row>
    <row r="1267" spans="1:2" x14ac:dyDescent="0.35">
      <c r="A1267" s="73" t="s">
        <v>3517</v>
      </c>
      <c r="B1267" t="s">
        <v>3518</v>
      </c>
    </row>
    <row r="1268" spans="1:2" x14ac:dyDescent="0.35">
      <c r="A1268" s="73" t="s">
        <v>3519</v>
      </c>
      <c r="B1268" t="s">
        <v>3520</v>
      </c>
    </row>
    <row r="1269" spans="1:2" x14ac:dyDescent="0.35">
      <c r="A1269" s="73" t="s">
        <v>3521</v>
      </c>
      <c r="B1269" t="s">
        <v>3522</v>
      </c>
    </row>
    <row r="1270" spans="1:2" x14ac:dyDescent="0.35">
      <c r="A1270" s="73" t="s">
        <v>3523</v>
      </c>
      <c r="B1270" t="s">
        <v>3524</v>
      </c>
    </row>
    <row r="1271" spans="1:2" x14ac:dyDescent="0.35">
      <c r="A1271" s="73" t="s">
        <v>3525</v>
      </c>
      <c r="B1271" t="s">
        <v>3526</v>
      </c>
    </row>
    <row r="1272" spans="1:2" x14ac:dyDescent="0.35">
      <c r="A1272" s="73" t="s">
        <v>3527</v>
      </c>
      <c r="B1272" t="s">
        <v>3528</v>
      </c>
    </row>
    <row r="1273" spans="1:2" x14ac:dyDescent="0.35">
      <c r="A1273" s="73" t="s">
        <v>3529</v>
      </c>
      <c r="B1273" t="s">
        <v>3530</v>
      </c>
    </row>
    <row r="1274" spans="1:2" x14ac:dyDescent="0.35">
      <c r="A1274" s="73" t="s">
        <v>3531</v>
      </c>
      <c r="B1274" t="s">
        <v>3532</v>
      </c>
    </row>
    <row r="1275" spans="1:2" x14ac:dyDescent="0.35">
      <c r="A1275" s="73" t="s">
        <v>3533</v>
      </c>
      <c r="B1275" t="s">
        <v>3534</v>
      </c>
    </row>
    <row r="1276" spans="1:2" x14ac:dyDescent="0.35">
      <c r="A1276" s="73" t="s">
        <v>3535</v>
      </c>
      <c r="B1276" t="s">
        <v>3536</v>
      </c>
    </row>
    <row r="1277" spans="1:2" x14ac:dyDescent="0.35">
      <c r="A1277" s="73" t="s">
        <v>3537</v>
      </c>
      <c r="B1277" t="s">
        <v>3538</v>
      </c>
    </row>
    <row r="1278" spans="1:2" x14ac:dyDescent="0.35">
      <c r="A1278" s="73" t="s">
        <v>3539</v>
      </c>
      <c r="B1278" t="s">
        <v>3540</v>
      </c>
    </row>
    <row r="1279" spans="1:2" x14ac:dyDescent="0.35">
      <c r="A1279" s="73" t="s">
        <v>3541</v>
      </c>
      <c r="B1279" t="s">
        <v>3542</v>
      </c>
    </row>
    <row r="1280" spans="1:2" x14ac:dyDescent="0.35">
      <c r="A1280" s="73" t="s">
        <v>3543</v>
      </c>
      <c r="B1280" t="s">
        <v>3544</v>
      </c>
    </row>
    <row r="1281" spans="1:2" x14ac:dyDescent="0.35">
      <c r="A1281" s="73" t="s">
        <v>3545</v>
      </c>
      <c r="B1281" t="s">
        <v>3546</v>
      </c>
    </row>
    <row r="1282" spans="1:2" x14ac:dyDescent="0.35">
      <c r="A1282" s="73" t="s">
        <v>3547</v>
      </c>
      <c r="B1282" t="s">
        <v>3548</v>
      </c>
    </row>
    <row r="1283" spans="1:2" x14ac:dyDescent="0.35">
      <c r="A1283" s="73" t="s">
        <v>3549</v>
      </c>
      <c r="B1283" t="s">
        <v>3550</v>
      </c>
    </row>
    <row r="1284" spans="1:2" x14ac:dyDescent="0.35">
      <c r="A1284" s="73" t="s">
        <v>3551</v>
      </c>
      <c r="B1284" t="s">
        <v>3552</v>
      </c>
    </row>
    <row r="1285" spans="1:2" x14ac:dyDescent="0.35">
      <c r="A1285" s="73" t="s">
        <v>3553</v>
      </c>
      <c r="B1285" t="s">
        <v>3554</v>
      </c>
    </row>
    <row r="1286" spans="1:2" x14ac:dyDescent="0.35">
      <c r="A1286" s="73" t="s">
        <v>3555</v>
      </c>
      <c r="B1286" t="s">
        <v>3556</v>
      </c>
    </row>
    <row r="1287" spans="1:2" x14ac:dyDescent="0.35">
      <c r="A1287" s="73" t="s">
        <v>3557</v>
      </c>
      <c r="B1287" t="s">
        <v>3558</v>
      </c>
    </row>
    <row r="1288" spans="1:2" x14ac:dyDescent="0.35">
      <c r="A1288" s="73" t="s">
        <v>3559</v>
      </c>
      <c r="B1288" t="s">
        <v>3560</v>
      </c>
    </row>
    <row r="1289" spans="1:2" x14ac:dyDescent="0.35">
      <c r="A1289" s="73" t="s">
        <v>3561</v>
      </c>
      <c r="B1289" t="s">
        <v>3562</v>
      </c>
    </row>
    <row r="1290" spans="1:2" x14ac:dyDescent="0.35">
      <c r="A1290" s="73" t="s">
        <v>3563</v>
      </c>
      <c r="B1290" t="s">
        <v>3564</v>
      </c>
    </row>
    <row r="1291" spans="1:2" x14ac:dyDescent="0.35">
      <c r="A1291" s="73" t="s">
        <v>3565</v>
      </c>
      <c r="B1291" t="s">
        <v>3566</v>
      </c>
    </row>
    <row r="1292" spans="1:2" x14ac:dyDescent="0.35">
      <c r="A1292" s="73" t="s">
        <v>3567</v>
      </c>
      <c r="B1292" t="s">
        <v>3568</v>
      </c>
    </row>
    <row r="1293" spans="1:2" x14ac:dyDescent="0.35">
      <c r="A1293" s="73" t="s">
        <v>3569</v>
      </c>
      <c r="B1293" t="s">
        <v>3570</v>
      </c>
    </row>
    <row r="1294" spans="1:2" x14ac:dyDescent="0.35">
      <c r="A1294" s="73" t="s">
        <v>3571</v>
      </c>
      <c r="B1294" t="s">
        <v>3572</v>
      </c>
    </row>
    <row r="1295" spans="1:2" x14ac:dyDescent="0.35">
      <c r="A1295" s="73" t="s">
        <v>3573</v>
      </c>
      <c r="B1295" t="s">
        <v>3574</v>
      </c>
    </row>
    <row r="1296" spans="1:2" x14ac:dyDescent="0.35">
      <c r="A1296" s="73" t="s">
        <v>3575</v>
      </c>
      <c r="B1296" t="s">
        <v>3576</v>
      </c>
    </row>
    <row r="1297" spans="1:2" x14ac:dyDescent="0.35">
      <c r="A1297" s="73" t="s">
        <v>3577</v>
      </c>
      <c r="B1297" t="s">
        <v>3578</v>
      </c>
    </row>
    <row r="1298" spans="1:2" x14ac:dyDescent="0.35">
      <c r="A1298" s="73" t="s">
        <v>3579</v>
      </c>
      <c r="B1298" t="s">
        <v>3580</v>
      </c>
    </row>
    <row r="1299" spans="1:2" x14ac:dyDescent="0.35">
      <c r="A1299" s="73" t="s">
        <v>3581</v>
      </c>
      <c r="B1299" t="s">
        <v>3538</v>
      </c>
    </row>
    <row r="1300" spans="1:2" x14ac:dyDescent="0.35">
      <c r="A1300" s="73" t="s">
        <v>3582</v>
      </c>
      <c r="B1300" t="s">
        <v>3542</v>
      </c>
    </row>
    <row r="1301" spans="1:2" x14ac:dyDescent="0.35">
      <c r="A1301" s="73" t="s">
        <v>3583</v>
      </c>
      <c r="B1301" t="s">
        <v>3544</v>
      </c>
    </row>
    <row r="1302" spans="1:2" x14ac:dyDescent="0.35">
      <c r="A1302" s="73" t="s">
        <v>3584</v>
      </c>
      <c r="B1302" t="s">
        <v>3546</v>
      </c>
    </row>
    <row r="1303" spans="1:2" x14ac:dyDescent="0.35">
      <c r="A1303" s="73" t="s">
        <v>3585</v>
      </c>
      <c r="B1303" t="s">
        <v>3548</v>
      </c>
    </row>
    <row r="1304" spans="1:2" x14ac:dyDescent="0.35">
      <c r="A1304" s="73" t="s">
        <v>3586</v>
      </c>
      <c r="B1304" t="s">
        <v>3556</v>
      </c>
    </row>
    <row r="1305" spans="1:2" x14ac:dyDescent="0.35">
      <c r="A1305" s="73" t="s">
        <v>3587</v>
      </c>
      <c r="B1305" t="s">
        <v>3588</v>
      </c>
    </row>
    <row r="1306" spans="1:2" x14ac:dyDescent="0.35">
      <c r="A1306" s="73" t="s">
        <v>3589</v>
      </c>
      <c r="B1306" t="s">
        <v>3590</v>
      </c>
    </row>
    <row r="1307" spans="1:2" x14ac:dyDescent="0.35">
      <c r="A1307" s="73" t="s">
        <v>3591</v>
      </c>
      <c r="B1307" t="s">
        <v>3592</v>
      </c>
    </row>
    <row r="1308" spans="1:2" x14ac:dyDescent="0.35">
      <c r="A1308" s="73" t="s">
        <v>3593</v>
      </c>
      <c r="B1308" t="s">
        <v>3594</v>
      </c>
    </row>
    <row r="1309" spans="1:2" x14ac:dyDescent="0.35">
      <c r="A1309" s="73" t="s">
        <v>3595</v>
      </c>
      <c r="B1309" t="s">
        <v>3596</v>
      </c>
    </row>
    <row r="1310" spans="1:2" x14ac:dyDescent="0.35">
      <c r="A1310" s="73" t="s">
        <v>3597</v>
      </c>
      <c r="B1310" t="s">
        <v>3598</v>
      </c>
    </row>
    <row r="1311" spans="1:2" x14ac:dyDescent="0.35">
      <c r="A1311" s="73" t="s">
        <v>3599</v>
      </c>
      <c r="B1311" t="s">
        <v>3600</v>
      </c>
    </row>
    <row r="1312" spans="1:2" x14ac:dyDescent="0.35">
      <c r="A1312" s="73" t="s">
        <v>3601</v>
      </c>
      <c r="B1312" t="s">
        <v>3602</v>
      </c>
    </row>
    <row r="1313" spans="1:2" x14ac:dyDescent="0.35">
      <c r="A1313" s="73" t="s">
        <v>3603</v>
      </c>
      <c r="B1313" t="s">
        <v>3604</v>
      </c>
    </row>
    <row r="1314" spans="1:2" x14ac:dyDescent="0.35">
      <c r="A1314" s="73" t="s">
        <v>3605</v>
      </c>
      <c r="B1314" t="s">
        <v>3606</v>
      </c>
    </row>
    <row r="1315" spans="1:2" x14ac:dyDescent="0.35">
      <c r="A1315" s="73" t="s">
        <v>3607</v>
      </c>
      <c r="B1315" t="s">
        <v>3608</v>
      </c>
    </row>
    <row r="1316" spans="1:2" x14ac:dyDescent="0.35">
      <c r="A1316" s="73" t="s">
        <v>3609</v>
      </c>
      <c r="B1316" t="s">
        <v>3610</v>
      </c>
    </row>
    <row r="1317" spans="1:2" x14ac:dyDescent="0.35">
      <c r="A1317" s="73" t="s">
        <v>3611</v>
      </c>
      <c r="B1317" t="s">
        <v>3612</v>
      </c>
    </row>
    <row r="1318" spans="1:2" x14ac:dyDescent="0.35">
      <c r="A1318" s="73" t="s">
        <v>3613</v>
      </c>
      <c r="B1318" t="s">
        <v>3614</v>
      </c>
    </row>
    <row r="1319" spans="1:2" x14ac:dyDescent="0.35">
      <c r="A1319" s="73" t="s">
        <v>3615</v>
      </c>
      <c r="B1319" t="s">
        <v>3616</v>
      </c>
    </row>
    <row r="1320" spans="1:2" x14ac:dyDescent="0.35">
      <c r="A1320" s="73" t="s">
        <v>3617</v>
      </c>
      <c r="B1320" t="s">
        <v>3618</v>
      </c>
    </row>
    <row r="1321" spans="1:2" x14ac:dyDescent="0.35">
      <c r="A1321" s="73" t="s">
        <v>3619</v>
      </c>
      <c r="B1321" t="s">
        <v>3620</v>
      </c>
    </row>
    <row r="1322" spans="1:2" x14ac:dyDescent="0.35">
      <c r="A1322" s="73" t="s">
        <v>3621</v>
      </c>
      <c r="B1322" t="s">
        <v>3622</v>
      </c>
    </row>
    <row r="1323" spans="1:2" x14ac:dyDescent="0.35">
      <c r="A1323" s="73" t="s">
        <v>3623</v>
      </c>
      <c r="B1323" t="s">
        <v>3624</v>
      </c>
    </row>
    <row r="1324" spans="1:2" x14ac:dyDescent="0.35">
      <c r="A1324" s="73" t="s">
        <v>3625</v>
      </c>
      <c r="B1324" t="s">
        <v>3626</v>
      </c>
    </row>
    <row r="1325" spans="1:2" x14ac:dyDescent="0.35">
      <c r="A1325" s="73" t="s">
        <v>3627</v>
      </c>
      <c r="B1325" t="s">
        <v>3628</v>
      </c>
    </row>
    <row r="1326" spans="1:2" x14ac:dyDescent="0.35">
      <c r="A1326" s="73" t="s">
        <v>3629</v>
      </c>
      <c r="B1326" t="s">
        <v>3630</v>
      </c>
    </row>
    <row r="1327" spans="1:2" x14ac:dyDescent="0.35">
      <c r="A1327" s="73" t="s">
        <v>3631</v>
      </c>
      <c r="B1327" t="s">
        <v>3632</v>
      </c>
    </row>
    <row r="1328" spans="1:2" x14ac:dyDescent="0.35">
      <c r="A1328" s="73" t="s">
        <v>3633</v>
      </c>
      <c r="B1328" t="s">
        <v>3634</v>
      </c>
    </row>
    <row r="1329" spans="1:2" x14ac:dyDescent="0.35">
      <c r="A1329" s="73" t="s">
        <v>3635</v>
      </c>
      <c r="B1329" t="s">
        <v>3636</v>
      </c>
    </row>
    <row r="1330" spans="1:2" x14ac:dyDescent="0.35">
      <c r="A1330" s="73" t="s">
        <v>3637</v>
      </c>
      <c r="B1330" t="s">
        <v>3638</v>
      </c>
    </row>
    <row r="1331" spans="1:2" x14ac:dyDescent="0.35">
      <c r="A1331" s="73" t="s">
        <v>3639</v>
      </c>
      <c r="B1331" t="s">
        <v>3640</v>
      </c>
    </row>
    <row r="1332" spans="1:2" x14ac:dyDescent="0.35">
      <c r="A1332" s="73" t="s">
        <v>3641</v>
      </c>
      <c r="B1332" t="s">
        <v>3642</v>
      </c>
    </row>
    <row r="1333" spans="1:2" x14ac:dyDescent="0.35">
      <c r="A1333" s="73" t="s">
        <v>3643</v>
      </c>
      <c r="B1333" t="s">
        <v>3644</v>
      </c>
    </row>
    <row r="1334" spans="1:2" x14ac:dyDescent="0.35">
      <c r="A1334" s="73" t="s">
        <v>3645</v>
      </c>
      <c r="B1334" t="s">
        <v>3646</v>
      </c>
    </row>
    <row r="1335" spans="1:2" x14ac:dyDescent="0.35">
      <c r="A1335" s="73" t="s">
        <v>3647</v>
      </c>
      <c r="B1335" t="s">
        <v>3648</v>
      </c>
    </row>
    <row r="1336" spans="1:2" x14ac:dyDescent="0.35">
      <c r="A1336" s="73" t="s">
        <v>3649</v>
      </c>
      <c r="B1336" t="s">
        <v>3650</v>
      </c>
    </row>
    <row r="1337" spans="1:2" x14ac:dyDescent="0.35">
      <c r="A1337" s="73" t="s">
        <v>3651</v>
      </c>
      <c r="B1337" t="s">
        <v>3652</v>
      </c>
    </row>
    <row r="1338" spans="1:2" x14ac:dyDescent="0.35">
      <c r="A1338" s="73" t="s">
        <v>3653</v>
      </c>
      <c r="B1338" t="s">
        <v>3654</v>
      </c>
    </row>
    <row r="1339" spans="1:2" x14ac:dyDescent="0.35">
      <c r="A1339" s="73" t="s">
        <v>3655</v>
      </c>
      <c r="B1339" t="s">
        <v>3656</v>
      </c>
    </row>
    <row r="1340" spans="1:2" x14ac:dyDescent="0.35">
      <c r="A1340" s="73" t="s">
        <v>3657</v>
      </c>
      <c r="B1340" t="s">
        <v>3658</v>
      </c>
    </row>
    <row r="1341" spans="1:2" x14ac:dyDescent="0.35">
      <c r="A1341" s="73" t="s">
        <v>3659</v>
      </c>
      <c r="B1341" t="s">
        <v>3660</v>
      </c>
    </row>
    <row r="1342" spans="1:2" x14ac:dyDescent="0.35">
      <c r="A1342" s="73" t="s">
        <v>3661</v>
      </c>
      <c r="B1342" t="s">
        <v>3662</v>
      </c>
    </row>
    <row r="1343" spans="1:2" x14ac:dyDescent="0.35">
      <c r="A1343" s="73" t="s">
        <v>3663</v>
      </c>
      <c r="B1343" t="s">
        <v>3664</v>
      </c>
    </row>
    <row r="1344" spans="1:2" x14ac:dyDescent="0.35">
      <c r="A1344" s="73" t="s">
        <v>3665</v>
      </c>
      <c r="B1344" t="s">
        <v>3666</v>
      </c>
    </row>
    <row r="1345" spans="1:2" x14ac:dyDescent="0.35">
      <c r="A1345" s="73" t="s">
        <v>3667</v>
      </c>
      <c r="B1345" t="s">
        <v>3668</v>
      </c>
    </row>
    <row r="1346" spans="1:2" x14ac:dyDescent="0.35">
      <c r="A1346" s="73" t="s">
        <v>3669</v>
      </c>
      <c r="B1346" t="s">
        <v>3670</v>
      </c>
    </row>
    <row r="1347" spans="1:2" x14ac:dyDescent="0.35">
      <c r="A1347" s="73" t="s">
        <v>3671</v>
      </c>
      <c r="B1347" t="s">
        <v>3672</v>
      </c>
    </row>
    <row r="1348" spans="1:2" x14ac:dyDescent="0.35">
      <c r="A1348" s="73" t="s">
        <v>3673</v>
      </c>
      <c r="B1348" t="s">
        <v>3674</v>
      </c>
    </row>
    <row r="1349" spans="1:2" x14ac:dyDescent="0.35">
      <c r="A1349" s="73" t="s">
        <v>3675</v>
      </c>
      <c r="B1349" t="s">
        <v>3676</v>
      </c>
    </row>
    <row r="1350" spans="1:2" x14ac:dyDescent="0.35">
      <c r="A1350" s="73" t="s">
        <v>3677</v>
      </c>
      <c r="B1350" t="s">
        <v>3678</v>
      </c>
    </row>
    <row r="1351" spans="1:2" x14ac:dyDescent="0.35">
      <c r="A1351" s="73" t="s">
        <v>3679</v>
      </c>
      <c r="B1351" t="s">
        <v>3680</v>
      </c>
    </row>
    <row r="1352" spans="1:2" x14ac:dyDescent="0.35">
      <c r="A1352" s="73" t="s">
        <v>3681</v>
      </c>
      <c r="B1352" t="s">
        <v>3682</v>
      </c>
    </row>
    <row r="1353" spans="1:2" x14ac:dyDescent="0.35">
      <c r="A1353" s="73" t="s">
        <v>3683</v>
      </c>
      <c r="B1353" t="s">
        <v>3684</v>
      </c>
    </row>
    <row r="1354" spans="1:2" x14ac:dyDescent="0.35">
      <c r="A1354" s="73" t="s">
        <v>3685</v>
      </c>
      <c r="B1354" t="s">
        <v>3686</v>
      </c>
    </row>
    <row r="1355" spans="1:2" x14ac:dyDescent="0.35">
      <c r="A1355" s="73" t="s">
        <v>3687</v>
      </c>
      <c r="B1355" t="s">
        <v>3688</v>
      </c>
    </row>
    <row r="1356" spans="1:2" x14ac:dyDescent="0.35">
      <c r="A1356" s="73" t="s">
        <v>3689</v>
      </c>
      <c r="B1356" t="s">
        <v>3690</v>
      </c>
    </row>
    <row r="1357" spans="1:2" x14ac:dyDescent="0.35">
      <c r="A1357" s="73" t="s">
        <v>3691</v>
      </c>
      <c r="B1357" t="s">
        <v>3692</v>
      </c>
    </row>
    <row r="1358" spans="1:2" x14ac:dyDescent="0.35">
      <c r="A1358" s="73" t="s">
        <v>3693</v>
      </c>
      <c r="B1358" t="s">
        <v>3694</v>
      </c>
    </row>
    <row r="1359" spans="1:2" x14ac:dyDescent="0.35">
      <c r="A1359" s="73" t="s">
        <v>3695</v>
      </c>
      <c r="B1359" t="s">
        <v>3696</v>
      </c>
    </row>
    <row r="1360" spans="1:2" x14ac:dyDescent="0.35">
      <c r="A1360" s="73" t="s">
        <v>3697</v>
      </c>
      <c r="B1360" t="s">
        <v>3698</v>
      </c>
    </row>
    <row r="1361" spans="1:2" x14ac:dyDescent="0.35">
      <c r="A1361" s="73" t="s">
        <v>3699</v>
      </c>
      <c r="B1361" t="s">
        <v>3700</v>
      </c>
    </row>
    <row r="1362" spans="1:2" x14ac:dyDescent="0.35">
      <c r="A1362" s="73" t="s">
        <v>3701</v>
      </c>
      <c r="B1362" t="s">
        <v>3702</v>
      </c>
    </row>
    <row r="1363" spans="1:2" x14ac:dyDescent="0.35">
      <c r="A1363" s="73" t="s">
        <v>3703</v>
      </c>
      <c r="B1363" t="s">
        <v>3704</v>
      </c>
    </row>
    <row r="1364" spans="1:2" x14ac:dyDescent="0.35">
      <c r="A1364" s="73" t="s">
        <v>3705</v>
      </c>
      <c r="B1364" t="s">
        <v>3706</v>
      </c>
    </row>
    <row r="1365" spans="1:2" x14ac:dyDescent="0.35">
      <c r="A1365" s="73" t="s">
        <v>3707</v>
      </c>
      <c r="B1365" t="s">
        <v>3708</v>
      </c>
    </row>
    <row r="1366" spans="1:2" x14ac:dyDescent="0.35">
      <c r="A1366" s="73" t="s">
        <v>3709</v>
      </c>
      <c r="B1366" t="s">
        <v>3710</v>
      </c>
    </row>
    <row r="1367" spans="1:2" x14ac:dyDescent="0.35">
      <c r="A1367" s="73" t="s">
        <v>3711</v>
      </c>
      <c r="B1367" t="s">
        <v>3712</v>
      </c>
    </row>
    <row r="1368" spans="1:2" x14ac:dyDescent="0.35">
      <c r="A1368" s="73" t="s">
        <v>3713</v>
      </c>
      <c r="B1368" t="s">
        <v>3714</v>
      </c>
    </row>
    <row r="1369" spans="1:2" x14ac:dyDescent="0.35">
      <c r="A1369" s="73" t="s">
        <v>3715</v>
      </c>
      <c r="B1369" t="s">
        <v>3716</v>
      </c>
    </row>
    <row r="1370" spans="1:2" x14ac:dyDescent="0.35">
      <c r="A1370" s="73" t="s">
        <v>3717</v>
      </c>
      <c r="B1370" t="s">
        <v>3718</v>
      </c>
    </row>
    <row r="1371" spans="1:2" x14ac:dyDescent="0.35">
      <c r="A1371" s="73" t="s">
        <v>3719</v>
      </c>
      <c r="B1371" t="s">
        <v>3600</v>
      </c>
    </row>
    <row r="1372" spans="1:2" x14ac:dyDescent="0.35">
      <c r="A1372" s="73" t="s">
        <v>3720</v>
      </c>
      <c r="B1372" t="s">
        <v>3721</v>
      </c>
    </row>
    <row r="1373" spans="1:2" x14ac:dyDescent="0.35">
      <c r="A1373" s="73" t="s">
        <v>3722</v>
      </c>
      <c r="B1373" t="s">
        <v>3723</v>
      </c>
    </row>
    <row r="1374" spans="1:2" x14ac:dyDescent="0.35">
      <c r="A1374" s="73" t="s">
        <v>3724</v>
      </c>
      <c r="B1374" t="s">
        <v>3725</v>
      </c>
    </row>
    <row r="1375" spans="1:2" x14ac:dyDescent="0.35">
      <c r="A1375" s="73" t="s">
        <v>3726</v>
      </c>
      <c r="B1375" t="s">
        <v>3727</v>
      </c>
    </row>
    <row r="1376" spans="1:2" x14ac:dyDescent="0.35">
      <c r="A1376" s="73" t="s">
        <v>3728</v>
      </c>
      <c r="B1376" t="s">
        <v>3729</v>
      </c>
    </row>
    <row r="1377" spans="1:2" x14ac:dyDescent="0.35">
      <c r="A1377" s="73" t="s">
        <v>3730</v>
      </c>
      <c r="B1377" t="s">
        <v>3731</v>
      </c>
    </row>
    <row r="1378" spans="1:2" x14ac:dyDescent="0.35">
      <c r="A1378" s="73" t="s">
        <v>3732</v>
      </c>
      <c r="B1378" t="s">
        <v>3733</v>
      </c>
    </row>
    <row r="1379" spans="1:2" x14ac:dyDescent="0.35">
      <c r="A1379" s="73" t="s">
        <v>3734</v>
      </c>
      <c r="B1379" t="s">
        <v>3735</v>
      </c>
    </row>
    <row r="1380" spans="1:2" x14ac:dyDescent="0.35">
      <c r="A1380" s="73" t="s">
        <v>3736</v>
      </c>
      <c r="B1380" t="s">
        <v>3737</v>
      </c>
    </row>
    <row r="1381" spans="1:2" x14ac:dyDescent="0.35">
      <c r="A1381" s="73" t="s">
        <v>3738</v>
      </c>
      <c r="B1381" t="s">
        <v>3739</v>
      </c>
    </row>
    <row r="1382" spans="1:2" x14ac:dyDescent="0.35">
      <c r="A1382" s="73" t="s">
        <v>3740</v>
      </c>
      <c r="B1382" t="s">
        <v>3741</v>
      </c>
    </row>
    <row r="1383" spans="1:2" x14ac:dyDescent="0.35">
      <c r="A1383" s="73" t="s">
        <v>3742</v>
      </c>
      <c r="B1383" t="s">
        <v>3743</v>
      </c>
    </row>
    <row r="1384" spans="1:2" x14ac:dyDescent="0.35">
      <c r="A1384" s="73" t="s">
        <v>3744</v>
      </c>
      <c r="B1384" t="s">
        <v>3745</v>
      </c>
    </row>
    <row r="1385" spans="1:2" x14ac:dyDescent="0.35">
      <c r="A1385" s="73" t="s">
        <v>3746</v>
      </c>
      <c r="B1385" t="s">
        <v>3747</v>
      </c>
    </row>
    <row r="1386" spans="1:2" x14ac:dyDescent="0.35">
      <c r="A1386" s="73" t="s">
        <v>3748</v>
      </c>
      <c r="B1386" t="s">
        <v>3749</v>
      </c>
    </row>
    <row r="1387" spans="1:2" x14ac:dyDescent="0.35">
      <c r="A1387" s="73" t="s">
        <v>3750</v>
      </c>
      <c r="B1387" t="s">
        <v>3751</v>
      </c>
    </row>
    <row r="1388" spans="1:2" x14ac:dyDescent="0.35">
      <c r="A1388" s="73" t="s">
        <v>3752</v>
      </c>
      <c r="B1388" t="s">
        <v>3753</v>
      </c>
    </row>
    <row r="1389" spans="1:2" x14ac:dyDescent="0.35">
      <c r="A1389" s="73" t="s">
        <v>3754</v>
      </c>
      <c r="B1389" t="s">
        <v>3755</v>
      </c>
    </row>
    <row r="1390" spans="1:2" x14ac:dyDescent="0.35">
      <c r="A1390" s="73" t="s">
        <v>3756</v>
      </c>
      <c r="B1390" t="s">
        <v>3757</v>
      </c>
    </row>
    <row r="1391" spans="1:2" x14ac:dyDescent="0.35">
      <c r="A1391" s="73" t="s">
        <v>3758</v>
      </c>
      <c r="B1391" t="s">
        <v>3759</v>
      </c>
    </row>
    <row r="1392" spans="1:2" x14ac:dyDescent="0.35">
      <c r="A1392" s="73" t="s">
        <v>3760</v>
      </c>
      <c r="B1392" t="s">
        <v>3761</v>
      </c>
    </row>
    <row r="1393" spans="1:2" x14ac:dyDescent="0.35">
      <c r="A1393" s="73" t="s">
        <v>3762</v>
      </c>
      <c r="B1393" t="s">
        <v>3763</v>
      </c>
    </row>
    <row r="1394" spans="1:2" x14ac:dyDescent="0.35">
      <c r="A1394" s="73" t="s">
        <v>3764</v>
      </c>
      <c r="B1394" t="s">
        <v>3765</v>
      </c>
    </row>
    <row r="1395" spans="1:2" x14ac:dyDescent="0.35">
      <c r="A1395" s="71" t="s">
        <v>3766</v>
      </c>
      <c r="B1395" t="s">
        <v>3767</v>
      </c>
    </row>
    <row r="1396" spans="1:2" x14ac:dyDescent="0.35">
      <c r="A1396" s="68" t="s">
        <v>3768</v>
      </c>
      <c r="B1396" t="s">
        <v>3769</v>
      </c>
    </row>
    <row r="1397" spans="1:2" x14ac:dyDescent="0.35">
      <c r="A1397" s="70" t="s">
        <v>3770</v>
      </c>
      <c r="B1397" t="s">
        <v>3771</v>
      </c>
    </row>
    <row r="1398" spans="1:2" x14ac:dyDescent="0.35">
      <c r="A1398" s="68" t="s">
        <v>3772</v>
      </c>
      <c r="B1398" t="s">
        <v>3773</v>
      </c>
    </row>
    <row r="1399" spans="1:2" x14ac:dyDescent="0.35">
      <c r="A1399" s="71" t="s">
        <v>3774</v>
      </c>
      <c r="B1399" t="s">
        <v>3775</v>
      </c>
    </row>
    <row r="1400" spans="1:2" x14ac:dyDescent="0.35">
      <c r="A1400" s="68" t="s">
        <v>3776</v>
      </c>
      <c r="B1400" t="s">
        <v>3777</v>
      </c>
    </row>
    <row r="1401" spans="1:2" x14ac:dyDescent="0.35">
      <c r="A1401" s="71" t="s">
        <v>3778</v>
      </c>
      <c r="B1401" t="s">
        <v>3779</v>
      </c>
    </row>
    <row r="1402" spans="1:2" x14ac:dyDescent="0.35">
      <c r="A1402" s="68" t="s">
        <v>3780</v>
      </c>
      <c r="B1402" t="s">
        <v>3781</v>
      </c>
    </row>
    <row r="1403" spans="1:2" x14ac:dyDescent="0.35">
      <c r="A1403" s="71" t="s">
        <v>3782</v>
      </c>
      <c r="B1403" t="s">
        <v>3783</v>
      </c>
    </row>
    <row r="1404" spans="1:2" x14ac:dyDescent="0.35">
      <c r="A1404" s="68" t="s">
        <v>3784</v>
      </c>
      <c r="B1404" t="s">
        <v>3785</v>
      </c>
    </row>
    <row r="1405" spans="1:2" x14ac:dyDescent="0.35">
      <c r="A1405" s="71" t="s">
        <v>3786</v>
      </c>
      <c r="B1405" t="s">
        <v>3787</v>
      </c>
    </row>
    <row r="1406" spans="1:2" x14ac:dyDescent="0.35">
      <c r="A1406" s="68" t="s">
        <v>3788</v>
      </c>
      <c r="B1406" t="s">
        <v>3789</v>
      </c>
    </row>
    <row r="1407" spans="1:2" x14ac:dyDescent="0.35">
      <c r="A1407" s="71" t="s">
        <v>3790</v>
      </c>
      <c r="B1407" t="s">
        <v>3791</v>
      </c>
    </row>
    <row r="1408" spans="1:2" x14ac:dyDescent="0.35">
      <c r="A1408" s="68" t="s">
        <v>3792</v>
      </c>
      <c r="B1408" t="s">
        <v>3793</v>
      </c>
    </row>
    <row r="1409" spans="1:2" x14ac:dyDescent="0.35">
      <c r="A1409" s="71" t="s">
        <v>3794</v>
      </c>
      <c r="B1409" t="s">
        <v>3795</v>
      </c>
    </row>
    <row r="1410" spans="1:2" x14ac:dyDescent="0.35">
      <c r="A1410" s="68" t="s">
        <v>3796</v>
      </c>
      <c r="B1410" t="s">
        <v>3797</v>
      </c>
    </row>
    <row r="1411" spans="1:2" x14ac:dyDescent="0.35">
      <c r="A1411" s="71" t="s">
        <v>3798</v>
      </c>
      <c r="B1411" t="s">
        <v>3799</v>
      </c>
    </row>
    <row r="1412" spans="1:2" x14ac:dyDescent="0.35">
      <c r="A1412" s="68" t="s">
        <v>3800</v>
      </c>
      <c r="B1412" t="s">
        <v>3801</v>
      </c>
    </row>
    <row r="1413" spans="1:2" x14ac:dyDescent="0.35">
      <c r="A1413" s="71" t="s">
        <v>3802</v>
      </c>
      <c r="B1413" t="s">
        <v>3803</v>
      </c>
    </row>
    <row r="1414" spans="1:2" x14ac:dyDescent="0.35">
      <c r="A1414" s="68" t="s">
        <v>3804</v>
      </c>
      <c r="B1414" t="s">
        <v>3805</v>
      </c>
    </row>
    <row r="1415" spans="1:2" x14ac:dyDescent="0.35">
      <c r="A1415" s="71" t="s">
        <v>3806</v>
      </c>
      <c r="B1415" t="s">
        <v>3807</v>
      </c>
    </row>
    <row r="1416" spans="1:2" x14ac:dyDescent="0.35">
      <c r="A1416" s="68" t="s">
        <v>3808</v>
      </c>
      <c r="B1416" t="s">
        <v>3809</v>
      </c>
    </row>
    <row r="1417" spans="1:2" x14ac:dyDescent="0.35">
      <c r="A1417" s="71" t="s">
        <v>3810</v>
      </c>
      <c r="B1417" t="s">
        <v>3811</v>
      </c>
    </row>
    <row r="1418" spans="1:2" x14ac:dyDescent="0.35">
      <c r="A1418" s="68" t="s">
        <v>3812</v>
      </c>
      <c r="B1418" t="s">
        <v>3813</v>
      </c>
    </row>
    <row r="1419" spans="1:2" x14ac:dyDescent="0.35">
      <c r="A1419" s="71" t="s">
        <v>3814</v>
      </c>
      <c r="B1419" t="s">
        <v>3815</v>
      </c>
    </row>
    <row r="1420" spans="1:2" x14ac:dyDescent="0.35">
      <c r="A1420" s="68" t="s">
        <v>3816</v>
      </c>
      <c r="B1420" t="s">
        <v>3817</v>
      </c>
    </row>
    <row r="1421" spans="1:2" x14ac:dyDescent="0.35">
      <c r="A1421" s="71" t="s">
        <v>3818</v>
      </c>
      <c r="B1421" t="s">
        <v>3819</v>
      </c>
    </row>
    <row r="1422" spans="1:2" x14ac:dyDescent="0.35">
      <c r="A1422" s="68" t="s">
        <v>3820</v>
      </c>
      <c r="B1422" t="s">
        <v>3821</v>
      </c>
    </row>
    <row r="1423" spans="1:2" x14ac:dyDescent="0.35">
      <c r="A1423" s="71" t="s">
        <v>3822</v>
      </c>
      <c r="B1423" t="s">
        <v>3823</v>
      </c>
    </row>
    <row r="1424" spans="1:2" x14ac:dyDescent="0.35">
      <c r="A1424" s="68" t="s">
        <v>3824</v>
      </c>
      <c r="B1424" t="s">
        <v>3825</v>
      </c>
    </row>
    <row r="1425" spans="1:2" x14ac:dyDescent="0.35">
      <c r="A1425" s="71" t="s">
        <v>3826</v>
      </c>
      <c r="B1425" t="s">
        <v>3827</v>
      </c>
    </row>
    <row r="1426" spans="1:2" x14ac:dyDescent="0.35">
      <c r="A1426" s="68" t="s">
        <v>3828</v>
      </c>
      <c r="B1426" t="s">
        <v>3829</v>
      </c>
    </row>
    <row r="1427" spans="1:2" x14ac:dyDescent="0.35">
      <c r="A1427" s="71" t="s">
        <v>3830</v>
      </c>
      <c r="B1427" t="s">
        <v>3831</v>
      </c>
    </row>
    <row r="1428" spans="1:2" x14ac:dyDescent="0.35">
      <c r="A1428" s="68" t="s">
        <v>3832</v>
      </c>
      <c r="B1428" t="s">
        <v>3833</v>
      </c>
    </row>
    <row r="1429" spans="1:2" x14ac:dyDescent="0.35">
      <c r="A1429" s="71" t="s">
        <v>3834</v>
      </c>
      <c r="B1429" t="s">
        <v>3835</v>
      </c>
    </row>
    <row r="1430" spans="1:2" x14ac:dyDescent="0.35">
      <c r="A1430" s="68" t="s">
        <v>3836</v>
      </c>
      <c r="B1430" t="s">
        <v>3837</v>
      </c>
    </row>
    <row r="1431" spans="1:2" x14ac:dyDescent="0.35">
      <c r="A1431" s="71" t="s">
        <v>3838</v>
      </c>
      <c r="B1431" t="s">
        <v>3839</v>
      </c>
    </row>
    <row r="1432" spans="1:2" x14ac:dyDescent="0.35">
      <c r="A1432" s="68" t="s">
        <v>3840</v>
      </c>
      <c r="B1432" t="s">
        <v>3841</v>
      </c>
    </row>
    <row r="1433" spans="1:2" x14ac:dyDescent="0.35">
      <c r="A1433" s="71" t="s">
        <v>3842</v>
      </c>
      <c r="B1433" t="s">
        <v>3843</v>
      </c>
    </row>
    <row r="1434" spans="1:2" x14ac:dyDescent="0.35">
      <c r="A1434" s="68" t="s">
        <v>3844</v>
      </c>
      <c r="B1434" t="s">
        <v>3845</v>
      </c>
    </row>
    <row r="1435" spans="1:2" x14ac:dyDescent="0.35">
      <c r="A1435" s="71" t="s">
        <v>3846</v>
      </c>
      <c r="B1435" t="s">
        <v>3847</v>
      </c>
    </row>
    <row r="1436" spans="1:2" x14ac:dyDescent="0.35">
      <c r="A1436" s="68" t="s">
        <v>3848</v>
      </c>
      <c r="B1436" t="s">
        <v>3849</v>
      </c>
    </row>
    <row r="1437" spans="1:2" x14ac:dyDescent="0.35">
      <c r="A1437" s="71" t="s">
        <v>3850</v>
      </c>
      <c r="B1437" t="s">
        <v>3851</v>
      </c>
    </row>
    <row r="1438" spans="1:2" x14ac:dyDescent="0.35">
      <c r="A1438" s="68" t="s">
        <v>3852</v>
      </c>
      <c r="B1438" t="s">
        <v>3853</v>
      </c>
    </row>
    <row r="1439" spans="1:2" x14ac:dyDescent="0.35">
      <c r="A1439" s="71" t="s">
        <v>3854</v>
      </c>
      <c r="B1439" t="s">
        <v>3855</v>
      </c>
    </row>
    <row r="1440" spans="1:2" x14ac:dyDescent="0.35">
      <c r="A1440" s="68" t="s">
        <v>3856</v>
      </c>
      <c r="B1440" t="s">
        <v>3857</v>
      </c>
    </row>
    <row r="1441" spans="1:2" x14ac:dyDescent="0.35">
      <c r="A1441" s="71" t="s">
        <v>3858</v>
      </c>
      <c r="B1441" t="s">
        <v>3859</v>
      </c>
    </row>
    <row r="1442" spans="1:2" x14ac:dyDescent="0.35">
      <c r="A1442" s="68" t="s">
        <v>3860</v>
      </c>
      <c r="B1442" t="s">
        <v>3861</v>
      </c>
    </row>
    <row r="1443" spans="1:2" x14ac:dyDescent="0.35">
      <c r="A1443" s="71" t="s">
        <v>3862</v>
      </c>
      <c r="B1443" t="s">
        <v>3863</v>
      </c>
    </row>
    <row r="1444" spans="1:2" x14ac:dyDescent="0.35">
      <c r="A1444" s="68" t="s">
        <v>3864</v>
      </c>
      <c r="B1444" t="s">
        <v>3865</v>
      </c>
    </row>
    <row r="1445" spans="1:2" x14ac:dyDescent="0.35">
      <c r="A1445" s="71" t="s">
        <v>3866</v>
      </c>
      <c r="B1445" t="s">
        <v>3867</v>
      </c>
    </row>
    <row r="1446" spans="1:2" x14ac:dyDescent="0.35">
      <c r="A1446" s="68" t="s">
        <v>3868</v>
      </c>
      <c r="B1446" t="s">
        <v>3869</v>
      </c>
    </row>
    <row r="1447" spans="1:2" x14ac:dyDescent="0.35">
      <c r="A1447" s="71" t="s">
        <v>3870</v>
      </c>
      <c r="B1447" t="s">
        <v>3871</v>
      </c>
    </row>
    <row r="1448" spans="1:2" x14ac:dyDescent="0.35">
      <c r="A1448" s="68" t="s">
        <v>3872</v>
      </c>
      <c r="B1448" t="s">
        <v>3873</v>
      </c>
    </row>
    <row r="1449" spans="1:2" x14ac:dyDescent="0.35">
      <c r="A1449" s="71" t="s">
        <v>3874</v>
      </c>
      <c r="B1449" t="s">
        <v>3875</v>
      </c>
    </row>
    <row r="1450" spans="1:2" x14ac:dyDescent="0.35">
      <c r="A1450" s="68" t="s">
        <v>3876</v>
      </c>
      <c r="B1450" t="s">
        <v>3877</v>
      </c>
    </row>
    <row r="1451" spans="1:2" x14ac:dyDescent="0.35">
      <c r="A1451" s="71" t="s">
        <v>3878</v>
      </c>
      <c r="B1451" t="s">
        <v>3879</v>
      </c>
    </row>
    <row r="1452" spans="1:2" x14ac:dyDescent="0.35">
      <c r="A1452" s="68" t="s">
        <v>3880</v>
      </c>
      <c r="B1452" t="s">
        <v>3881</v>
      </c>
    </row>
    <row r="1453" spans="1:2" x14ac:dyDescent="0.35">
      <c r="A1453" s="71" t="s">
        <v>3882</v>
      </c>
      <c r="B1453" t="s">
        <v>3883</v>
      </c>
    </row>
    <row r="1454" spans="1:2" x14ac:dyDescent="0.35">
      <c r="A1454" s="68" t="s">
        <v>3884</v>
      </c>
      <c r="B1454" t="s">
        <v>3885</v>
      </c>
    </row>
    <row r="1455" spans="1:2" x14ac:dyDescent="0.35">
      <c r="A1455" s="71" t="s">
        <v>3886</v>
      </c>
      <c r="B1455" t="s">
        <v>3887</v>
      </c>
    </row>
    <row r="1456" spans="1:2" x14ac:dyDescent="0.35">
      <c r="A1456" s="68" t="s">
        <v>3888</v>
      </c>
      <c r="B1456" t="s">
        <v>3889</v>
      </c>
    </row>
    <row r="1457" spans="1:2" x14ac:dyDescent="0.35">
      <c r="A1457" s="71" t="s">
        <v>3890</v>
      </c>
      <c r="B1457" t="s">
        <v>3891</v>
      </c>
    </row>
    <row r="1458" spans="1:2" x14ac:dyDescent="0.35">
      <c r="A1458" s="68" t="s">
        <v>3892</v>
      </c>
      <c r="B1458" t="s">
        <v>3893</v>
      </c>
    </row>
    <row r="1459" spans="1:2" x14ac:dyDescent="0.35">
      <c r="A1459" s="71" t="s">
        <v>3894</v>
      </c>
      <c r="B1459" t="s">
        <v>3895</v>
      </c>
    </row>
    <row r="1460" spans="1:2" x14ac:dyDescent="0.35">
      <c r="A1460" s="68" t="s">
        <v>3896</v>
      </c>
      <c r="B1460" t="s">
        <v>3897</v>
      </c>
    </row>
    <row r="1461" spans="1:2" x14ac:dyDescent="0.35">
      <c r="A1461" s="71" t="s">
        <v>3898</v>
      </c>
      <c r="B1461" t="s">
        <v>3899</v>
      </c>
    </row>
    <row r="1462" spans="1:2" x14ac:dyDescent="0.35">
      <c r="A1462" s="68" t="s">
        <v>3900</v>
      </c>
      <c r="B1462" t="s">
        <v>3901</v>
      </c>
    </row>
    <row r="1463" spans="1:2" x14ac:dyDescent="0.35">
      <c r="A1463" s="71" t="s">
        <v>3902</v>
      </c>
      <c r="B1463" t="s">
        <v>3903</v>
      </c>
    </row>
    <row r="1464" spans="1:2" x14ac:dyDescent="0.35">
      <c r="A1464" s="68" t="s">
        <v>3904</v>
      </c>
      <c r="B1464" t="s">
        <v>3905</v>
      </c>
    </row>
    <row r="1465" spans="1:2" x14ac:dyDescent="0.35">
      <c r="A1465" s="71" t="s">
        <v>3906</v>
      </c>
      <c r="B1465" t="s">
        <v>3907</v>
      </c>
    </row>
    <row r="1466" spans="1:2" x14ac:dyDescent="0.35">
      <c r="A1466" s="68" t="s">
        <v>3908</v>
      </c>
      <c r="B1466" t="s">
        <v>3909</v>
      </c>
    </row>
    <row r="1467" spans="1:2" x14ac:dyDescent="0.35">
      <c r="A1467" s="71" t="s">
        <v>3910</v>
      </c>
      <c r="B1467" t="s">
        <v>3911</v>
      </c>
    </row>
    <row r="1468" spans="1:2" x14ac:dyDescent="0.35">
      <c r="A1468" s="68" t="s">
        <v>3912</v>
      </c>
      <c r="B1468" t="s">
        <v>3913</v>
      </c>
    </row>
    <row r="1469" spans="1:2" x14ac:dyDescent="0.35">
      <c r="A1469" s="71" t="s">
        <v>3914</v>
      </c>
      <c r="B1469" t="s">
        <v>3915</v>
      </c>
    </row>
    <row r="1470" spans="1:2" x14ac:dyDescent="0.35">
      <c r="A1470" s="68" t="s">
        <v>3916</v>
      </c>
      <c r="B1470" t="s">
        <v>3917</v>
      </c>
    </row>
    <row r="1471" spans="1:2" x14ac:dyDescent="0.35">
      <c r="A1471" s="71" t="s">
        <v>3918</v>
      </c>
      <c r="B1471" t="s">
        <v>3919</v>
      </c>
    </row>
    <row r="1472" spans="1:2" x14ac:dyDescent="0.35">
      <c r="A1472" s="68" t="s">
        <v>3920</v>
      </c>
      <c r="B1472" t="s">
        <v>3921</v>
      </c>
    </row>
    <row r="1473" spans="1:2" x14ac:dyDescent="0.35">
      <c r="A1473" s="71" t="s">
        <v>3922</v>
      </c>
      <c r="B1473" t="s">
        <v>3923</v>
      </c>
    </row>
    <row r="1474" spans="1:2" x14ac:dyDescent="0.35">
      <c r="A1474" s="68" t="s">
        <v>3924</v>
      </c>
      <c r="B1474" t="s">
        <v>3925</v>
      </c>
    </row>
    <row r="1475" spans="1:2" x14ac:dyDescent="0.35">
      <c r="A1475" s="71" t="s">
        <v>3926</v>
      </c>
      <c r="B1475" t="s">
        <v>3927</v>
      </c>
    </row>
    <row r="1476" spans="1:2" x14ac:dyDescent="0.35">
      <c r="A1476" s="68" t="s">
        <v>3928</v>
      </c>
      <c r="B1476" t="s">
        <v>3929</v>
      </c>
    </row>
    <row r="1477" spans="1:2" x14ac:dyDescent="0.35">
      <c r="A1477" s="71" t="s">
        <v>3930</v>
      </c>
      <c r="B1477" t="s">
        <v>3931</v>
      </c>
    </row>
    <row r="1478" spans="1:2" x14ac:dyDescent="0.35">
      <c r="A1478" s="68" t="s">
        <v>3932</v>
      </c>
      <c r="B1478" t="s">
        <v>3933</v>
      </c>
    </row>
    <row r="1479" spans="1:2" x14ac:dyDescent="0.35">
      <c r="A1479" s="71" t="s">
        <v>3934</v>
      </c>
      <c r="B1479" t="s">
        <v>3935</v>
      </c>
    </row>
    <row r="1480" spans="1:2" x14ac:dyDescent="0.35">
      <c r="A1480" s="68" t="s">
        <v>3936</v>
      </c>
      <c r="B1480" t="s">
        <v>3937</v>
      </c>
    </row>
    <row r="1481" spans="1:2" x14ac:dyDescent="0.35">
      <c r="A1481" s="71" t="s">
        <v>3938</v>
      </c>
      <c r="B1481" t="s">
        <v>3939</v>
      </c>
    </row>
    <row r="1482" spans="1:2" x14ac:dyDescent="0.35">
      <c r="A1482" s="68" t="s">
        <v>3940</v>
      </c>
      <c r="B1482" t="s">
        <v>3941</v>
      </c>
    </row>
    <row r="1483" spans="1:2" x14ac:dyDescent="0.35">
      <c r="A1483" s="71" t="s">
        <v>3942</v>
      </c>
      <c r="B1483" t="s">
        <v>3943</v>
      </c>
    </row>
    <row r="1484" spans="1:2" x14ac:dyDescent="0.35">
      <c r="A1484" s="68" t="s">
        <v>3944</v>
      </c>
      <c r="B1484" t="s">
        <v>3945</v>
      </c>
    </row>
    <row r="1485" spans="1:2" x14ac:dyDescent="0.35">
      <c r="A1485" s="71" t="s">
        <v>3946</v>
      </c>
      <c r="B1485" t="s">
        <v>3947</v>
      </c>
    </row>
    <row r="1486" spans="1:2" x14ac:dyDescent="0.35">
      <c r="A1486" s="68" t="s">
        <v>3948</v>
      </c>
      <c r="B1486" t="s">
        <v>3949</v>
      </c>
    </row>
    <row r="1487" spans="1:2" x14ac:dyDescent="0.35">
      <c r="A1487" s="71" t="s">
        <v>3950</v>
      </c>
      <c r="B1487" t="s">
        <v>3951</v>
      </c>
    </row>
    <row r="1488" spans="1:2" x14ac:dyDescent="0.35">
      <c r="A1488" s="68" t="s">
        <v>3952</v>
      </c>
      <c r="B1488" t="s">
        <v>3953</v>
      </c>
    </row>
    <row r="1489" spans="1:2" x14ac:dyDescent="0.35">
      <c r="A1489" s="71" t="s">
        <v>3954</v>
      </c>
      <c r="B1489" t="s">
        <v>3955</v>
      </c>
    </row>
    <row r="1490" spans="1:2" x14ac:dyDescent="0.35">
      <c r="A1490" s="68" t="s">
        <v>3956</v>
      </c>
      <c r="B1490" t="s">
        <v>3957</v>
      </c>
    </row>
    <row r="1491" spans="1:2" x14ac:dyDescent="0.35">
      <c r="A1491" s="71" t="s">
        <v>3958</v>
      </c>
      <c r="B1491" t="s">
        <v>3959</v>
      </c>
    </row>
    <row r="1492" spans="1:2" x14ac:dyDescent="0.35">
      <c r="A1492" s="68" t="s">
        <v>3960</v>
      </c>
      <c r="B1492" t="s">
        <v>3961</v>
      </c>
    </row>
    <row r="1493" spans="1:2" x14ac:dyDescent="0.35">
      <c r="A1493" s="71" t="s">
        <v>3962</v>
      </c>
      <c r="B1493" t="s">
        <v>3963</v>
      </c>
    </row>
    <row r="1494" spans="1:2" x14ac:dyDescent="0.35">
      <c r="A1494" s="68" t="s">
        <v>3964</v>
      </c>
      <c r="B1494" t="s">
        <v>3965</v>
      </c>
    </row>
    <row r="1495" spans="1:2" x14ac:dyDescent="0.35">
      <c r="A1495" s="71" t="s">
        <v>3966</v>
      </c>
      <c r="B1495" t="s">
        <v>3967</v>
      </c>
    </row>
    <row r="1496" spans="1:2" x14ac:dyDescent="0.35">
      <c r="A1496" s="68" t="s">
        <v>3968</v>
      </c>
      <c r="B1496" t="s">
        <v>3969</v>
      </c>
    </row>
    <row r="1497" spans="1:2" x14ac:dyDescent="0.35">
      <c r="A1497" s="71" t="s">
        <v>3970</v>
      </c>
      <c r="B1497" t="s">
        <v>3971</v>
      </c>
    </row>
    <row r="1498" spans="1:2" x14ac:dyDescent="0.35">
      <c r="A1498" s="68" t="s">
        <v>3972</v>
      </c>
      <c r="B1498" t="s">
        <v>3973</v>
      </c>
    </row>
    <row r="1499" spans="1:2" x14ac:dyDescent="0.35">
      <c r="A1499" s="71" t="s">
        <v>3974</v>
      </c>
      <c r="B1499" t="s">
        <v>3975</v>
      </c>
    </row>
    <row r="1500" spans="1:2" x14ac:dyDescent="0.35">
      <c r="A1500" s="68" t="s">
        <v>3976</v>
      </c>
      <c r="B1500" t="s">
        <v>3977</v>
      </c>
    </row>
    <row r="1501" spans="1:2" x14ac:dyDescent="0.35">
      <c r="A1501" s="71" t="s">
        <v>3978</v>
      </c>
      <c r="B1501" t="s">
        <v>3979</v>
      </c>
    </row>
    <row r="1502" spans="1:2" x14ac:dyDescent="0.35">
      <c r="A1502" s="68" t="s">
        <v>3980</v>
      </c>
      <c r="B1502" t="s">
        <v>3981</v>
      </c>
    </row>
    <row r="1503" spans="1:2" x14ac:dyDescent="0.35">
      <c r="A1503" s="71" t="s">
        <v>3982</v>
      </c>
      <c r="B1503" t="s">
        <v>3983</v>
      </c>
    </row>
    <row r="1504" spans="1:2" x14ac:dyDescent="0.35">
      <c r="A1504" s="68" t="s">
        <v>3984</v>
      </c>
      <c r="B1504" t="s">
        <v>3985</v>
      </c>
    </row>
    <row r="1505" spans="1:2" x14ac:dyDescent="0.35">
      <c r="A1505" s="71" t="s">
        <v>3986</v>
      </c>
      <c r="B1505" t="s">
        <v>3987</v>
      </c>
    </row>
    <row r="1506" spans="1:2" x14ac:dyDescent="0.35">
      <c r="A1506" s="68" t="s">
        <v>3988</v>
      </c>
      <c r="B1506" t="s">
        <v>3989</v>
      </c>
    </row>
    <row r="1507" spans="1:2" x14ac:dyDescent="0.35">
      <c r="A1507" s="71" t="s">
        <v>3990</v>
      </c>
      <c r="B1507" t="s">
        <v>3991</v>
      </c>
    </row>
    <row r="1508" spans="1:2" x14ac:dyDescent="0.35">
      <c r="A1508" s="68" t="s">
        <v>3992</v>
      </c>
      <c r="B1508" t="s">
        <v>3993</v>
      </c>
    </row>
    <row r="1509" spans="1:2" x14ac:dyDescent="0.35">
      <c r="A1509" s="71" t="s">
        <v>3994</v>
      </c>
      <c r="B1509" t="s">
        <v>3995</v>
      </c>
    </row>
    <row r="1510" spans="1:2" x14ac:dyDescent="0.35">
      <c r="A1510" s="68" t="s">
        <v>3996</v>
      </c>
      <c r="B1510" t="s">
        <v>3997</v>
      </c>
    </row>
    <row r="1511" spans="1:2" x14ac:dyDescent="0.35">
      <c r="A1511" s="71" t="s">
        <v>3998</v>
      </c>
      <c r="B1511" t="s">
        <v>3999</v>
      </c>
    </row>
    <row r="1512" spans="1:2" x14ac:dyDescent="0.35">
      <c r="A1512" s="68" t="s">
        <v>4000</v>
      </c>
      <c r="B1512" t="s">
        <v>4001</v>
      </c>
    </row>
    <row r="1513" spans="1:2" x14ac:dyDescent="0.35">
      <c r="A1513" s="71" t="s">
        <v>4002</v>
      </c>
      <c r="B1513" t="s">
        <v>4003</v>
      </c>
    </row>
    <row r="1514" spans="1:2" x14ac:dyDescent="0.35">
      <c r="A1514" s="68" t="s">
        <v>4004</v>
      </c>
      <c r="B1514" t="s">
        <v>4005</v>
      </c>
    </row>
    <row r="1515" spans="1:2" x14ac:dyDescent="0.35">
      <c r="A1515" s="71" t="s">
        <v>4006</v>
      </c>
      <c r="B1515" t="s">
        <v>4007</v>
      </c>
    </row>
    <row r="1516" spans="1:2" x14ac:dyDescent="0.35">
      <c r="A1516" s="68" t="s">
        <v>4008</v>
      </c>
      <c r="B1516" t="s">
        <v>4009</v>
      </c>
    </row>
    <row r="1517" spans="1:2" x14ac:dyDescent="0.35">
      <c r="A1517" s="71" t="s">
        <v>4010</v>
      </c>
      <c r="B1517" t="s">
        <v>4011</v>
      </c>
    </row>
    <row r="1518" spans="1:2" x14ac:dyDescent="0.35">
      <c r="A1518" s="68" t="s">
        <v>4012</v>
      </c>
      <c r="B1518" t="s">
        <v>4013</v>
      </c>
    </row>
    <row r="1519" spans="1:2" x14ac:dyDescent="0.35">
      <c r="A1519" s="71" t="s">
        <v>4014</v>
      </c>
      <c r="B1519" t="s">
        <v>4015</v>
      </c>
    </row>
    <row r="1520" spans="1:2" x14ac:dyDescent="0.35">
      <c r="A1520" s="68" t="s">
        <v>4016</v>
      </c>
      <c r="B1520" t="s">
        <v>4017</v>
      </c>
    </row>
    <row r="1521" spans="1:2" x14ac:dyDescent="0.35">
      <c r="A1521" s="71" t="s">
        <v>4018</v>
      </c>
      <c r="B1521" t="s">
        <v>4019</v>
      </c>
    </row>
    <row r="1522" spans="1:2" x14ac:dyDescent="0.35">
      <c r="A1522" s="68" t="s">
        <v>4020</v>
      </c>
      <c r="B1522" t="s">
        <v>4021</v>
      </c>
    </row>
    <row r="1523" spans="1:2" x14ac:dyDescent="0.35">
      <c r="A1523" s="71" t="s">
        <v>4022</v>
      </c>
      <c r="B1523" t="s">
        <v>4023</v>
      </c>
    </row>
    <row r="1524" spans="1:2" x14ac:dyDescent="0.35">
      <c r="A1524" s="68" t="s">
        <v>4024</v>
      </c>
      <c r="B1524" t="s">
        <v>4025</v>
      </c>
    </row>
    <row r="1525" spans="1:2" x14ac:dyDescent="0.35">
      <c r="A1525" s="71" t="s">
        <v>4026</v>
      </c>
      <c r="B1525" t="s">
        <v>4027</v>
      </c>
    </row>
    <row r="1526" spans="1:2" x14ac:dyDescent="0.35">
      <c r="A1526" s="68" t="s">
        <v>4028</v>
      </c>
      <c r="B1526" t="s">
        <v>4029</v>
      </c>
    </row>
    <row r="1527" spans="1:2" x14ac:dyDescent="0.35">
      <c r="A1527" s="71" t="s">
        <v>4030</v>
      </c>
      <c r="B1527" t="s">
        <v>4031</v>
      </c>
    </row>
    <row r="1528" spans="1:2" x14ac:dyDescent="0.35">
      <c r="A1528" s="68" t="s">
        <v>4032</v>
      </c>
      <c r="B1528" t="s">
        <v>4033</v>
      </c>
    </row>
    <row r="1529" spans="1:2" x14ac:dyDescent="0.35">
      <c r="A1529" s="71" t="s">
        <v>4034</v>
      </c>
      <c r="B1529" t="s">
        <v>4035</v>
      </c>
    </row>
    <row r="1530" spans="1:2" x14ac:dyDescent="0.35">
      <c r="A1530" s="68" t="s">
        <v>4036</v>
      </c>
      <c r="B1530" t="s">
        <v>4037</v>
      </c>
    </row>
    <row r="1531" spans="1:2" x14ac:dyDescent="0.35">
      <c r="A1531" s="71" t="s">
        <v>4038</v>
      </c>
      <c r="B1531" t="s">
        <v>4039</v>
      </c>
    </row>
    <row r="1532" spans="1:2" x14ac:dyDescent="0.35">
      <c r="A1532" s="68" t="s">
        <v>4040</v>
      </c>
      <c r="B1532" t="s">
        <v>4041</v>
      </c>
    </row>
    <row r="1533" spans="1:2" x14ac:dyDescent="0.35">
      <c r="A1533" s="71" t="s">
        <v>4042</v>
      </c>
      <c r="B1533" t="s">
        <v>4043</v>
      </c>
    </row>
    <row r="1534" spans="1:2" x14ac:dyDescent="0.35">
      <c r="A1534" s="68" t="s">
        <v>4044</v>
      </c>
      <c r="B1534" t="s">
        <v>4045</v>
      </c>
    </row>
    <row r="1535" spans="1:2" x14ac:dyDescent="0.35">
      <c r="A1535" s="71" t="s">
        <v>4046</v>
      </c>
      <c r="B1535" t="s">
        <v>4047</v>
      </c>
    </row>
    <row r="1536" spans="1:2" x14ac:dyDescent="0.35">
      <c r="A1536" s="68" t="s">
        <v>4048</v>
      </c>
      <c r="B1536" t="s">
        <v>4049</v>
      </c>
    </row>
    <row r="1537" spans="1:2" x14ac:dyDescent="0.35">
      <c r="A1537" s="71" t="s">
        <v>4050</v>
      </c>
      <c r="B1537" t="s">
        <v>4051</v>
      </c>
    </row>
    <row r="1538" spans="1:2" x14ac:dyDescent="0.35">
      <c r="A1538" s="68" t="s">
        <v>4052</v>
      </c>
      <c r="B1538" t="s">
        <v>4053</v>
      </c>
    </row>
    <row r="1539" spans="1:2" x14ac:dyDescent="0.35">
      <c r="A1539" s="71" t="s">
        <v>4054</v>
      </c>
      <c r="B1539" t="s">
        <v>4055</v>
      </c>
    </row>
    <row r="1540" spans="1:2" x14ac:dyDescent="0.35">
      <c r="A1540" s="68" t="s">
        <v>4056</v>
      </c>
      <c r="B1540" t="s">
        <v>4057</v>
      </c>
    </row>
    <row r="1541" spans="1:2" x14ac:dyDescent="0.35">
      <c r="A1541" s="71" t="s">
        <v>4058</v>
      </c>
      <c r="B1541" t="s">
        <v>4059</v>
      </c>
    </row>
    <row r="1542" spans="1:2" x14ac:dyDescent="0.35">
      <c r="A1542" s="68" t="s">
        <v>4060</v>
      </c>
      <c r="B1542" t="s">
        <v>4061</v>
      </c>
    </row>
    <row r="1543" spans="1:2" x14ac:dyDescent="0.35">
      <c r="A1543" s="71" t="s">
        <v>4062</v>
      </c>
      <c r="B1543" t="s">
        <v>4063</v>
      </c>
    </row>
    <row r="1544" spans="1:2" x14ac:dyDescent="0.35">
      <c r="A1544" s="68" t="s">
        <v>4064</v>
      </c>
      <c r="B1544" t="s">
        <v>4065</v>
      </c>
    </row>
    <row r="1545" spans="1:2" x14ac:dyDescent="0.35">
      <c r="A1545" s="71" t="s">
        <v>4066</v>
      </c>
      <c r="B1545" t="s">
        <v>4067</v>
      </c>
    </row>
    <row r="1546" spans="1:2" x14ac:dyDescent="0.35">
      <c r="A1546" s="68" t="s">
        <v>4068</v>
      </c>
      <c r="B1546" t="s">
        <v>4069</v>
      </c>
    </row>
    <row r="1547" spans="1:2" x14ac:dyDescent="0.35">
      <c r="A1547" s="71" t="s">
        <v>4070</v>
      </c>
      <c r="B1547" t="s">
        <v>4071</v>
      </c>
    </row>
    <row r="1548" spans="1:2" x14ac:dyDescent="0.35">
      <c r="A1548" s="68" t="s">
        <v>4072</v>
      </c>
      <c r="B1548" t="s">
        <v>4073</v>
      </c>
    </row>
    <row r="1549" spans="1:2" x14ac:dyDescent="0.35">
      <c r="A1549" s="71" t="s">
        <v>4074</v>
      </c>
      <c r="B1549" t="s">
        <v>4075</v>
      </c>
    </row>
    <row r="1550" spans="1:2" x14ac:dyDescent="0.35">
      <c r="A1550" s="68" t="s">
        <v>4076</v>
      </c>
      <c r="B1550" t="s">
        <v>4077</v>
      </c>
    </row>
    <row r="1551" spans="1:2" x14ac:dyDescent="0.35">
      <c r="A1551" s="71" t="s">
        <v>4078</v>
      </c>
      <c r="B1551" t="s">
        <v>4079</v>
      </c>
    </row>
    <row r="1552" spans="1:2" x14ac:dyDescent="0.35">
      <c r="A1552" s="68" t="s">
        <v>4080</v>
      </c>
      <c r="B1552" t="s">
        <v>4081</v>
      </c>
    </row>
    <row r="1553" spans="1:2" x14ac:dyDescent="0.35">
      <c r="A1553" s="71" t="s">
        <v>4082</v>
      </c>
      <c r="B1553" t="s">
        <v>4083</v>
      </c>
    </row>
    <row r="1554" spans="1:2" x14ac:dyDescent="0.35">
      <c r="A1554" s="68" t="s">
        <v>4084</v>
      </c>
      <c r="B1554" t="s">
        <v>4085</v>
      </c>
    </row>
    <row r="1555" spans="1:2" x14ac:dyDescent="0.35">
      <c r="A1555" s="71" t="s">
        <v>4086</v>
      </c>
      <c r="B1555" t="s">
        <v>4087</v>
      </c>
    </row>
    <row r="1556" spans="1:2" x14ac:dyDescent="0.35">
      <c r="A1556" s="68" t="s">
        <v>4088</v>
      </c>
      <c r="B1556" t="s">
        <v>4089</v>
      </c>
    </row>
    <row r="1557" spans="1:2" x14ac:dyDescent="0.35">
      <c r="A1557" s="71" t="s">
        <v>4090</v>
      </c>
      <c r="B1557" t="s">
        <v>4091</v>
      </c>
    </row>
    <row r="1558" spans="1:2" x14ac:dyDescent="0.35">
      <c r="A1558" s="68" t="s">
        <v>4092</v>
      </c>
      <c r="B1558" t="s">
        <v>4093</v>
      </c>
    </row>
    <row r="1559" spans="1:2" x14ac:dyDescent="0.35">
      <c r="A1559" s="71" t="s">
        <v>4094</v>
      </c>
      <c r="B1559" t="s">
        <v>4095</v>
      </c>
    </row>
    <row r="1560" spans="1:2" x14ac:dyDescent="0.35">
      <c r="A1560" s="68" t="s">
        <v>4096</v>
      </c>
      <c r="B1560" t="s">
        <v>4097</v>
      </c>
    </row>
    <row r="1561" spans="1:2" x14ac:dyDescent="0.35">
      <c r="A1561" s="71" t="s">
        <v>4098</v>
      </c>
      <c r="B1561" t="s">
        <v>4099</v>
      </c>
    </row>
    <row r="1562" spans="1:2" x14ac:dyDescent="0.35">
      <c r="A1562" s="68" t="s">
        <v>4100</v>
      </c>
      <c r="B1562" t="s">
        <v>4101</v>
      </c>
    </row>
    <row r="1563" spans="1:2" x14ac:dyDescent="0.35">
      <c r="A1563" s="70" t="s">
        <v>4102</v>
      </c>
      <c r="B1563" t="s">
        <v>4103</v>
      </c>
    </row>
    <row r="1564" spans="1:2" x14ac:dyDescent="0.35">
      <c r="A1564" s="68" t="s">
        <v>4104</v>
      </c>
      <c r="B1564" t="s">
        <v>4105</v>
      </c>
    </row>
    <row r="1565" spans="1:2" x14ac:dyDescent="0.35">
      <c r="A1565" s="71" t="s">
        <v>4106</v>
      </c>
      <c r="B1565" t="s">
        <v>4107</v>
      </c>
    </row>
    <row r="1566" spans="1:2" x14ac:dyDescent="0.35">
      <c r="A1566" s="68" t="s">
        <v>4108</v>
      </c>
      <c r="B1566" t="s">
        <v>4109</v>
      </c>
    </row>
    <row r="1567" spans="1:2" x14ac:dyDescent="0.35">
      <c r="A1567" s="71" t="s">
        <v>4110</v>
      </c>
      <c r="B1567" t="s">
        <v>4111</v>
      </c>
    </row>
    <row r="1568" spans="1:2" x14ac:dyDescent="0.35">
      <c r="A1568" s="68" t="s">
        <v>4112</v>
      </c>
      <c r="B1568" t="s">
        <v>4113</v>
      </c>
    </row>
    <row r="1569" spans="1:2" x14ac:dyDescent="0.35">
      <c r="A1569" s="71" t="s">
        <v>4114</v>
      </c>
      <c r="B1569" t="s">
        <v>4115</v>
      </c>
    </row>
    <row r="1570" spans="1:2" x14ac:dyDescent="0.35">
      <c r="A1570" s="68" t="s">
        <v>4116</v>
      </c>
      <c r="B1570" t="s">
        <v>4117</v>
      </c>
    </row>
    <row r="1571" spans="1:2" x14ac:dyDescent="0.35">
      <c r="A1571" s="74" t="s">
        <v>4118</v>
      </c>
      <c r="B1571" t="s">
        <v>4119</v>
      </c>
    </row>
    <row r="1572" spans="1:2" x14ac:dyDescent="0.35">
      <c r="A1572" s="57" t="s">
        <v>4120</v>
      </c>
      <c r="B1572" t="s">
        <v>4121</v>
      </c>
    </row>
    <row r="1573" spans="1:2" x14ac:dyDescent="0.35">
      <c r="A1573" s="71" t="s">
        <v>4122</v>
      </c>
      <c r="B1573" t="s">
        <v>4123</v>
      </c>
    </row>
    <row r="1574" spans="1:2" x14ac:dyDescent="0.35">
      <c r="A1574" s="68" t="s">
        <v>4124</v>
      </c>
      <c r="B1574" t="s">
        <v>4125</v>
      </c>
    </row>
    <row r="1575" spans="1:2" x14ac:dyDescent="0.35">
      <c r="A1575" s="71" t="s">
        <v>4126</v>
      </c>
      <c r="B1575" t="s">
        <v>4127</v>
      </c>
    </row>
    <row r="1576" spans="1:2" x14ac:dyDescent="0.35">
      <c r="A1576" s="68" t="s">
        <v>4128</v>
      </c>
      <c r="B1576" t="s">
        <v>4129</v>
      </c>
    </row>
    <row r="1577" spans="1:2" x14ac:dyDescent="0.35">
      <c r="A1577" s="71" t="s">
        <v>4130</v>
      </c>
      <c r="B1577" t="s">
        <v>4131</v>
      </c>
    </row>
    <row r="1578" spans="1:2" x14ac:dyDescent="0.35">
      <c r="A1578" s="68" t="s">
        <v>4132</v>
      </c>
      <c r="B1578" t="s">
        <v>4133</v>
      </c>
    </row>
    <row r="1579" spans="1:2" x14ac:dyDescent="0.35">
      <c r="A1579" s="71" t="s">
        <v>4134</v>
      </c>
      <c r="B1579" t="s">
        <v>4135</v>
      </c>
    </row>
    <row r="1580" spans="1:2" x14ac:dyDescent="0.35">
      <c r="A1580" s="68" t="s">
        <v>4136</v>
      </c>
      <c r="B1580" t="s">
        <v>4137</v>
      </c>
    </row>
    <row r="1581" spans="1:2" x14ac:dyDescent="0.35">
      <c r="A1581" s="71" t="s">
        <v>4138</v>
      </c>
      <c r="B1581" t="s">
        <v>4139</v>
      </c>
    </row>
    <row r="1582" spans="1:2" x14ac:dyDescent="0.35">
      <c r="A1582" s="68" t="s">
        <v>4140</v>
      </c>
      <c r="B1582" t="s">
        <v>4141</v>
      </c>
    </row>
    <row r="1583" spans="1:2" x14ac:dyDescent="0.35">
      <c r="A1583" s="71" t="s">
        <v>4142</v>
      </c>
      <c r="B1583" t="s">
        <v>4143</v>
      </c>
    </row>
    <row r="1584" spans="1:2" x14ac:dyDescent="0.35">
      <c r="A1584" s="68" t="s">
        <v>4144</v>
      </c>
      <c r="B1584" t="s">
        <v>4145</v>
      </c>
    </row>
    <row r="1585" spans="1:2" x14ac:dyDescent="0.35">
      <c r="A1585" s="71" t="s">
        <v>4146</v>
      </c>
      <c r="B1585" t="s">
        <v>4147</v>
      </c>
    </row>
    <row r="1586" spans="1:2" x14ac:dyDescent="0.35">
      <c r="A1586" s="68" t="s">
        <v>4148</v>
      </c>
      <c r="B1586" t="s">
        <v>4149</v>
      </c>
    </row>
    <row r="1587" spans="1:2" x14ac:dyDescent="0.35">
      <c r="A1587" s="71" t="s">
        <v>4150</v>
      </c>
      <c r="B1587" t="s">
        <v>4151</v>
      </c>
    </row>
    <row r="1588" spans="1:2" x14ac:dyDescent="0.35">
      <c r="A1588" s="68" t="s">
        <v>4152</v>
      </c>
      <c r="B1588" t="s">
        <v>4153</v>
      </c>
    </row>
    <row r="1589" spans="1:2" x14ac:dyDescent="0.35">
      <c r="A1589" s="71" t="s">
        <v>4154</v>
      </c>
      <c r="B1589" t="s">
        <v>4155</v>
      </c>
    </row>
    <row r="1590" spans="1:2" x14ac:dyDescent="0.35">
      <c r="A1590" s="68" t="s">
        <v>4156</v>
      </c>
      <c r="B1590" t="s">
        <v>4157</v>
      </c>
    </row>
    <row r="1591" spans="1:2" x14ac:dyDescent="0.35">
      <c r="A1591" s="71" t="s">
        <v>4158</v>
      </c>
      <c r="B1591" t="s">
        <v>4159</v>
      </c>
    </row>
    <row r="1592" spans="1:2" x14ac:dyDescent="0.35">
      <c r="A1592" s="68" t="s">
        <v>4160</v>
      </c>
      <c r="B1592" t="s">
        <v>4161</v>
      </c>
    </row>
    <row r="1593" spans="1:2" x14ac:dyDescent="0.35">
      <c r="A1593" s="71" t="s">
        <v>4162</v>
      </c>
      <c r="B1593" t="s">
        <v>4163</v>
      </c>
    </row>
    <row r="1594" spans="1:2" x14ac:dyDescent="0.35">
      <c r="A1594" s="68" t="s">
        <v>4164</v>
      </c>
      <c r="B1594" t="s">
        <v>4165</v>
      </c>
    </row>
    <row r="1595" spans="1:2" x14ac:dyDescent="0.35">
      <c r="A1595" s="71" t="s">
        <v>4166</v>
      </c>
      <c r="B1595" t="s">
        <v>4167</v>
      </c>
    </row>
    <row r="1596" spans="1:2" x14ac:dyDescent="0.35">
      <c r="A1596" s="68" t="s">
        <v>4168</v>
      </c>
      <c r="B1596" t="s">
        <v>4169</v>
      </c>
    </row>
    <row r="1597" spans="1:2" x14ac:dyDescent="0.35">
      <c r="A1597" s="71" t="s">
        <v>4170</v>
      </c>
      <c r="B1597" t="s">
        <v>4171</v>
      </c>
    </row>
    <row r="1598" spans="1:2" x14ac:dyDescent="0.35">
      <c r="A1598" s="68" t="s">
        <v>4172</v>
      </c>
      <c r="B1598" t="s">
        <v>4173</v>
      </c>
    </row>
    <row r="1599" spans="1:2" x14ac:dyDescent="0.35">
      <c r="A1599" s="71" t="s">
        <v>4174</v>
      </c>
      <c r="B1599" t="s">
        <v>4175</v>
      </c>
    </row>
    <row r="1600" spans="1:2" x14ac:dyDescent="0.35">
      <c r="A1600" s="68" t="s">
        <v>4176</v>
      </c>
      <c r="B1600" t="s">
        <v>4177</v>
      </c>
    </row>
    <row r="1601" spans="1:2" x14ac:dyDescent="0.35">
      <c r="A1601" s="71" t="s">
        <v>4178</v>
      </c>
      <c r="B1601" t="s">
        <v>4179</v>
      </c>
    </row>
    <row r="1602" spans="1:2" x14ac:dyDescent="0.35">
      <c r="A1602" s="68" t="s">
        <v>4180</v>
      </c>
      <c r="B1602" t="s">
        <v>4181</v>
      </c>
    </row>
    <row r="1603" spans="1:2" x14ac:dyDescent="0.35">
      <c r="A1603" s="71" t="s">
        <v>4182</v>
      </c>
      <c r="B1603" t="s">
        <v>4183</v>
      </c>
    </row>
    <row r="1604" spans="1:2" x14ac:dyDescent="0.35">
      <c r="A1604" s="68" t="s">
        <v>4184</v>
      </c>
      <c r="B1604" t="s">
        <v>4185</v>
      </c>
    </row>
    <row r="1605" spans="1:2" x14ac:dyDescent="0.35">
      <c r="A1605" s="71" t="s">
        <v>4186</v>
      </c>
      <c r="B1605" t="s">
        <v>4187</v>
      </c>
    </row>
    <row r="1606" spans="1:2" x14ac:dyDescent="0.35">
      <c r="A1606" s="68" t="s">
        <v>4188</v>
      </c>
      <c r="B1606" t="s">
        <v>4189</v>
      </c>
    </row>
    <row r="1607" spans="1:2" x14ac:dyDescent="0.35">
      <c r="A1607" s="71" t="s">
        <v>4190</v>
      </c>
      <c r="B1607" t="s">
        <v>4191</v>
      </c>
    </row>
    <row r="1608" spans="1:2" x14ac:dyDescent="0.35">
      <c r="A1608" s="68" t="s">
        <v>4192</v>
      </c>
      <c r="B1608" t="s">
        <v>4193</v>
      </c>
    </row>
    <row r="1609" spans="1:2" x14ac:dyDescent="0.35">
      <c r="A1609" s="71" t="s">
        <v>4194</v>
      </c>
      <c r="B1609" t="s">
        <v>4195</v>
      </c>
    </row>
    <row r="1610" spans="1:2" x14ac:dyDescent="0.35">
      <c r="A1610" s="68" t="s">
        <v>4196</v>
      </c>
      <c r="B1610" t="s">
        <v>4197</v>
      </c>
    </row>
    <row r="1611" spans="1:2" x14ac:dyDescent="0.35">
      <c r="A1611" s="71" t="s">
        <v>4198</v>
      </c>
      <c r="B1611" t="s">
        <v>4199</v>
      </c>
    </row>
    <row r="1612" spans="1:2" x14ac:dyDescent="0.35">
      <c r="A1612" s="68" t="s">
        <v>4200</v>
      </c>
      <c r="B1612" t="s">
        <v>4201</v>
      </c>
    </row>
    <row r="1613" spans="1:2" x14ac:dyDescent="0.35">
      <c r="A1613" s="71" t="s">
        <v>4202</v>
      </c>
      <c r="B1613" t="s">
        <v>4203</v>
      </c>
    </row>
    <row r="1614" spans="1:2" x14ac:dyDescent="0.35">
      <c r="A1614" s="68" t="s">
        <v>4204</v>
      </c>
      <c r="B1614" t="s">
        <v>4205</v>
      </c>
    </row>
    <row r="1615" spans="1:2" x14ac:dyDescent="0.35">
      <c r="A1615" s="71" t="s">
        <v>4206</v>
      </c>
      <c r="B1615" t="s">
        <v>4207</v>
      </c>
    </row>
    <row r="1616" spans="1:2" x14ac:dyDescent="0.35">
      <c r="A1616" s="68" t="s">
        <v>4208</v>
      </c>
      <c r="B1616" t="s">
        <v>4209</v>
      </c>
    </row>
    <row r="1617" spans="1:2" x14ac:dyDescent="0.35">
      <c r="A1617" s="71" t="s">
        <v>4210</v>
      </c>
      <c r="B1617" t="s">
        <v>4211</v>
      </c>
    </row>
    <row r="1618" spans="1:2" x14ac:dyDescent="0.35">
      <c r="A1618" s="68" t="s">
        <v>4212</v>
      </c>
      <c r="B1618" t="s">
        <v>4213</v>
      </c>
    </row>
    <row r="1619" spans="1:2" x14ac:dyDescent="0.35">
      <c r="A1619" s="71" t="s">
        <v>4214</v>
      </c>
      <c r="B1619" t="s">
        <v>4215</v>
      </c>
    </row>
    <row r="1620" spans="1:2" x14ac:dyDescent="0.35">
      <c r="A1620" s="68" t="s">
        <v>4216</v>
      </c>
      <c r="B1620" t="s">
        <v>4217</v>
      </c>
    </row>
    <row r="1621" spans="1:2" x14ac:dyDescent="0.35">
      <c r="A1621" s="71" t="s">
        <v>4218</v>
      </c>
      <c r="B1621" t="s">
        <v>4219</v>
      </c>
    </row>
    <row r="1622" spans="1:2" x14ac:dyDescent="0.35">
      <c r="A1622" s="68" t="s">
        <v>4220</v>
      </c>
      <c r="B1622" t="s">
        <v>4221</v>
      </c>
    </row>
    <row r="1623" spans="1:2" x14ac:dyDescent="0.35">
      <c r="A1623" s="71" t="s">
        <v>4222</v>
      </c>
      <c r="B1623" t="s">
        <v>4223</v>
      </c>
    </row>
    <row r="1624" spans="1:2" x14ac:dyDescent="0.35">
      <c r="A1624" s="68" t="s">
        <v>4224</v>
      </c>
      <c r="B1624" t="s">
        <v>4225</v>
      </c>
    </row>
    <row r="1625" spans="1:2" x14ac:dyDescent="0.35">
      <c r="A1625" s="71" t="s">
        <v>4226</v>
      </c>
      <c r="B1625" t="s">
        <v>4227</v>
      </c>
    </row>
    <row r="1626" spans="1:2" x14ac:dyDescent="0.35">
      <c r="A1626" s="68" t="s">
        <v>4228</v>
      </c>
      <c r="B1626" t="s">
        <v>4229</v>
      </c>
    </row>
    <row r="1627" spans="1:2" x14ac:dyDescent="0.35">
      <c r="A1627" s="71" t="s">
        <v>4230</v>
      </c>
      <c r="B1627" t="s">
        <v>4231</v>
      </c>
    </row>
    <row r="1628" spans="1:2" x14ac:dyDescent="0.35">
      <c r="A1628" s="68" t="s">
        <v>4232</v>
      </c>
      <c r="B1628" t="s">
        <v>4233</v>
      </c>
    </row>
    <row r="1629" spans="1:2" x14ac:dyDescent="0.35">
      <c r="A1629" s="71" t="s">
        <v>4234</v>
      </c>
      <c r="B1629" t="s">
        <v>4235</v>
      </c>
    </row>
    <row r="1630" spans="1:2" x14ac:dyDescent="0.35">
      <c r="A1630" s="68" t="s">
        <v>4236</v>
      </c>
      <c r="B1630" t="s">
        <v>4237</v>
      </c>
    </row>
    <row r="1631" spans="1:2" x14ac:dyDescent="0.35">
      <c r="A1631" s="71" t="s">
        <v>4238</v>
      </c>
      <c r="B1631" t="s">
        <v>4239</v>
      </c>
    </row>
    <row r="1632" spans="1:2" x14ac:dyDescent="0.35">
      <c r="A1632" s="68" t="s">
        <v>4240</v>
      </c>
      <c r="B1632" t="s">
        <v>4241</v>
      </c>
    </row>
    <row r="1633" spans="1:2" x14ac:dyDescent="0.35">
      <c r="A1633" s="71" t="s">
        <v>4242</v>
      </c>
      <c r="B1633" t="s">
        <v>4243</v>
      </c>
    </row>
    <row r="1634" spans="1:2" x14ac:dyDescent="0.35">
      <c r="A1634" s="68" t="s">
        <v>4244</v>
      </c>
      <c r="B1634" t="s">
        <v>4245</v>
      </c>
    </row>
    <row r="1635" spans="1:2" x14ac:dyDescent="0.35">
      <c r="A1635" s="71" t="s">
        <v>4246</v>
      </c>
      <c r="B1635" t="s">
        <v>4247</v>
      </c>
    </row>
    <row r="1636" spans="1:2" x14ac:dyDescent="0.35">
      <c r="A1636" s="68" t="s">
        <v>4248</v>
      </c>
      <c r="B1636" t="s">
        <v>4249</v>
      </c>
    </row>
    <row r="1637" spans="1:2" x14ac:dyDescent="0.35">
      <c r="A1637" s="71" t="s">
        <v>4250</v>
      </c>
      <c r="B1637" t="s">
        <v>4251</v>
      </c>
    </row>
    <row r="1638" spans="1:2" x14ac:dyDescent="0.35">
      <c r="A1638" s="68" t="s">
        <v>4252</v>
      </c>
      <c r="B1638" t="s">
        <v>4253</v>
      </c>
    </row>
    <row r="1639" spans="1:2" x14ac:dyDescent="0.35">
      <c r="A1639" s="71" t="s">
        <v>4254</v>
      </c>
      <c r="B1639" t="s">
        <v>4255</v>
      </c>
    </row>
    <row r="1640" spans="1:2" x14ac:dyDescent="0.35">
      <c r="A1640" s="68" t="s">
        <v>4256</v>
      </c>
      <c r="B1640" t="s">
        <v>4257</v>
      </c>
    </row>
    <row r="1641" spans="1:2" x14ac:dyDescent="0.35">
      <c r="A1641" s="71" t="s">
        <v>4258</v>
      </c>
      <c r="B1641" t="s">
        <v>4259</v>
      </c>
    </row>
    <row r="1642" spans="1:2" x14ac:dyDescent="0.35">
      <c r="A1642" s="68" t="s">
        <v>4260</v>
      </c>
      <c r="B1642" t="s">
        <v>4261</v>
      </c>
    </row>
    <row r="1643" spans="1:2" x14ac:dyDescent="0.35">
      <c r="A1643" s="71" t="s">
        <v>4262</v>
      </c>
      <c r="B1643" t="s">
        <v>4263</v>
      </c>
    </row>
    <row r="1644" spans="1:2" x14ac:dyDescent="0.35">
      <c r="A1644" s="68" t="s">
        <v>4264</v>
      </c>
      <c r="B1644" t="s">
        <v>4265</v>
      </c>
    </row>
    <row r="1645" spans="1:2" x14ac:dyDescent="0.35">
      <c r="A1645" s="71" t="s">
        <v>4266</v>
      </c>
      <c r="B1645" t="s">
        <v>4267</v>
      </c>
    </row>
    <row r="1646" spans="1:2" x14ac:dyDescent="0.35">
      <c r="A1646" s="68" t="s">
        <v>4268</v>
      </c>
      <c r="B1646" t="s">
        <v>4269</v>
      </c>
    </row>
    <row r="1647" spans="1:2" x14ac:dyDescent="0.35">
      <c r="A1647" s="71" t="s">
        <v>4270</v>
      </c>
      <c r="B1647" t="s">
        <v>4271</v>
      </c>
    </row>
    <row r="1648" spans="1:2" x14ac:dyDescent="0.35">
      <c r="A1648" s="68" t="s">
        <v>4272</v>
      </c>
      <c r="B1648" t="s">
        <v>4273</v>
      </c>
    </row>
    <row r="1649" spans="1:2" x14ac:dyDescent="0.35">
      <c r="A1649" s="71" t="s">
        <v>4274</v>
      </c>
      <c r="B1649" t="s">
        <v>4275</v>
      </c>
    </row>
    <row r="1650" spans="1:2" x14ac:dyDescent="0.35">
      <c r="A1650" s="68" t="s">
        <v>4276</v>
      </c>
      <c r="B1650" t="s">
        <v>4277</v>
      </c>
    </row>
    <row r="1651" spans="1:2" x14ac:dyDescent="0.35">
      <c r="A1651" s="71" t="s">
        <v>4278</v>
      </c>
      <c r="B1651" t="s">
        <v>4279</v>
      </c>
    </row>
    <row r="1652" spans="1:2" x14ac:dyDescent="0.35">
      <c r="A1652" s="68" t="s">
        <v>4280</v>
      </c>
      <c r="B1652" t="s">
        <v>4281</v>
      </c>
    </row>
    <row r="1653" spans="1:2" x14ac:dyDescent="0.35">
      <c r="A1653" s="71" t="s">
        <v>4282</v>
      </c>
      <c r="B1653" t="s">
        <v>4283</v>
      </c>
    </row>
    <row r="1654" spans="1:2" x14ac:dyDescent="0.35">
      <c r="A1654" s="68" t="s">
        <v>4284</v>
      </c>
      <c r="B1654" t="s">
        <v>4285</v>
      </c>
    </row>
    <row r="1655" spans="1:2" x14ac:dyDescent="0.35">
      <c r="A1655" s="71" t="s">
        <v>4286</v>
      </c>
      <c r="B1655" t="s">
        <v>4287</v>
      </c>
    </row>
    <row r="1656" spans="1:2" x14ac:dyDescent="0.35">
      <c r="A1656" s="68" t="s">
        <v>4288</v>
      </c>
      <c r="B1656" t="s">
        <v>4289</v>
      </c>
    </row>
    <row r="1657" spans="1:2" x14ac:dyDescent="0.35">
      <c r="A1657" s="71" t="s">
        <v>4290</v>
      </c>
      <c r="B1657" t="s">
        <v>4291</v>
      </c>
    </row>
    <row r="1658" spans="1:2" x14ac:dyDescent="0.35">
      <c r="A1658" s="68" t="s">
        <v>4292</v>
      </c>
      <c r="B1658" t="s">
        <v>4293</v>
      </c>
    </row>
    <row r="1659" spans="1:2" x14ac:dyDescent="0.35">
      <c r="A1659" s="71" t="s">
        <v>4294</v>
      </c>
      <c r="B1659" t="s">
        <v>4295</v>
      </c>
    </row>
    <row r="1660" spans="1:2" x14ac:dyDescent="0.35">
      <c r="A1660" s="68" t="s">
        <v>4296</v>
      </c>
      <c r="B1660" t="s">
        <v>4297</v>
      </c>
    </row>
    <row r="1661" spans="1:2" x14ac:dyDescent="0.35">
      <c r="A1661" s="71" t="s">
        <v>4298</v>
      </c>
      <c r="B1661" t="s">
        <v>4299</v>
      </c>
    </row>
    <row r="1662" spans="1:2" x14ac:dyDescent="0.35">
      <c r="A1662" s="68" t="s">
        <v>4300</v>
      </c>
      <c r="B1662" t="s">
        <v>4301</v>
      </c>
    </row>
    <row r="1663" spans="1:2" x14ac:dyDescent="0.35">
      <c r="A1663" s="71" t="s">
        <v>4302</v>
      </c>
      <c r="B1663" t="s">
        <v>4303</v>
      </c>
    </row>
    <row r="1664" spans="1:2" x14ac:dyDescent="0.35">
      <c r="A1664" s="68" t="s">
        <v>4304</v>
      </c>
      <c r="B1664" t="s">
        <v>4305</v>
      </c>
    </row>
    <row r="1665" spans="1:2" x14ac:dyDescent="0.35">
      <c r="A1665" s="71" t="s">
        <v>4306</v>
      </c>
      <c r="B1665" t="s">
        <v>4307</v>
      </c>
    </row>
    <row r="1666" spans="1:2" x14ac:dyDescent="0.35">
      <c r="A1666" s="68" t="s">
        <v>4308</v>
      </c>
      <c r="B1666" t="s">
        <v>4309</v>
      </c>
    </row>
    <row r="1667" spans="1:2" x14ac:dyDescent="0.35">
      <c r="A1667" s="71" t="s">
        <v>4310</v>
      </c>
      <c r="B1667" t="s">
        <v>4311</v>
      </c>
    </row>
    <row r="1668" spans="1:2" x14ac:dyDescent="0.35">
      <c r="A1668" s="68" t="s">
        <v>4312</v>
      </c>
      <c r="B1668" t="s">
        <v>4313</v>
      </c>
    </row>
    <row r="1669" spans="1:2" x14ac:dyDescent="0.35">
      <c r="A1669" s="71" t="s">
        <v>4314</v>
      </c>
      <c r="B1669" t="s">
        <v>4315</v>
      </c>
    </row>
    <row r="1670" spans="1:2" x14ac:dyDescent="0.35">
      <c r="A1670" s="68" t="s">
        <v>4316</v>
      </c>
      <c r="B1670" t="s">
        <v>4317</v>
      </c>
    </row>
    <row r="1671" spans="1:2" x14ac:dyDescent="0.35">
      <c r="A1671" s="71" t="s">
        <v>4318</v>
      </c>
      <c r="B1671" t="s">
        <v>4319</v>
      </c>
    </row>
    <row r="1672" spans="1:2" x14ac:dyDescent="0.35">
      <c r="A1672" s="68" t="s">
        <v>4320</v>
      </c>
      <c r="B1672" t="s">
        <v>4321</v>
      </c>
    </row>
    <row r="1673" spans="1:2" x14ac:dyDescent="0.35">
      <c r="A1673" s="71" t="s">
        <v>4322</v>
      </c>
      <c r="B1673" t="s">
        <v>4323</v>
      </c>
    </row>
    <row r="1674" spans="1:2" x14ac:dyDescent="0.35">
      <c r="A1674" s="68" t="s">
        <v>4324</v>
      </c>
      <c r="B1674" t="s">
        <v>4325</v>
      </c>
    </row>
    <row r="1675" spans="1:2" x14ac:dyDescent="0.35">
      <c r="A1675" s="71" t="s">
        <v>4326</v>
      </c>
      <c r="B1675" t="s">
        <v>4327</v>
      </c>
    </row>
    <row r="1676" spans="1:2" x14ac:dyDescent="0.35">
      <c r="A1676" s="68" t="s">
        <v>4328</v>
      </c>
      <c r="B1676" t="s">
        <v>4329</v>
      </c>
    </row>
    <row r="1677" spans="1:2" x14ac:dyDescent="0.35">
      <c r="A1677" s="71" t="s">
        <v>4330</v>
      </c>
      <c r="B1677" t="s">
        <v>4331</v>
      </c>
    </row>
    <row r="1678" spans="1:2" x14ac:dyDescent="0.35">
      <c r="A1678" s="68" t="s">
        <v>4332</v>
      </c>
      <c r="B1678" t="s">
        <v>4333</v>
      </c>
    </row>
    <row r="1679" spans="1:2" x14ac:dyDescent="0.35">
      <c r="A1679" s="71" t="s">
        <v>4334</v>
      </c>
      <c r="B1679" t="s">
        <v>4335</v>
      </c>
    </row>
    <row r="1680" spans="1:2" x14ac:dyDescent="0.35">
      <c r="A1680" s="68" t="s">
        <v>4336</v>
      </c>
      <c r="B1680" t="s">
        <v>4337</v>
      </c>
    </row>
    <row r="1681" spans="1:2" x14ac:dyDescent="0.35">
      <c r="A1681" s="71" t="s">
        <v>4338</v>
      </c>
      <c r="B1681" t="s">
        <v>4339</v>
      </c>
    </row>
    <row r="1682" spans="1:2" x14ac:dyDescent="0.35">
      <c r="A1682" s="68" t="s">
        <v>4340</v>
      </c>
      <c r="B1682" t="s">
        <v>4341</v>
      </c>
    </row>
    <row r="1683" spans="1:2" x14ac:dyDescent="0.35">
      <c r="A1683" s="71" t="s">
        <v>4342</v>
      </c>
      <c r="B1683" t="s">
        <v>4343</v>
      </c>
    </row>
    <row r="1684" spans="1:2" x14ac:dyDescent="0.35">
      <c r="A1684" s="68" t="s">
        <v>4344</v>
      </c>
      <c r="B1684" t="s">
        <v>4345</v>
      </c>
    </row>
    <row r="1685" spans="1:2" x14ac:dyDescent="0.35">
      <c r="A1685" s="71" t="s">
        <v>4346</v>
      </c>
      <c r="B1685" t="s">
        <v>4347</v>
      </c>
    </row>
    <row r="1686" spans="1:2" x14ac:dyDescent="0.35">
      <c r="A1686" s="68" t="s">
        <v>4348</v>
      </c>
      <c r="B1686" t="s">
        <v>4349</v>
      </c>
    </row>
    <row r="1687" spans="1:2" x14ac:dyDescent="0.35">
      <c r="A1687" s="70" t="s">
        <v>4350</v>
      </c>
      <c r="B1687" t="s">
        <v>4351</v>
      </c>
    </row>
    <row r="1688" spans="1:2" x14ac:dyDescent="0.35">
      <c r="A1688" s="68" t="s">
        <v>4352</v>
      </c>
      <c r="B1688" t="s">
        <v>4353</v>
      </c>
    </row>
    <row r="1689" spans="1:2" x14ac:dyDescent="0.35">
      <c r="A1689" s="71" t="s">
        <v>4354</v>
      </c>
      <c r="B1689" t="s">
        <v>4355</v>
      </c>
    </row>
    <row r="1690" spans="1:2" x14ac:dyDescent="0.35">
      <c r="A1690" s="68" t="s">
        <v>4356</v>
      </c>
      <c r="B1690" t="s">
        <v>4357</v>
      </c>
    </row>
    <row r="1691" spans="1:2" x14ac:dyDescent="0.35">
      <c r="A1691" s="71" t="s">
        <v>4358</v>
      </c>
      <c r="B1691" t="s">
        <v>4359</v>
      </c>
    </row>
    <row r="1692" spans="1:2" x14ac:dyDescent="0.35">
      <c r="A1692" s="68" t="s">
        <v>4360</v>
      </c>
      <c r="B1692" t="s">
        <v>4361</v>
      </c>
    </row>
    <row r="1693" spans="1:2" x14ac:dyDescent="0.35">
      <c r="A1693" s="71" t="s">
        <v>4362</v>
      </c>
      <c r="B1693" t="s">
        <v>4363</v>
      </c>
    </row>
    <row r="1694" spans="1:2" x14ac:dyDescent="0.35">
      <c r="A1694" s="68" t="s">
        <v>4364</v>
      </c>
      <c r="B1694" t="s">
        <v>4365</v>
      </c>
    </row>
    <row r="1695" spans="1:2" x14ac:dyDescent="0.35">
      <c r="A1695" s="71" t="s">
        <v>4366</v>
      </c>
      <c r="B1695" t="s">
        <v>4367</v>
      </c>
    </row>
    <row r="1696" spans="1:2" x14ac:dyDescent="0.35">
      <c r="A1696" s="68" t="s">
        <v>4368</v>
      </c>
      <c r="B1696" t="s">
        <v>4369</v>
      </c>
    </row>
    <row r="1697" spans="1:2" x14ac:dyDescent="0.35">
      <c r="A1697" s="71" t="s">
        <v>4370</v>
      </c>
      <c r="B1697" t="s">
        <v>4371</v>
      </c>
    </row>
    <row r="1698" spans="1:2" x14ac:dyDescent="0.35">
      <c r="A1698" s="68" t="s">
        <v>4372</v>
      </c>
      <c r="B1698" t="s">
        <v>4373</v>
      </c>
    </row>
    <row r="1699" spans="1:2" x14ac:dyDescent="0.35">
      <c r="A1699" s="71" t="s">
        <v>4374</v>
      </c>
      <c r="B1699" t="s">
        <v>4375</v>
      </c>
    </row>
    <row r="1700" spans="1:2" x14ac:dyDescent="0.35">
      <c r="A1700" s="68" t="s">
        <v>4376</v>
      </c>
      <c r="B1700" t="s">
        <v>4377</v>
      </c>
    </row>
    <row r="1701" spans="1:2" x14ac:dyDescent="0.35">
      <c r="A1701" s="71" t="s">
        <v>4378</v>
      </c>
      <c r="B1701" t="s">
        <v>4379</v>
      </c>
    </row>
    <row r="1702" spans="1:2" x14ac:dyDescent="0.35">
      <c r="A1702" s="68" t="s">
        <v>4380</v>
      </c>
      <c r="B1702" t="s">
        <v>4381</v>
      </c>
    </row>
    <row r="1703" spans="1:2" x14ac:dyDescent="0.35">
      <c r="A1703" s="71" t="s">
        <v>4382</v>
      </c>
      <c r="B1703" t="s">
        <v>4383</v>
      </c>
    </row>
    <row r="1704" spans="1:2" x14ac:dyDescent="0.35">
      <c r="A1704" s="68" t="s">
        <v>4384</v>
      </c>
      <c r="B1704" t="s">
        <v>4385</v>
      </c>
    </row>
    <row r="1705" spans="1:2" x14ac:dyDescent="0.35">
      <c r="A1705" s="71" t="s">
        <v>4386</v>
      </c>
      <c r="B1705" t="s">
        <v>4387</v>
      </c>
    </row>
    <row r="1706" spans="1:2" x14ac:dyDescent="0.35">
      <c r="A1706" s="68" t="s">
        <v>4388</v>
      </c>
      <c r="B1706" t="s">
        <v>4389</v>
      </c>
    </row>
    <row r="1707" spans="1:2" x14ac:dyDescent="0.35">
      <c r="A1707" s="71" t="s">
        <v>4390</v>
      </c>
      <c r="B1707" t="s">
        <v>4391</v>
      </c>
    </row>
    <row r="1708" spans="1:2" x14ac:dyDescent="0.35">
      <c r="A1708" s="68" t="s">
        <v>4392</v>
      </c>
      <c r="B1708" t="s">
        <v>4393</v>
      </c>
    </row>
    <row r="1709" spans="1:2" x14ac:dyDescent="0.35">
      <c r="A1709" s="71" t="s">
        <v>4394</v>
      </c>
      <c r="B1709" t="s">
        <v>4395</v>
      </c>
    </row>
    <row r="1710" spans="1:2" x14ac:dyDescent="0.35">
      <c r="A1710" s="68" t="s">
        <v>4396</v>
      </c>
      <c r="B1710" t="s">
        <v>4397</v>
      </c>
    </row>
    <row r="1711" spans="1:2" x14ac:dyDescent="0.35">
      <c r="A1711" s="71" t="s">
        <v>4398</v>
      </c>
      <c r="B1711" t="s">
        <v>4399</v>
      </c>
    </row>
    <row r="1712" spans="1:2" x14ac:dyDescent="0.35">
      <c r="A1712" s="68" t="s">
        <v>4400</v>
      </c>
      <c r="B1712" t="s">
        <v>4401</v>
      </c>
    </row>
    <row r="1713" spans="1:2" x14ac:dyDescent="0.35">
      <c r="A1713" s="71" t="s">
        <v>4402</v>
      </c>
      <c r="B1713" t="s">
        <v>4403</v>
      </c>
    </row>
    <row r="1714" spans="1:2" x14ac:dyDescent="0.35">
      <c r="A1714" s="68" t="s">
        <v>4404</v>
      </c>
      <c r="B1714" t="s">
        <v>4405</v>
      </c>
    </row>
    <row r="1715" spans="1:2" x14ac:dyDescent="0.35">
      <c r="A1715" s="71" t="s">
        <v>4406</v>
      </c>
      <c r="B1715" t="s">
        <v>4407</v>
      </c>
    </row>
    <row r="1716" spans="1:2" x14ac:dyDescent="0.35">
      <c r="A1716" s="68" t="s">
        <v>4408</v>
      </c>
      <c r="B1716" t="s">
        <v>4409</v>
      </c>
    </row>
    <row r="1717" spans="1:2" x14ac:dyDescent="0.35">
      <c r="A1717" s="71" t="s">
        <v>4410</v>
      </c>
      <c r="B1717" t="s">
        <v>4411</v>
      </c>
    </row>
    <row r="1718" spans="1:2" x14ac:dyDescent="0.35">
      <c r="A1718" s="68" t="s">
        <v>4412</v>
      </c>
      <c r="B1718" t="s">
        <v>4413</v>
      </c>
    </row>
    <row r="1719" spans="1:2" x14ac:dyDescent="0.35">
      <c r="A1719" s="71" t="s">
        <v>4414</v>
      </c>
      <c r="B1719" t="s">
        <v>4415</v>
      </c>
    </row>
    <row r="1720" spans="1:2" x14ac:dyDescent="0.35">
      <c r="A1720" s="68" t="s">
        <v>4416</v>
      </c>
      <c r="B1720" t="s">
        <v>4417</v>
      </c>
    </row>
    <row r="1721" spans="1:2" x14ac:dyDescent="0.35">
      <c r="A1721" s="71" t="s">
        <v>4418</v>
      </c>
      <c r="B1721" t="s">
        <v>4419</v>
      </c>
    </row>
    <row r="1722" spans="1:2" x14ac:dyDescent="0.35">
      <c r="A1722" s="68" t="s">
        <v>4420</v>
      </c>
      <c r="B1722" t="s">
        <v>4421</v>
      </c>
    </row>
    <row r="1723" spans="1:2" x14ac:dyDescent="0.35">
      <c r="A1723" s="71" t="s">
        <v>4422</v>
      </c>
      <c r="B1723" t="s">
        <v>4423</v>
      </c>
    </row>
    <row r="1724" spans="1:2" x14ac:dyDescent="0.35">
      <c r="A1724" s="68" t="s">
        <v>4424</v>
      </c>
      <c r="B1724" t="s">
        <v>4425</v>
      </c>
    </row>
    <row r="1725" spans="1:2" x14ac:dyDescent="0.35">
      <c r="A1725" s="71" t="s">
        <v>4426</v>
      </c>
      <c r="B1725" t="s">
        <v>4427</v>
      </c>
    </row>
    <row r="1726" spans="1:2" x14ac:dyDescent="0.35">
      <c r="A1726" s="68" t="s">
        <v>4428</v>
      </c>
      <c r="B1726" t="s">
        <v>4429</v>
      </c>
    </row>
    <row r="1727" spans="1:2" x14ac:dyDescent="0.35">
      <c r="A1727" s="71" t="s">
        <v>4430</v>
      </c>
      <c r="B1727" t="s">
        <v>4431</v>
      </c>
    </row>
    <row r="1728" spans="1:2" x14ac:dyDescent="0.35">
      <c r="A1728" s="68" t="s">
        <v>4432</v>
      </c>
      <c r="B1728" t="s">
        <v>4433</v>
      </c>
    </row>
    <row r="1729" spans="1:2" x14ac:dyDescent="0.35">
      <c r="A1729" s="71" t="s">
        <v>4434</v>
      </c>
      <c r="B1729" t="s">
        <v>4435</v>
      </c>
    </row>
    <row r="1730" spans="1:2" x14ac:dyDescent="0.35">
      <c r="A1730" s="68" t="s">
        <v>4436</v>
      </c>
      <c r="B1730" t="s">
        <v>4437</v>
      </c>
    </row>
    <row r="1731" spans="1:2" x14ac:dyDescent="0.35">
      <c r="A1731" s="71" t="s">
        <v>4438</v>
      </c>
      <c r="B1731" t="s">
        <v>4439</v>
      </c>
    </row>
    <row r="1732" spans="1:2" x14ac:dyDescent="0.35">
      <c r="A1732" s="68" t="s">
        <v>4440</v>
      </c>
      <c r="B1732" t="s">
        <v>4441</v>
      </c>
    </row>
    <row r="1733" spans="1:2" x14ac:dyDescent="0.35">
      <c r="A1733" s="71" t="s">
        <v>4442</v>
      </c>
      <c r="B1733" t="s">
        <v>4443</v>
      </c>
    </row>
    <row r="1734" spans="1:2" x14ac:dyDescent="0.35">
      <c r="A1734" s="68" t="s">
        <v>4444</v>
      </c>
      <c r="B1734" t="s">
        <v>4445</v>
      </c>
    </row>
    <row r="1735" spans="1:2" x14ac:dyDescent="0.35">
      <c r="A1735" s="71" t="s">
        <v>4446</v>
      </c>
      <c r="B1735" t="s">
        <v>4447</v>
      </c>
    </row>
    <row r="1736" spans="1:2" x14ac:dyDescent="0.35">
      <c r="A1736" s="68" t="s">
        <v>4448</v>
      </c>
      <c r="B1736" t="s">
        <v>4449</v>
      </c>
    </row>
    <row r="1737" spans="1:2" x14ac:dyDescent="0.35">
      <c r="A1737" s="71" t="s">
        <v>4450</v>
      </c>
      <c r="B1737" t="s">
        <v>4451</v>
      </c>
    </row>
    <row r="1738" spans="1:2" x14ac:dyDescent="0.35">
      <c r="A1738" s="68" t="s">
        <v>4452</v>
      </c>
      <c r="B1738" t="s">
        <v>4453</v>
      </c>
    </row>
    <row r="1739" spans="1:2" x14ac:dyDescent="0.35">
      <c r="A1739" s="71" t="s">
        <v>4454</v>
      </c>
      <c r="B1739" t="s">
        <v>4455</v>
      </c>
    </row>
    <row r="1740" spans="1:2" x14ac:dyDescent="0.35">
      <c r="A1740" s="68" t="s">
        <v>4456</v>
      </c>
      <c r="B1740" t="s">
        <v>4457</v>
      </c>
    </row>
    <row r="1741" spans="1:2" x14ac:dyDescent="0.35">
      <c r="A1741" s="71" t="s">
        <v>4458</v>
      </c>
      <c r="B1741" t="s">
        <v>4459</v>
      </c>
    </row>
    <row r="1742" spans="1:2" x14ac:dyDescent="0.35">
      <c r="A1742" s="68" t="s">
        <v>4460</v>
      </c>
      <c r="B1742" t="s">
        <v>4461</v>
      </c>
    </row>
    <row r="1743" spans="1:2" x14ac:dyDescent="0.35">
      <c r="A1743" s="71" t="s">
        <v>4462</v>
      </c>
      <c r="B1743" t="s">
        <v>4463</v>
      </c>
    </row>
    <row r="1744" spans="1:2" x14ac:dyDescent="0.35">
      <c r="A1744" s="68" t="s">
        <v>4464</v>
      </c>
      <c r="B1744" t="s">
        <v>4465</v>
      </c>
    </row>
    <row r="1745" spans="1:2" x14ac:dyDescent="0.35">
      <c r="A1745" s="71" t="s">
        <v>4466</v>
      </c>
      <c r="B1745" t="s">
        <v>4467</v>
      </c>
    </row>
    <row r="1746" spans="1:2" x14ac:dyDescent="0.35">
      <c r="A1746" s="68" t="s">
        <v>4468</v>
      </c>
      <c r="B1746" t="s">
        <v>4469</v>
      </c>
    </row>
    <row r="1747" spans="1:2" x14ac:dyDescent="0.35">
      <c r="A1747" s="71" t="s">
        <v>4470</v>
      </c>
      <c r="B1747" t="s">
        <v>4471</v>
      </c>
    </row>
    <row r="1748" spans="1:2" x14ac:dyDescent="0.35">
      <c r="A1748" s="68" t="s">
        <v>4472</v>
      </c>
      <c r="B1748" t="s">
        <v>4473</v>
      </c>
    </row>
    <row r="1749" spans="1:2" x14ac:dyDescent="0.35">
      <c r="A1749" s="71" t="s">
        <v>4474</v>
      </c>
      <c r="B1749" t="s">
        <v>4475</v>
      </c>
    </row>
    <row r="1750" spans="1:2" x14ac:dyDescent="0.35">
      <c r="A1750" s="68" t="s">
        <v>4476</v>
      </c>
      <c r="B1750" t="s">
        <v>4477</v>
      </c>
    </row>
    <row r="1751" spans="1:2" x14ac:dyDescent="0.35">
      <c r="A1751" s="71" t="s">
        <v>4478</v>
      </c>
      <c r="B1751" t="s">
        <v>4479</v>
      </c>
    </row>
    <row r="1752" spans="1:2" x14ac:dyDescent="0.35">
      <c r="A1752" s="68" t="s">
        <v>4480</v>
      </c>
      <c r="B1752" t="s">
        <v>4481</v>
      </c>
    </row>
    <row r="1753" spans="1:2" x14ac:dyDescent="0.35">
      <c r="A1753" s="71" t="s">
        <v>4482</v>
      </c>
      <c r="B1753" t="s">
        <v>4483</v>
      </c>
    </row>
    <row r="1754" spans="1:2" x14ac:dyDescent="0.35">
      <c r="A1754" s="68" t="s">
        <v>4484</v>
      </c>
      <c r="B1754" t="s">
        <v>4485</v>
      </c>
    </row>
    <row r="1755" spans="1:2" x14ac:dyDescent="0.35">
      <c r="A1755" s="71" t="s">
        <v>4486</v>
      </c>
      <c r="B1755" t="s">
        <v>4487</v>
      </c>
    </row>
    <row r="1756" spans="1:2" x14ac:dyDescent="0.35">
      <c r="A1756" s="68" t="s">
        <v>4488</v>
      </c>
      <c r="B1756" t="s">
        <v>4489</v>
      </c>
    </row>
    <row r="1757" spans="1:2" x14ac:dyDescent="0.35">
      <c r="A1757" s="71" t="s">
        <v>4490</v>
      </c>
      <c r="B1757" t="s">
        <v>4491</v>
      </c>
    </row>
    <row r="1758" spans="1:2" x14ac:dyDescent="0.35">
      <c r="A1758" s="68" t="s">
        <v>4492</v>
      </c>
      <c r="B1758" t="s">
        <v>4493</v>
      </c>
    </row>
    <row r="1759" spans="1:2" x14ac:dyDescent="0.35">
      <c r="A1759" s="71" t="s">
        <v>4494</v>
      </c>
      <c r="B1759" t="s">
        <v>4495</v>
      </c>
    </row>
    <row r="1760" spans="1:2" x14ac:dyDescent="0.35">
      <c r="A1760" s="68" t="s">
        <v>4496</v>
      </c>
      <c r="B1760" t="s">
        <v>4497</v>
      </c>
    </row>
    <row r="1761" spans="1:2" x14ac:dyDescent="0.35">
      <c r="A1761" s="71" t="s">
        <v>4498</v>
      </c>
      <c r="B1761" t="s">
        <v>4499</v>
      </c>
    </row>
    <row r="1762" spans="1:2" x14ac:dyDescent="0.35">
      <c r="A1762" s="68" t="s">
        <v>4500</v>
      </c>
      <c r="B1762" t="s">
        <v>4501</v>
      </c>
    </row>
    <row r="1763" spans="1:2" x14ac:dyDescent="0.35">
      <c r="A1763" s="71" t="s">
        <v>4502</v>
      </c>
      <c r="B1763" t="s">
        <v>4503</v>
      </c>
    </row>
    <row r="1764" spans="1:2" x14ac:dyDescent="0.35">
      <c r="A1764" s="68" t="s">
        <v>4504</v>
      </c>
      <c r="B1764" t="s">
        <v>4505</v>
      </c>
    </row>
    <row r="1765" spans="1:2" x14ac:dyDescent="0.35">
      <c r="A1765" s="71" t="s">
        <v>4506</v>
      </c>
      <c r="B1765" t="s">
        <v>4507</v>
      </c>
    </row>
    <row r="1766" spans="1:2" x14ac:dyDescent="0.35">
      <c r="A1766" s="68" t="s">
        <v>4508</v>
      </c>
      <c r="B1766" t="s">
        <v>4509</v>
      </c>
    </row>
    <row r="1767" spans="1:2" x14ac:dyDescent="0.35">
      <c r="A1767" s="71" t="s">
        <v>4510</v>
      </c>
      <c r="B1767" t="s">
        <v>4511</v>
      </c>
    </row>
    <row r="1768" spans="1:2" x14ac:dyDescent="0.35">
      <c r="A1768" s="68" t="s">
        <v>4512</v>
      </c>
      <c r="B1768" t="s">
        <v>4513</v>
      </c>
    </row>
    <row r="1769" spans="1:2" x14ac:dyDescent="0.35">
      <c r="A1769" s="71" t="s">
        <v>4514</v>
      </c>
      <c r="B1769" t="s">
        <v>4515</v>
      </c>
    </row>
    <row r="1770" spans="1:2" x14ac:dyDescent="0.35">
      <c r="A1770" s="68" t="s">
        <v>4516</v>
      </c>
      <c r="B1770" t="s">
        <v>4517</v>
      </c>
    </row>
    <row r="1771" spans="1:2" x14ac:dyDescent="0.35">
      <c r="A1771" s="71" t="s">
        <v>4518</v>
      </c>
      <c r="B1771" t="s">
        <v>4519</v>
      </c>
    </row>
    <row r="1772" spans="1:2" x14ac:dyDescent="0.35">
      <c r="A1772" s="68" t="s">
        <v>4520</v>
      </c>
      <c r="B1772" t="s">
        <v>4521</v>
      </c>
    </row>
    <row r="1773" spans="1:2" x14ac:dyDescent="0.35">
      <c r="A1773" s="71" t="s">
        <v>4522</v>
      </c>
      <c r="B1773" t="s">
        <v>4523</v>
      </c>
    </row>
    <row r="1774" spans="1:2" x14ac:dyDescent="0.35">
      <c r="A1774" s="68" t="s">
        <v>4524</v>
      </c>
      <c r="B1774" t="s">
        <v>4525</v>
      </c>
    </row>
    <row r="1775" spans="1:2" x14ac:dyDescent="0.35">
      <c r="A1775" s="71" t="s">
        <v>4526</v>
      </c>
      <c r="B1775" t="s">
        <v>4527</v>
      </c>
    </row>
    <row r="1776" spans="1:2" x14ac:dyDescent="0.35">
      <c r="A1776" s="68" t="s">
        <v>4528</v>
      </c>
      <c r="B1776" t="s">
        <v>4529</v>
      </c>
    </row>
    <row r="1777" spans="1:2" x14ac:dyDescent="0.35">
      <c r="A1777" s="71" t="s">
        <v>4530</v>
      </c>
      <c r="B1777" t="s">
        <v>4531</v>
      </c>
    </row>
    <row r="1778" spans="1:2" x14ac:dyDescent="0.35">
      <c r="A1778" s="68" t="s">
        <v>4532</v>
      </c>
      <c r="B1778" t="s">
        <v>4533</v>
      </c>
    </row>
    <row r="1779" spans="1:2" x14ac:dyDescent="0.35">
      <c r="A1779" s="71" t="s">
        <v>4534</v>
      </c>
      <c r="B1779" t="s">
        <v>4535</v>
      </c>
    </row>
    <row r="1780" spans="1:2" x14ac:dyDescent="0.35">
      <c r="A1780" s="68" t="s">
        <v>4536</v>
      </c>
      <c r="B1780" t="s">
        <v>4537</v>
      </c>
    </row>
    <row r="1781" spans="1:2" x14ac:dyDescent="0.35">
      <c r="A1781" s="71" t="s">
        <v>4538</v>
      </c>
      <c r="B1781" t="s">
        <v>4539</v>
      </c>
    </row>
    <row r="1782" spans="1:2" x14ac:dyDescent="0.35">
      <c r="A1782" s="68" t="s">
        <v>4540</v>
      </c>
      <c r="B1782" t="s">
        <v>4541</v>
      </c>
    </row>
    <row r="1783" spans="1:2" x14ac:dyDescent="0.35">
      <c r="A1783" s="71" t="s">
        <v>4542</v>
      </c>
      <c r="B1783" t="s">
        <v>4543</v>
      </c>
    </row>
    <row r="1784" spans="1:2" x14ac:dyDescent="0.35">
      <c r="A1784" s="68" t="s">
        <v>4544</v>
      </c>
      <c r="B1784" t="s">
        <v>4545</v>
      </c>
    </row>
    <row r="1785" spans="1:2" x14ac:dyDescent="0.35">
      <c r="A1785" s="71" t="s">
        <v>4546</v>
      </c>
      <c r="B1785" t="s">
        <v>4547</v>
      </c>
    </row>
    <row r="1786" spans="1:2" x14ac:dyDescent="0.35">
      <c r="A1786" s="68" t="s">
        <v>4548</v>
      </c>
      <c r="B1786" t="s">
        <v>4549</v>
      </c>
    </row>
    <row r="1787" spans="1:2" x14ac:dyDescent="0.35">
      <c r="A1787" s="71" t="s">
        <v>4550</v>
      </c>
      <c r="B1787" t="s">
        <v>4551</v>
      </c>
    </row>
    <row r="1788" spans="1:2" x14ac:dyDescent="0.35">
      <c r="A1788" s="68" t="s">
        <v>4552</v>
      </c>
      <c r="B1788" t="s">
        <v>4553</v>
      </c>
    </row>
    <row r="1789" spans="1:2" x14ac:dyDescent="0.35">
      <c r="A1789" s="71" t="s">
        <v>4554</v>
      </c>
      <c r="B1789" t="s">
        <v>4555</v>
      </c>
    </row>
    <row r="1790" spans="1:2" x14ac:dyDescent="0.35">
      <c r="A1790" s="68" t="s">
        <v>4556</v>
      </c>
      <c r="B1790" t="s">
        <v>4557</v>
      </c>
    </row>
    <row r="1791" spans="1:2" x14ac:dyDescent="0.35">
      <c r="A1791" s="71" t="s">
        <v>4558</v>
      </c>
      <c r="B1791" t="s">
        <v>4559</v>
      </c>
    </row>
    <row r="1792" spans="1:2" x14ac:dyDescent="0.35">
      <c r="A1792" s="68" t="s">
        <v>4560</v>
      </c>
      <c r="B1792" t="s">
        <v>4561</v>
      </c>
    </row>
    <row r="1793" spans="1:2" x14ac:dyDescent="0.35">
      <c r="A1793" s="71" t="s">
        <v>4562</v>
      </c>
      <c r="B1793" t="s">
        <v>4563</v>
      </c>
    </row>
    <row r="1794" spans="1:2" x14ac:dyDescent="0.35">
      <c r="A1794" s="68" t="s">
        <v>4564</v>
      </c>
      <c r="B1794" t="s">
        <v>4565</v>
      </c>
    </row>
    <row r="1795" spans="1:2" x14ac:dyDescent="0.35">
      <c r="A1795" s="71" t="s">
        <v>4566</v>
      </c>
      <c r="B1795" t="s">
        <v>4567</v>
      </c>
    </row>
    <row r="1796" spans="1:2" x14ac:dyDescent="0.35">
      <c r="A1796" s="68" t="s">
        <v>4568</v>
      </c>
      <c r="B1796" t="s">
        <v>4569</v>
      </c>
    </row>
    <row r="1797" spans="1:2" x14ac:dyDescent="0.35">
      <c r="A1797" s="71" t="s">
        <v>4570</v>
      </c>
      <c r="B1797" t="s">
        <v>4571</v>
      </c>
    </row>
    <row r="1798" spans="1:2" x14ac:dyDescent="0.35">
      <c r="A1798" s="68" t="s">
        <v>4572</v>
      </c>
      <c r="B1798" t="s">
        <v>4573</v>
      </c>
    </row>
    <row r="1799" spans="1:2" x14ac:dyDescent="0.35">
      <c r="A1799" s="71" t="s">
        <v>4574</v>
      </c>
      <c r="B1799" t="s">
        <v>4575</v>
      </c>
    </row>
    <row r="1800" spans="1:2" x14ac:dyDescent="0.35">
      <c r="A1800" s="68" t="s">
        <v>4576</v>
      </c>
      <c r="B1800" t="s">
        <v>4577</v>
      </c>
    </row>
    <row r="1801" spans="1:2" x14ac:dyDescent="0.35">
      <c r="A1801" s="71" t="s">
        <v>4578</v>
      </c>
      <c r="B1801" t="s">
        <v>4579</v>
      </c>
    </row>
    <row r="1802" spans="1:2" x14ac:dyDescent="0.35">
      <c r="A1802" s="68" t="s">
        <v>4580</v>
      </c>
      <c r="B1802" t="s">
        <v>4581</v>
      </c>
    </row>
    <row r="1803" spans="1:2" x14ac:dyDescent="0.35">
      <c r="A1803" s="71" t="s">
        <v>4582</v>
      </c>
      <c r="B1803" t="s">
        <v>4583</v>
      </c>
    </row>
    <row r="1804" spans="1:2" x14ac:dyDescent="0.35">
      <c r="A1804" s="68" t="s">
        <v>4584</v>
      </c>
      <c r="B1804" t="s">
        <v>4585</v>
      </c>
    </row>
    <row r="1805" spans="1:2" x14ac:dyDescent="0.35">
      <c r="A1805" s="71" t="s">
        <v>4586</v>
      </c>
      <c r="B1805" t="s">
        <v>4587</v>
      </c>
    </row>
    <row r="1806" spans="1:2" x14ac:dyDescent="0.35">
      <c r="A1806" s="68" t="s">
        <v>4588</v>
      </c>
      <c r="B1806" t="s">
        <v>4589</v>
      </c>
    </row>
    <row r="1807" spans="1:2" x14ac:dyDescent="0.35">
      <c r="A1807" s="71" t="s">
        <v>4590</v>
      </c>
      <c r="B1807" t="s">
        <v>4591</v>
      </c>
    </row>
    <row r="1808" spans="1:2" x14ac:dyDescent="0.35">
      <c r="A1808" s="68" t="s">
        <v>4592</v>
      </c>
      <c r="B1808" t="s">
        <v>4593</v>
      </c>
    </row>
    <row r="1809" spans="1:2" x14ac:dyDescent="0.35">
      <c r="A1809" s="71" t="s">
        <v>4594</v>
      </c>
      <c r="B1809" t="s">
        <v>4595</v>
      </c>
    </row>
    <row r="1810" spans="1:2" x14ac:dyDescent="0.35">
      <c r="A1810" s="68" t="s">
        <v>4596</v>
      </c>
      <c r="B1810" t="s">
        <v>4597</v>
      </c>
    </row>
    <row r="1811" spans="1:2" x14ac:dyDescent="0.35">
      <c r="A1811" s="71" t="s">
        <v>4598</v>
      </c>
      <c r="B1811" t="s">
        <v>4599</v>
      </c>
    </row>
    <row r="1812" spans="1:2" x14ac:dyDescent="0.35">
      <c r="A1812" s="68" t="s">
        <v>4600</v>
      </c>
      <c r="B1812" t="s">
        <v>4601</v>
      </c>
    </row>
    <row r="1813" spans="1:2" x14ac:dyDescent="0.35">
      <c r="A1813" s="71" t="s">
        <v>4602</v>
      </c>
      <c r="B1813" t="s">
        <v>4603</v>
      </c>
    </row>
    <row r="1814" spans="1:2" x14ac:dyDescent="0.35">
      <c r="A1814" s="68" t="s">
        <v>4604</v>
      </c>
      <c r="B1814" t="s">
        <v>4605</v>
      </c>
    </row>
    <row r="1815" spans="1:2" x14ac:dyDescent="0.35">
      <c r="A1815" s="71" t="s">
        <v>4606</v>
      </c>
      <c r="B1815" t="s">
        <v>4607</v>
      </c>
    </row>
    <row r="1816" spans="1:2" x14ac:dyDescent="0.35">
      <c r="A1816" s="68" t="s">
        <v>4608</v>
      </c>
      <c r="B1816" t="s">
        <v>4609</v>
      </c>
    </row>
    <row r="1817" spans="1:2" x14ac:dyDescent="0.35">
      <c r="A1817" s="71" t="s">
        <v>4610</v>
      </c>
      <c r="B1817" t="s">
        <v>4611</v>
      </c>
    </row>
    <row r="1818" spans="1:2" x14ac:dyDescent="0.35">
      <c r="A1818" s="68" t="s">
        <v>4612</v>
      </c>
      <c r="B1818" t="s">
        <v>4613</v>
      </c>
    </row>
    <row r="1819" spans="1:2" x14ac:dyDescent="0.35">
      <c r="A1819" s="71" t="s">
        <v>4614</v>
      </c>
      <c r="B1819" t="s">
        <v>4615</v>
      </c>
    </row>
    <row r="1820" spans="1:2" x14ac:dyDescent="0.35">
      <c r="A1820" s="68" t="s">
        <v>4616</v>
      </c>
      <c r="B1820" t="s">
        <v>4617</v>
      </c>
    </row>
    <row r="1821" spans="1:2" x14ac:dyDescent="0.35">
      <c r="A1821" s="71" t="s">
        <v>4618</v>
      </c>
      <c r="B1821" t="s">
        <v>4619</v>
      </c>
    </row>
    <row r="1822" spans="1:2" x14ac:dyDescent="0.35">
      <c r="A1822" s="68" t="s">
        <v>4620</v>
      </c>
      <c r="B1822" t="s">
        <v>4621</v>
      </c>
    </row>
    <row r="1823" spans="1:2" x14ac:dyDescent="0.35">
      <c r="A1823" s="71" t="s">
        <v>4622</v>
      </c>
      <c r="B1823" t="s">
        <v>4623</v>
      </c>
    </row>
    <row r="1824" spans="1:2" x14ac:dyDescent="0.35">
      <c r="A1824" s="68" t="s">
        <v>4624</v>
      </c>
      <c r="B1824" t="s">
        <v>4625</v>
      </c>
    </row>
    <row r="1825" spans="1:2" x14ac:dyDescent="0.35">
      <c r="A1825" s="71" t="s">
        <v>4626</v>
      </c>
      <c r="B1825" t="s">
        <v>4627</v>
      </c>
    </row>
    <row r="1826" spans="1:2" x14ac:dyDescent="0.35">
      <c r="A1826" s="68" t="s">
        <v>4628</v>
      </c>
      <c r="B1826" t="s">
        <v>4629</v>
      </c>
    </row>
    <row r="1827" spans="1:2" x14ac:dyDescent="0.35">
      <c r="A1827" s="71" t="s">
        <v>4630</v>
      </c>
      <c r="B1827" t="s">
        <v>4631</v>
      </c>
    </row>
    <row r="1828" spans="1:2" x14ac:dyDescent="0.35">
      <c r="A1828" s="68" t="s">
        <v>4632</v>
      </c>
      <c r="B1828" t="s">
        <v>4633</v>
      </c>
    </row>
    <row r="1829" spans="1:2" x14ac:dyDescent="0.35">
      <c r="A1829" s="71" t="s">
        <v>4634</v>
      </c>
      <c r="B1829" t="s">
        <v>4635</v>
      </c>
    </row>
    <row r="1830" spans="1:2" x14ac:dyDescent="0.35">
      <c r="A1830" s="68" t="s">
        <v>4636</v>
      </c>
      <c r="B1830" t="s">
        <v>4637</v>
      </c>
    </row>
    <row r="1831" spans="1:2" x14ac:dyDescent="0.35">
      <c r="A1831" s="71" t="s">
        <v>4638</v>
      </c>
      <c r="B1831" t="s">
        <v>4639</v>
      </c>
    </row>
    <row r="1832" spans="1:2" x14ac:dyDescent="0.35">
      <c r="A1832" s="68" t="s">
        <v>4640</v>
      </c>
      <c r="B1832" t="s">
        <v>4641</v>
      </c>
    </row>
  </sheetData>
  <autoFilter ref="A2:B1832" xr:uid="{077B30B5-83DD-4D6F-82D9-FF1376BC1DF1}"/>
  <conditionalFormatting sqref="A1573:A1832 A913:A1005 A517:A911 A1007:A1570">
    <cfRule type="duplicateValues" dxfId="3" priority="1"/>
  </conditionalFormatting>
  <conditionalFormatting sqref="A517:A1832">
    <cfRule type="duplicateValues" dxfId="2" priority="2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48C59-3AE7-4789-9C2B-0CCC640620A3}">
  <sheetPr codeName="Sheet9"/>
  <dimension ref="A3:BL1202"/>
  <sheetViews>
    <sheetView workbookViewId="0"/>
  </sheetViews>
  <sheetFormatPr defaultRowHeight="14.5" x14ac:dyDescent="0.35"/>
  <cols>
    <col min="1" max="1" width="36.6328125" customWidth="1"/>
    <col min="3" max="3" width="16.54296875" customWidth="1"/>
    <col min="6" max="6" width="11.90625" bestFit="1" customWidth="1"/>
    <col min="7" max="7" width="15.90625" customWidth="1"/>
  </cols>
  <sheetData>
    <row r="3" spans="1:64" x14ac:dyDescent="0.35">
      <c r="A3" s="75" t="s">
        <v>2019</v>
      </c>
      <c r="AF3" s="48"/>
    </row>
    <row r="4" spans="1:64" x14ac:dyDescent="0.35">
      <c r="A4" s="70" t="s">
        <v>1973</v>
      </c>
      <c r="AF4" s="48"/>
    </row>
    <row r="5" spans="1:64" x14ac:dyDescent="0.35">
      <c r="A5" s="68" t="s">
        <v>2022</v>
      </c>
      <c r="AF5" s="48"/>
    </row>
    <row r="6" spans="1:64" x14ac:dyDescent="0.35">
      <c r="A6" s="70" t="s">
        <v>2024</v>
      </c>
      <c r="AF6" s="48"/>
    </row>
    <row r="7" spans="1:64" x14ac:dyDescent="0.35">
      <c r="A7" s="68" t="s">
        <v>2026</v>
      </c>
      <c r="AF7" s="48"/>
      <c r="BK7" s="76"/>
      <c r="BL7" s="76"/>
    </row>
    <row r="8" spans="1:64" x14ac:dyDescent="0.35">
      <c r="A8" s="70" t="s">
        <v>2028</v>
      </c>
      <c r="AF8" s="48"/>
    </row>
    <row r="9" spans="1:64" x14ac:dyDescent="0.35">
      <c r="A9" s="68" t="s">
        <v>2030</v>
      </c>
      <c r="AF9" s="48"/>
    </row>
    <row r="10" spans="1:64" x14ac:dyDescent="0.35">
      <c r="A10" s="70" t="s">
        <v>2032</v>
      </c>
      <c r="AF10" s="48"/>
    </row>
    <row r="11" spans="1:64" x14ac:dyDescent="0.35">
      <c r="A11" s="68" t="s">
        <v>2034</v>
      </c>
      <c r="AF11" s="48"/>
    </row>
    <row r="12" spans="1:64" x14ac:dyDescent="0.35">
      <c r="A12" s="70" t="s">
        <v>2036</v>
      </c>
      <c r="AF12" s="48"/>
    </row>
    <row r="13" spans="1:64" x14ac:dyDescent="0.35">
      <c r="A13" s="68" t="s">
        <v>2038</v>
      </c>
      <c r="AF13" s="48"/>
    </row>
    <row r="14" spans="1:64" x14ac:dyDescent="0.35">
      <c r="A14" s="70" t="s">
        <v>2040</v>
      </c>
      <c r="AF14" s="48"/>
    </row>
    <row r="15" spans="1:64" x14ac:dyDescent="0.35">
      <c r="A15" s="68" t="s">
        <v>2042</v>
      </c>
      <c r="AF15" s="48"/>
    </row>
    <row r="16" spans="1:64" x14ac:dyDescent="0.35">
      <c r="A16" s="70" t="s">
        <v>2044</v>
      </c>
      <c r="AF16" s="48"/>
    </row>
    <row r="17" spans="1:32" x14ac:dyDescent="0.35">
      <c r="A17" s="68" t="s">
        <v>2046</v>
      </c>
      <c r="AF17" s="48"/>
    </row>
    <row r="18" spans="1:32" x14ac:dyDescent="0.35">
      <c r="A18" s="70" t="s">
        <v>2048</v>
      </c>
      <c r="AF18" s="48"/>
    </row>
    <row r="19" spans="1:32" x14ac:dyDescent="0.35">
      <c r="A19" s="68" t="s">
        <v>2050</v>
      </c>
      <c r="AF19" s="48"/>
    </row>
    <row r="20" spans="1:32" x14ac:dyDescent="0.35">
      <c r="A20" s="70" t="s">
        <v>2052</v>
      </c>
      <c r="AF20" s="48"/>
    </row>
    <row r="21" spans="1:32" x14ac:dyDescent="0.35">
      <c r="A21" s="68" t="s">
        <v>2054</v>
      </c>
      <c r="AF21" s="48"/>
    </row>
    <row r="22" spans="1:32" x14ac:dyDescent="0.35">
      <c r="A22" s="70" t="s">
        <v>2056</v>
      </c>
      <c r="AF22" s="48"/>
    </row>
    <row r="23" spans="1:32" x14ac:dyDescent="0.35">
      <c r="A23" s="68" t="s">
        <v>2058</v>
      </c>
      <c r="AF23" s="48"/>
    </row>
    <row r="24" spans="1:32" x14ac:dyDescent="0.35">
      <c r="A24" s="70" t="s">
        <v>2060</v>
      </c>
      <c r="AF24" s="48"/>
    </row>
    <row r="25" spans="1:32" x14ac:dyDescent="0.35">
      <c r="A25" s="68" t="s">
        <v>2062</v>
      </c>
      <c r="AF25" s="48"/>
    </row>
    <row r="26" spans="1:32" x14ac:dyDescent="0.35">
      <c r="A26" s="70" t="s">
        <v>2064</v>
      </c>
      <c r="AF26" s="48"/>
    </row>
    <row r="27" spans="1:32" x14ac:dyDescent="0.35">
      <c r="A27" s="68" t="s">
        <v>2066</v>
      </c>
      <c r="AF27" s="48"/>
    </row>
    <row r="28" spans="1:32" x14ac:dyDescent="0.35">
      <c r="A28" s="70" t="s">
        <v>2068</v>
      </c>
      <c r="AF28" s="48"/>
    </row>
    <row r="29" spans="1:32" x14ac:dyDescent="0.35">
      <c r="A29" s="68" t="s">
        <v>2070</v>
      </c>
      <c r="AF29" s="48"/>
    </row>
    <row r="30" spans="1:32" x14ac:dyDescent="0.35">
      <c r="A30" s="70" t="s">
        <v>2072</v>
      </c>
      <c r="AF30" s="48"/>
    </row>
    <row r="31" spans="1:32" x14ac:dyDescent="0.35">
      <c r="A31" s="68" t="s">
        <v>2074</v>
      </c>
      <c r="AF31" s="48"/>
    </row>
    <row r="32" spans="1:32" x14ac:dyDescent="0.35">
      <c r="A32" s="70" t="s">
        <v>2076</v>
      </c>
      <c r="AF32" s="48"/>
    </row>
    <row r="33" spans="1:32" x14ac:dyDescent="0.35">
      <c r="A33" s="68" t="s">
        <v>2078</v>
      </c>
      <c r="AF33" s="48"/>
    </row>
    <row r="34" spans="1:32" x14ac:dyDescent="0.35">
      <c r="A34" s="70" t="s">
        <v>2080</v>
      </c>
      <c r="AF34" s="48"/>
    </row>
    <row r="35" spans="1:32" x14ac:dyDescent="0.35">
      <c r="A35" s="68" t="s">
        <v>2082</v>
      </c>
      <c r="AF35" s="48"/>
    </row>
    <row r="36" spans="1:32" x14ac:dyDescent="0.35">
      <c r="A36" s="70" t="s">
        <v>2084</v>
      </c>
      <c r="AF36" s="48"/>
    </row>
    <row r="37" spans="1:32" x14ac:dyDescent="0.35">
      <c r="A37" s="68" t="s">
        <v>2086</v>
      </c>
      <c r="AF37" s="48"/>
    </row>
    <row r="38" spans="1:32" x14ac:dyDescent="0.35">
      <c r="A38" s="70" t="s">
        <v>2088</v>
      </c>
      <c r="AF38" s="48"/>
    </row>
    <row r="39" spans="1:32" x14ac:dyDescent="0.35">
      <c r="A39" s="68" t="s">
        <v>2090</v>
      </c>
      <c r="AF39" s="48"/>
    </row>
    <row r="40" spans="1:32" x14ac:dyDescent="0.35">
      <c r="A40" s="70" t="s">
        <v>2092</v>
      </c>
      <c r="AF40" s="48"/>
    </row>
    <row r="41" spans="1:32" x14ac:dyDescent="0.35">
      <c r="A41" s="68" t="s">
        <v>2094</v>
      </c>
      <c r="AF41" s="48"/>
    </row>
    <row r="42" spans="1:32" x14ac:dyDescent="0.35">
      <c r="A42" s="70" t="s">
        <v>2096</v>
      </c>
      <c r="AF42" s="48"/>
    </row>
    <row r="43" spans="1:32" x14ac:dyDescent="0.35">
      <c r="A43" s="68" t="s">
        <v>2098</v>
      </c>
      <c r="AF43" s="48"/>
    </row>
    <row r="44" spans="1:32" x14ac:dyDescent="0.35">
      <c r="A44" s="70" t="s">
        <v>2100</v>
      </c>
      <c r="AF44" s="48"/>
    </row>
    <row r="45" spans="1:32" x14ac:dyDescent="0.35">
      <c r="A45" s="68" t="s">
        <v>2102</v>
      </c>
      <c r="AF45" s="48"/>
    </row>
    <row r="46" spans="1:32" x14ac:dyDescent="0.35">
      <c r="A46" s="70" t="s">
        <v>2104</v>
      </c>
      <c r="AF46" s="48"/>
    </row>
    <row r="47" spans="1:32" x14ac:dyDescent="0.35">
      <c r="A47" s="68" t="s">
        <v>2106</v>
      </c>
      <c r="AF47" s="48"/>
    </row>
    <row r="48" spans="1:32" x14ac:dyDescent="0.35">
      <c r="A48" s="70" t="s">
        <v>2108</v>
      </c>
      <c r="AF48" s="48"/>
    </row>
    <row r="49" spans="1:32" x14ac:dyDescent="0.35">
      <c r="A49" s="68" t="s">
        <v>2110</v>
      </c>
      <c r="AF49" s="48"/>
    </row>
    <row r="50" spans="1:32" x14ac:dyDescent="0.35">
      <c r="A50" s="70" t="s">
        <v>2112</v>
      </c>
      <c r="AF50" s="48"/>
    </row>
    <row r="51" spans="1:32" x14ac:dyDescent="0.35">
      <c r="A51" s="68" t="s">
        <v>2114</v>
      </c>
      <c r="AF51" s="48"/>
    </row>
    <row r="52" spans="1:32" x14ac:dyDescent="0.35">
      <c r="A52" s="70" t="s">
        <v>2116</v>
      </c>
      <c r="AF52" s="48"/>
    </row>
    <row r="53" spans="1:32" x14ac:dyDescent="0.35">
      <c r="A53" s="68" t="s">
        <v>2118</v>
      </c>
      <c r="AF53" s="48"/>
    </row>
    <row r="54" spans="1:32" x14ac:dyDescent="0.35">
      <c r="A54" s="70" t="s">
        <v>2120</v>
      </c>
      <c r="AF54" s="48"/>
    </row>
    <row r="55" spans="1:32" x14ac:dyDescent="0.35">
      <c r="A55" s="68" t="s">
        <v>2122</v>
      </c>
      <c r="AF55" s="48"/>
    </row>
    <row r="56" spans="1:32" x14ac:dyDescent="0.35">
      <c r="A56" s="70" t="s">
        <v>2124</v>
      </c>
      <c r="AF56" s="48"/>
    </row>
    <row r="57" spans="1:32" x14ac:dyDescent="0.35">
      <c r="A57" s="68" t="s">
        <v>2126</v>
      </c>
      <c r="AF57" s="48"/>
    </row>
    <row r="58" spans="1:32" x14ac:dyDescent="0.35">
      <c r="A58" s="70" t="s">
        <v>2128</v>
      </c>
      <c r="AF58" s="48"/>
    </row>
    <row r="59" spans="1:32" x14ac:dyDescent="0.35">
      <c r="A59" s="68" t="s">
        <v>2130</v>
      </c>
      <c r="AF59" s="48"/>
    </row>
    <row r="60" spans="1:32" x14ac:dyDescent="0.35">
      <c r="A60" s="70" t="s">
        <v>2132</v>
      </c>
      <c r="AF60" s="48"/>
    </row>
    <row r="61" spans="1:32" x14ac:dyDescent="0.35">
      <c r="A61" s="68" t="s">
        <v>2134</v>
      </c>
      <c r="AF61" s="48"/>
    </row>
    <row r="62" spans="1:32" x14ac:dyDescent="0.35">
      <c r="A62" s="70" t="s">
        <v>2136</v>
      </c>
      <c r="AF62" s="48"/>
    </row>
    <row r="63" spans="1:32" x14ac:dyDescent="0.35">
      <c r="A63" s="68" t="s">
        <v>2138</v>
      </c>
      <c r="AF63" s="48"/>
    </row>
    <row r="64" spans="1:32" x14ac:dyDescent="0.35">
      <c r="A64" s="70" t="s">
        <v>2140</v>
      </c>
      <c r="AF64" s="48"/>
    </row>
    <row r="65" spans="1:32" x14ac:dyDescent="0.35">
      <c r="A65" s="68" t="s">
        <v>2142</v>
      </c>
      <c r="AF65" s="48"/>
    </row>
    <row r="66" spans="1:32" x14ac:dyDescent="0.35">
      <c r="A66" s="70" t="s">
        <v>2144</v>
      </c>
      <c r="AF66" s="48"/>
    </row>
    <row r="67" spans="1:32" x14ac:dyDescent="0.35">
      <c r="A67" s="68" t="s">
        <v>2146</v>
      </c>
      <c r="AF67" s="48"/>
    </row>
    <row r="68" spans="1:32" x14ac:dyDescent="0.35">
      <c r="A68" s="70" t="s">
        <v>2148</v>
      </c>
      <c r="AF68" s="48"/>
    </row>
    <row r="69" spans="1:32" x14ac:dyDescent="0.35">
      <c r="A69" s="68" t="s">
        <v>2150</v>
      </c>
      <c r="AF69" s="48"/>
    </row>
    <row r="70" spans="1:32" x14ac:dyDescent="0.35">
      <c r="A70" s="70" t="s">
        <v>2152</v>
      </c>
      <c r="AF70" s="48"/>
    </row>
    <row r="71" spans="1:32" x14ac:dyDescent="0.35">
      <c r="A71" s="68" t="s">
        <v>2154</v>
      </c>
      <c r="AF71" s="48"/>
    </row>
    <row r="72" spans="1:32" x14ac:dyDescent="0.35">
      <c r="A72" s="70" t="s">
        <v>2156</v>
      </c>
      <c r="AF72" s="48"/>
    </row>
    <row r="73" spans="1:32" x14ac:dyDescent="0.35">
      <c r="A73" s="68" t="s">
        <v>2158</v>
      </c>
      <c r="AF73" s="48"/>
    </row>
    <row r="74" spans="1:32" x14ac:dyDescent="0.35">
      <c r="A74" s="70" t="s">
        <v>2160</v>
      </c>
      <c r="AF74" s="48"/>
    </row>
    <row r="75" spans="1:32" x14ac:dyDescent="0.35">
      <c r="A75" s="68" t="s">
        <v>2162</v>
      </c>
      <c r="AF75" s="48"/>
    </row>
    <row r="76" spans="1:32" x14ac:dyDescent="0.35">
      <c r="A76" s="70" t="s">
        <v>2164</v>
      </c>
      <c r="AF76" s="48"/>
    </row>
    <row r="77" spans="1:32" x14ac:dyDescent="0.35">
      <c r="A77" s="68" t="s">
        <v>2166</v>
      </c>
      <c r="AF77" s="48"/>
    </row>
    <row r="78" spans="1:32" x14ac:dyDescent="0.35">
      <c r="A78" s="70" t="s">
        <v>2168</v>
      </c>
      <c r="AF78" s="48"/>
    </row>
    <row r="79" spans="1:32" x14ac:dyDescent="0.35">
      <c r="A79" s="68" t="s">
        <v>2170</v>
      </c>
      <c r="AF79" s="48"/>
    </row>
    <row r="80" spans="1:32" x14ac:dyDescent="0.35">
      <c r="A80" s="70" t="s">
        <v>2172</v>
      </c>
      <c r="AF80" s="48"/>
    </row>
    <row r="81" spans="1:32" x14ac:dyDescent="0.35">
      <c r="A81" s="68" t="s">
        <v>2174</v>
      </c>
      <c r="AF81" s="48"/>
    </row>
    <row r="82" spans="1:32" x14ac:dyDescent="0.35">
      <c r="A82" s="70" t="s">
        <v>2176</v>
      </c>
      <c r="AF82" s="48"/>
    </row>
    <row r="83" spans="1:32" x14ac:dyDescent="0.35">
      <c r="A83" s="68" t="s">
        <v>2178</v>
      </c>
      <c r="AF83" s="48"/>
    </row>
    <row r="84" spans="1:32" x14ac:dyDescent="0.35">
      <c r="A84" s="70" t="s">
        <v>2180</v>
      </c>
      <c r="AF84" s="48"/>
    </row>
    <row r="85" spans="1:32" x14ac:dyDescent="0.35">
      <c r="A85" s="68" t="s">
        <v>2182</v>
      </c>
      <c r="AF85" s="48"/>
    </row>
    <row r="86" spans="1:32" x14ac:dyDescent="0.35">
      <c r="A86" s="70" t="s">
        <v>2184</v>
      </c>
      <c r="AF86" s="48"/>
    </row>
    <row r="87" spans="1:32" x14ac:dyDescent="0.35">
      <c r="A87" s="68" t="s">
        <v>2186</v>
      </c>
      <c r="AF87" s="48"/>
    </row>
    <row r="88" spans="1:32" x14ac:dyDescent="0.35">
      <c r="A88" s="70" t="s">
        <v>2188</v>
      </c>
      <c r="AF88" s="48"/>
    </row>
    <row r="89" spans="1:32" x14ac:dyDescent="0.35">
      <c r="A89" s="68" t="s">
        <v>2190</v>
      </c>
      <c r="AF89" s="48"/>
    </row>
    <row r="90" spans="1:32" x14ac:dyDescent="0.35">
      <c r="A90" s="70" t="s">
        <v>2192</v>
      </c>
      <c r="AF90" s="48"/>
    </row>
    <row r="91" spans="1:32" x14ac:dyDescent="0.35">
      <c r="A91" s="68" t="s">
        <v>2194</v>
      </c>
      <c r="AF91" s="48"/>
    </row>
    <row r="92" spans="1:32" x14ac:dyDescent="0.35">
      <c r="A92" s="70" t="s">
        <v>2196</v>
      </c>
      <c r="AF92" s="48"/>
    </row>
    <row r="93" spans="1:32" x14ac:dyDescent="0.35">
      <c r="A93" s="68" t="s">
        <v>2198</v>
      </c>
      <c r="AF93" s="48"/>
    </row>
    <row r="94" spans="1:32" x14ac:dyDescent="0.35">
      <c r="A94" s="70" t="s">
        <v>2200</v>
      </c>
      <c r="AF94" s="48"/>
    </row>
    <row r="95" spans="1:32" x14ac:dyDescent="0.35">
      <c r="A95" s="68" t="s">
        <v>2202</v>
      </c>
      <c r="AF95" s="48"/>
    </row>
    <row r="96" spans="1:32" x14ac:dyDescent="0.35">
      <c r="A96" s="70" t="s">
        <v>2204</v>
      </c>
      <c r="AF96" s="48"/>
    </row>
    <row r="97" spans="1:32" x14ac:dyDescent="0.35">
      <c r="A97" s="68" t="s">
        <v>2206</v>
      </c>
      <c r="AF97" s="48"/>
    </row>
    <row r="98" spans="1:32" x14ac:dyDescent="0.35">
      <c r="A98" s="70" t="s">
        <v>2208</v>
      </c>
      <c r="AF98" s="48"/>
    </row>
    <row r="99" spans="1:32" x14ac:dyDescent="0.35">
      <c r="A99" s="68" t="s">
        <v>2210</v>
      </c>
      <c r="AF99" s="48"/>
    </row>
    <row r="100" spans="1:32" x14ac:dyDescent="0.35">
      <c r="A100" s="70" t="s">
        <v>2212</v>
      </c>
      <c r="AF100" s="48"/>
    </row>
    <row r="101" spans="1:32" x14ac:dyDescent="0.35">
      <c r="A101" s="68" t="s">
        <v>2214</v>
      </c>
      <c r="AF101" s="48"/>
    </row>
    <row r="102" spans="1:32" x14ac:dyDescent="0.35">
      <c r="A102" s="70" t="s">
        <v>2216</v>
      </c>
      <c r="AF102" s="48"/>
    </row>
    <row r="103" spans="1:32" x14ac:dyDescent="0.35">
      <c r="A103" s="68" t="s">
        <v>2218</v>
      </c>
      <c r="AF103" s="48"/>
    </row>
    <row r="104" spans="1:32" x14ac:dyDescent="0.35">
      <c r="A104" s="70" t="s">
        <v>2220</v>
      </c>
      <c r="AF104" s="48"/>
    </row>
    <row r="105" spans="1:32" x14ac:dyDescent="0.35">
      <c r="A105" s="68" t="s">
        <v>2222</v>
      </c>
      <c r="AF105" s="48"/>
    </row>
    <row r="106" spans="1:32" x14ac:dyDescent="0.35">
      <c r="A106" s="70" t="s">
        <v>2224</v>
      </c>
      <c r="AF106" s="48"/>
    </row>
    <row r="107" spans="1:32" x14ac:dyDescent="0.35">
      <c r="A107" s="68" t="s">
        <v>2226</v>
      </c>
      <c r="AF107" s="48"/>
    </row>
    <row r="108" spans="1:32" x14ac:dyDescent="0.35">
      <c r="A108" s="70" t="s">
        <v>2228</v>
      </c>
      <c r="AF108" s="48"/>
    </row>
    <row r="109" spans="1:32" x14ac:dyDescent="0.35">
      <c r="A109" s="68" t="s">
        <v>2230</v>
      </c>
      <c r="AF109" s="48"/>
    </row>
    <row r="110" spans="1:32" x14ac:dyDescent="0.35">
      <c r="A110" s="70" t="s">
        <v>2232</v>
      </c>
      <c r="AF110" s="48"/>
    </row>
    <row r="111" spans="1:32" x14ac:dyDescent="0.35">
      <c r="A111" s="68" t="s">
        <v>2234</v>
      </c>
      <c r="AF111" s="48"/>
    </row>
    <row r="112" spans="1:32" x14ac:dyDescent="0.35">
      <c r="A112" s="70" t="s">
        <v>2236</v>
      </c>
      <c r="AF112" s="48"/>
    </row>
    <row r="113" spans="1:32" x14ac:dyDescent="0.35">
      <c r="A113" s="68" t="s">
        <v>2238</v>
      </c>
      <c r="AF113" s="48"/>
    </row>
    <row r="114" spans="1:32" x14ac:dyDescent="0.35">
      <c r="A114" s="70" t="s">
        <v>2240</v>
      </c>
      <c r="AF114" s="48"/>
    </row>
    <row r="115" spans="1:32" x14ac:dyDescent="0.35">
      <c r="A115" s="68" t="s">
        <v>2242</v>
      </c>
      <c r="AF115" s="48"/>
    </row>
    <row r="116" spans="1:32" x14ac:dyDescent="0.35">
      <c r="A116" s="70" t="s">
        <v>2244</v>
      </c>
      <c r="AF116" s="48"/>
    </row>
    <row r="117" spans="1:32" x14ac:dyDescent="0.35">
      <c r="A117" s="68" t="s">
        <v>2246</v>
      </c>
      <c r="AF117" s="48"/>
    </row>
    <row r="118" spans="1:32" x14ac:dyDescent="0.35">
      <c r="A118" s="70" t="s">
        <v>2248</v>
      </c>
      <c r="AF118" s="48"/>
    </row>
    <row r="119" spans="1:32" x14ac:dyDescent="0.35">
      <c r="A119" s="68" t="s">
        <v>2250</v>
      </c>
      <c r="AF119" s="48"/>
    </row>
    <row r="120" spans="1:32" x14ac:dyDescent="0.35">
      <c r="A120" s="70" t="s">
        <v>2252</v>
      </c>
      <c r="AF120" s="48"/>
    </row>
    <row r="121" spans="1:32" x14ac:dyDescent="0.35">
      <c r="A121" s="68" t="s">
        <v>2254</v>
      </c>
      <c r="AF121" s="48"/>
    </row>
    <row r="122" spans="1:32" x14ac:dyDescent="0.35">
      <c r="A122" s="70" t="s">
        <v>2256</v>
      </c>
      <c r="AF122" s="48"/>
    </row>
    <row r="123" spans="1:32" x14ac:dyDescent="0.35">
      <c r="A123" s="68" t="s">
        <v>2258</v>
      </c>
      <c r="AF123" s="48"/>
    </row>
    <row r="124" spans="1:32" x14ac:dyDescent="0.35">
      <c r="A124" s="70" t="s">
        <v>2260</v>
      </c>
      <c r="AF124" s="48"/>
    </row>
    <row r="125" spans="1:32" x14ac:dyDescent="0.35">
      <c r="A125" s="68" t="s">
        <v>2262</v>
      </c>
      <c r="AF125" s="48"/>
    </row>
    <row r="126" spans="1:32" x14ac:dyDescent="0.35">
      <c r="A126" s="70" t="s">
        <v>2264</v>
      </c>
      <c r="AF126" s="48"/>
    </row>
    <row r="127" spans="1:32" x14ac:dyDescent="0.35">
      <c r="A127" s="68" t="s">
        <v>2266</v>
      </c>
      <c r="AF127" s="48"/>
    </row>
    <row r="128" spans="1:32" x14ac:dyDescent="0.35">
      <c r="A128" s="70" t="s">
        <v>2268</v>
      </c>
      <c r="AF128" s="48"/>
    </row>
    <row r="129" spans="1:32" x14ac:dyDescent="0.35">
      <c r="A129" s="68" t="s">
        <v>2270</v>
      </c>
      <c r="AF129" s="48"/>
    </row>
    <row r="130" spans="1:32" x14ac:dyDescent="0.35">
      <c r="A130" s="70" t="s">
        <v>2272</v>
      </c>
      <c r="AF130" s="48"/>
    </row>
    <row r="131" spans="1:32" x14ac:dyDescent="0.35">
      <c r="A131" s="68" t="s">
        <v>2274</v>
      </c>
      <c r="AF131" s="48"/>
    </row>
    <row r="132" spans="1:32" x14ac:dyDescent="0.35">
      <c r="A132" s="70" t="s">
        <v>2276</v>
      </c>
      <c r="AF132" s="48"/>
    </row>
    <row r="133" spans="1:32" x14ac:dyDescent="0.35">
      <c r="A133" s="68" t="s">
        <v>2278</v>
      </c>
      <c r="AF133" s="48"/>
    </row>
    <row r="134" spans="1:32" x14ac:dyDescent="0.35">
      <c r="A134" s="70" t="s">
        <v>2280</v>
      </c>
      <c r="AF134" s="48"/>
    </row>
    <row r="135" spans="1:32" x14ac:dyDescent="0.35">
      <c r="A135" s="68" t="s">
        <v>2282</v>
      </c>
      <c r="AF135" s="48"/>
    </row>
    <row r="136" spans="1:32" x14ac:dyDescent="0.35">
      <c r="A136" s="70" t="s">
        <v>2284</v>
      </c>
      <c r="AF136" s="48"/>
    </row>
    <row r="137" spans="1:32" x14ac:dyDescent="0.35">
      <c r="A137" s="68" t="s">
        <v>2286</v>
      </c>
      <c r="AF137" s="48"/>
    </row>
    <row r="138" spans="1:32" x14ac:dyDescent="0.35">
      <c r="A138" s="70" t="s">
        <v>2288</v>
      </c>
      <c r="AF138" s="48"/>
    </row>
    <row r="139" spans="1:32" x14ac:dyDescent="0.35">
      <c r="A139" s="68" t="s">
        <v>2290</v>
      </c>
      <c r="AF139" s="48"/>
    </row>
    <row r="140" spans="1:32" x14ac:dyDescent="0.35">
      <c r="A140" s="70" t="s">
        <v>2292</v>
      </c>
      <c r="AF140" s="48"/>
    </row>
    <row r="141" spans="1:32" x14ac:dyDescent="0.35">
      <c r="A141" s="68" t="s">
        <v>2294</v>
      </c>
      <c r="AF141" s="48"/>
    </row>
    <row r="142" spans="1:32" x14ac:dyDescent="0.35">
      <c r="A142" s="70" t="s">
        <v>2296</v>
      </c>
      <c r="AF142" s="48"/>
    </row>
    <row r="143" spans="1:32" x14ac:dyDescent="0.35">
      <c r="A143" s="68" t="s">
        <v>2298</v>
      </c>
      <c r="AF143" s="48"/>
    </row>
    <row r="144" spans="1:32" x14ac:dyDescent="0.35">
      <c r="A144" s="70" t="s">
        <v>2300</v>
      </c>
      <c r="AF144" s="48"/>
    </row>
    <row r="145" spans="1:32" x14ac:dyDescent="0.35">
      <c r="A145" s="68" t="s">
        <v>2302</v>
      </c>
      <c r="AF145" s="48"/>
    </row>
    <row r="146" spans="1:32" x14ac:dyDescent="0.35">
      <c r="A146" s="70" t="s">
        <v>2304</v>
      </c>
      <c r="AF146" s="48"/>
    </row>
    <row r="147" spans="1:32" x14ac:dyDescent="0.35">
      <c r="A147" s="68" t="s">
        <v>2306</v>
      </c>
      <c r="AF147" s="48"/>
    </row>
    <row r="148" spans="1:32" x14ac:dyDescent="0.35">
      <c r="A148" s="70" t="s">
        <v>2308</v>
      </c>
      <c r="AF148" s="48"/>
    </row>
    <row r="149" spans="1:32" x14ac:dyDescent="0.35">
      <c r="A149" s="68" t="s">
        <v>2310</v>
      </c>
      <c r="AF149" s="48"/>
    </row>
    <row r="150" spans="1:32" x14ac:dyDescent="0.35">
      <c r="A150" s="70" t="s">
        <v>2312</v>
      </c>
      <c r="AF150" s="48"/>
    </row>
    <row r="151" spans="1:32" x14ac:dyDescent="0.35">
      <c r="A151" s="68" t="s">
        <v>2314</v>
      </c>
      <c r="AF151" s="48"/>
    </row>
    <row r="152" spans="1:32" x14ac:dyDescent="0.35">
      <c r="A152" s="70" t="s">
        <v>2316</v>
      </c>
      <c r="AF152" s="48"/>
    </row>
    <row r="153" spans="1:32" x14ac:dyDescent="0.35">
      <c r="A153" s="68" t="s">
        <v>2318</v>
      </c>
      <c r="AF153" s="48"/>
    </row>
    <row r="154" spans="1:32" x14ac:dyDescent="0.35">
      <c r="A154" s="70" t="s">
        <v>2320</v>
      </c>
      <c r="AF154" s="48"/>
    </row>
    <row r="155" spans="1:32" x14ac:dyDescent="0.35">
      <c r="A155" s="68" t="s">
        <v>2322</v>
      </c>
      <c r="AF155" s="48"/>
    </row>
    <row r="156" spans="1:32" x14ac:dyDescent="0.35">
      <c r="A156" s="70" t="s">
        <v>2324</v>
      </c>
      <c r="AF156" s="48"/>
    </row>
    <row r="157" spans="1:32" x14ac:dyDescent="0.35">
      <c r="A157" s="68" t="s">
        <v>2326</v>
      </c>
      <c r="AF157" s="48"/>
    </row>
    <row r="158" spans="1:32" x14ac:dyDescent="0.35">
      <c r="A158" s="70" t="s">
        <v>2328</v>
      </c>
      <c r="AF158" s="48"/>
    </row>
    <row r="159" spans="1:32" x14ac:dyDescent="0.35">
      <c r="A159" s="68" t="s">
        <v>2330</v>
      </c>
      <c r="AF159" s="48"/>
    </row>
    <row r="160" spans="1:32" x14ac:dyDescent="0.35">
      <c r="A160" s="70" t="s">
        <v>2332</v>
      </c>
      <c r="AF160" s="48"/>
    </row>
    <row r="161" spans="1:32" x14ac:dyDescent="0.35">
      <c r="A161" s="68" t="s">
        <v>2334</v>
      </c>
      <c r="AF161" s="48"/>
    </row>
    <row r="162" spans="1:32" x14ac:dyDescent="0.35">
      <c r="A162" s="70" t="s">
        <v>2336</v>
      </c>
      <c r="AF162" s="48"/>
    </row>
    <row r="163" spans="1:32" x14ac:dyDescent="0.35">
      <c r="A163" s="68" t="s">
        <v>2338</v>
      </c>
      <c r="AF163" s="48"/>
    </row>
    <row r="164" spans="1:32" x14ac:dyDescent="0.35">
      <c r="A164" s="70" t="s">
        <v>2340</v>
      </c>
      <c r="AF164" s="48"/>
    </row>
    <row r="165" spans="1:32" x14ac:dyDescent="0.35">
      <c r="A165" s="68" t="s">
        <v>2342</v>
      </c>
      <c r="AF165" s="48"/>
    </row>
    <row r="166" spans="1:32" x14ac:dyDescent="0.35">
      <c r="A166" s="70" t="s">
        <v>2344</v>
      </c>
      <c r="AF166" s="48"/>
    </row>
    <row r="167" spans="1:32" x14ac:dyDescent="0.35">
      <c r="A167" s="68" t="s">
        <v>2346</v>
      </c>
      <c r="AF167" s="48"/>
    </row>
    <row r="168" spans="1:32" x14ac:dyDescent="0.35">
      <c r="A168" s="70" t="s">
        <v>2348</v>
      </c>
      <c r="AF168" s="48"/>
    </row>
    <row r="169" spans="1:32" x14ac:dyDescent="0.35">
      <c r="A169" s="68" t="s">
        <v>2350</v>
      </c>
      <c r="AF169" s="48"/>
    </row>
    <row r="170" spans="1:32" x14ac:dyDescent="0.35">
      <c r="A170" s="70" t="s">
        <v>2352</v>
      </c>
      <c r="AF170" s="48"/>
    </row>
    <row r="171" spans="1:32" x14ac:dyDescent="0.35">
      <c r="A171" s="68" t="s">
        <v>2354</v>
      </c>
      <c r="AF171" s="48"/>
    </row>
    <row r="172" spans="1:32" x14ac:dyDescent="0.35">
      <c r="A172" s="70" t="s">
        <v>2356</v>
      </c>
      <c r="AF172" s="48"/>
    </row>
    <row r="173" spans="1:32" x14ac:dyDescent="0.35">
      <c r="A173" s="68" t="s">
        <v>2358</v>
      </c>
      <c r="AF173" s="48"/>
    </row>
    <row r="174" spans="1:32" x14ac:dyDescent="0.35">
      <c r="A174" s="70" t="s">
        <v>2360</v>
      </c>
      <c r="AF174" s="48"/>
    </row>
    <row r="175" spans="1:32" x14ac:dyDescent="0.35">
      <c r="A175" s="68" t="s">
        <v>2362</v>
      </c>
      <c r="AF175" s="48"/>
    </row>
    <row r="176" spans="1:32" x14ac:dyDescent="0.35">
      <c r="A176" s="70" t="s">
        <v>2364</v>
      </c>
      <c r="AF176" s="48"/>
    </row>
    <row r="177" spans="1:32" x14ac:dyDescent="0.35">
      <c r="A177" s="68" t="s">
        <v>2366</v>
      </c>
      <c r="AF177" s="48"/>
    </row>
    <row r="178" spans="1:32" x14ac:dyDescent="0.35">
      <c r="A178" s="70" t="s">
        <v>2368</v>
      </c>
      <c r="AF178" s="48"/>
    </row>
    <row r="179" spans="1:32" x14ac:dyDescent="0.35">
      <c r="A179" s="68" t="s">
        <v>2370</v>
      </c>
      <c r="AF179" s="48"/>
    </row>
    <row r="180" spans="1:32" x14ac:dyDescent="0.35">
      <c r="A180" s="70" t="s">
        <v>2372</v>
      </c>
      <c r="AF180" s="48"/>
    </row>
    <row r="181" spans="1:32" x14ac:dyDescent="0.35">
      <c r="A181" s="68" t="s">
        <v>2374</v>
      </c>
      <c r="AF181" s="48"/>
    </row>
    <row r="182" spans="1:32" x14ac:dyDescent="0.35">
      <c r="A182" s="70" t="s">
        <v>2376</v>
      </c>
      <c r="AF182" s="48"/>
    </row>
    <row r="183" spans="1:32" x14ac:dyDescent="0.35">
      <c r="A183" s="68" t="s">
        <v>2378</v>
      </c>
      <c r="AF183" s="48"/>
    </row>
    <row r="184" spans="1:32" x14ac:dyDescent="0.35">
      <c r="A184" s="70" t="s">
        <v>2380</v>
      </c>
      <c r="AF184" s="48"/>
    </row>
    <row r="185" spans="1:32" x14ac:dyDescent="0.35">
      <c r="A185" s="68" t="s">
        <v>2382</v>
      </c>
      <c r="AF185" s="48"/>
    </row>
    <row r="186" spans="1:32" x14ac:dyDescent="0.35">
      <c r="A186" s="70" t="s">
        <v>2384</v>
      </c>
      <c r="AF186" s="48"/>
    </row>
    <row r="187" spans="1:32" x14ac:dyDescent="0.35">
      <c r="A187" s="68" t="s">
        <v>2386</v>
      </c>
      <c r="AF187" s="48"/>
    </row>
    <row r="188" spans="1:32" x14ac:dyDescent="0.35">
      <c r="A188" s="70" t="s">
        <v>2388</v>
      </c>
      <c r="AF188" s="48"/>
    </row>
    <row r="189" spans="1:32" x14ac:dyDescent="0.35">
      <c r="A189" s="68" t="s">
        <v>2390</v>
      </c>
      <c r="AF189" s="48"/>
    </row>
    <row r="190" spans="1:32" x14ac:dyDescent="0.35">
      <c r="A190" s="70" t="s">
        <v>2392</v>
      </c>
      <c r="AF190" s="48"/>
    </row>
    <row r="191" spans="1:32" x14ac:dyDescent="0.35">
      <c r="A191" s="68" t="s">
        <v>2394</v>
      </c>
      <c r="AF191" s="48"/>
    </row>
    <row r="192" spans="1:32" x14ac:dyDescent="0.35">
      <c r="A192" s="70" t="s">
        <v>2396</v>
      </c>
      <c r="AF192" s="48"/>
    </row>
    <row r="193" spans="1:32" x14ac:dyDescent="0.35">
      <c r="A193" s="68" t="s">
        <v>2398</v>
      </c>
      <c r="AF193" s="48"/>
    </row>
    <row r="194" spans="1:32" x14ac:dyDescent="0.35">
      <c r="A194" s="70" t="s">
        <v>2400</v>
      </c>
      <c r="AF194" s="48"/>
    </row>
    <row r="195" spans="1:32" x14ac:dyDescent="0.35">
      <c r="A195" s="68" t="s">
        <v>2402</v>
      </c>
      <c r="AF195" s="48"/>
    </row>
    <row r="196" spans="1:32" x14ac:dyDescent="0.35">
      <c r="A196" s="70" t="s">
        <v>2404</v>
      </c>
      <c r="AF196" s="48"/>
    </row>
    <row r="197" spans="1:32" x14ac:dyDescent="0.35">
      <c r="A197" s="68" t="s">
        <v>2406</v>
      </c>
      <c r="AF197" s="48"/>
    </row>
    <row r="198" spans="1:32" x14ac:dyDescent="0.35">
      <c r="A198" s="70" t="s">
        <v>2408</v>
      </c>
      <c r="AF198" s="48"/>
    </row>
    <row r="199" spans="1:32" x14ac:dyDescent="0.35">
      <c r="A199" s="68" t="s">
        <v>2410</v>
      </c>
      <c r="AF199" s="48"/>
    </row>
    <row r="200" spans="1:32" x14ac:dyDescent="0.35">
      <c r="A200" s="70" t="s">
        <v>2412</v>
      </c>
      <c r="AF200" s="48"/>
    </row>
    <row r="201" spans="1:32" x14ac:dyDescent="0.35">
      <c r="A201" s="68" t="s">
        <v>2414</v>
      </c>
      <c r="AF201" s="48"/>
    </row>
    <row r="202" spans="1:32" x14ac:dyDescent="0.35">
      <c r="A202" s="70" t="s">
        <v>2416</v>
      </c>
      <c r="AF202" s="48"/>
    </row>
    <row r="203" spans="1:32" x14ac:dyDescent="0.35">
      <c r="A203" s="68" t="s">
        <v>2418</v>
      </c>
      <c r="AF203" s="48"/>
    </row>
    <row r="204" spans="1:32" x14ac:dyDescent="0.35">
      <c r="A204" s="70" t="s">
        <v>2420</v>
      </c>
      <c r="AF204" s="48"/>
    </row>
    <row r="205" spans="1:32" x14ac:dyDescent="0.35">
      <c r="A205" s="68" t="s">
        <v>2422</v>
      </c>
      <c r="AF205" s="48"/>
    </row>
    <row r="206" spans="1:32" x14ac:dyDescent="0.35">
      <c r="A206" s="70" t="s">
        <v>2424</v>
      </c>
      <c r="AF206" s="48"/>
    </row>
    <row r="207" spans="1:32" x14ac:dyDescent="0.35">
      <c r="A207" s="68" t="s">
        <v>2426</v>
      </c>
      <c r="AF207" s="48"/>
    </row>
    <row r="208" spans="1:32" x14ac:dyDescent="0.35">
      <c r="A208" s="70" t="s">
        <v>2428</v>
      </c>
      <c r="AF208" s="48"/>
    </row>
    <row r="209" spans="1:32" x14ac:dyDescent="0.35">
      <c r="A209" s="68" t="s">
        <v>2430</v>
      </c>
      <c r="AF209" s="48"/>
    </row>
    <row r="210" spans="1:32" x14ac:dyDescent="0.35">
      <c r="A210" s="70" t="s">
        <v>2432</v>
      </c>
      <c r="AF210" s="48"/>
    </row>
    <row r="211" spans="1:32" x14ac:dyDescent="0.35">
      <c r="A211" s="68" t="s">
        <v>2434</v>
      </c>
      <c r="AF211" s="48"/>
    </row>
    <row r="212" spans="1:32" x14ac:dyDescent="0.35">
      <c r="A212" s="70" t="s">
        <v>2436</v>
      </c>
      <c r="AF212" s="48"/>
    </row>
    <row r="213" spans="1:32" x14ac:dyDescent="0.35">
      <c r="A213" s="68" t="s">
        <v>2438</v>
      </c>
      <c r="AF213" s="48"/>
    </row>
    <row r="214" spans="1:32" x14ac:dyDescent="0.35">
      <c r="A214" s="70" t="s">
        <v>2440</v>
      </c>
      <c r="AF214" s="48"/>
    </row>
    <row r="215" spans="1:32" x14ac:dyDescent="0.35">
      <c r="A215" s="68" t="s">
        <v>2442</v>
      </c>
      <c r="AF215" s="48"/>
    </row>
    <row r="216" spans="1:32" x14ac:dyDescent="0.35">
      <c r="A216" s="70" t="s">
        <v>2444</v>
      </c>
      <c r="AF216" s="48"/>
    </row>
    <row r="217" spans="1:32" x14ac:dyDescent="0.35">
      <c r="A217" s="68" t="s">
        <v>2446</v>
      </c>
      <c r="AF217" s="48"/>
    </row>
    <row r="218" spans="1:32" x14ac:dyDescent="0.35">
      <c r="A218" s="70" t="s">
        <v>2448</v>
      </c>
      <c r="AF218" s="48"/>
    </row>
    <row r="219" spans="1:32" x14ac:dyDescent="0.35">
      <c r="A219" s="68" t="s">
        <v>2450</v>
      </c>
      <c r="AF219" s="48"/>
    </row>
    <row r="220" spans="1:32" x14ac:dyDescent="0.35">
      <c r="A220" s="70" t="s">
        <v>2452</v>
      </c>
      <c r="AF220" s="48"/>
    </row>
    <row r="221" spans="1:32" x14ac:dyDescent="0.35">
      <c r="A221" s="68" t="s">
        <v>2454</v>
      </c>
      <c r="AF221" s="48"/>
    </row>
    <row r="222" spans="1:32" x14ac:dyDescent="0.35">
      <c r="A222" s="70" t="s">
        <v>2456</v>
      </c>
      <c r="AF222" s="48"/>
    </row>
    <row r="223" spans="1:32" x14ac:dyDescent="0.35">
      <c r="A223" s="68" t="s">
        <v>2458</v>
      </c>
      <c r="AF223" s="48"/>
    </row>
    <row r="224" spans="1:32" x14ac:dyDescent="0.35">
      <c r="A224" s="70" t="s">
        <v>2460</v>
      </c>
      <c r="AF224" s="48"/>
    </row>
    <row r="225" spans="1:32" x14ac:dyDescent="0.35">
      <c r="A225" s="68" t="s">
        <v>2462</v>
      </c>
      <c r="AF225" s="48"/>
    </row>
    <row r="226" spans="1:32" x14ac:dyDescent="0.35">
      <c r="A226" s="70" t="s">
        <v>2464</v>
      </c>
      <c r="AF226" s="48"/>
    </row>
    <row r="227" spans="1:32" x14ac:dyDescent="0.35">
      <c r="A227" s="68" t="s">
        <v>2466</v>
      </c>
      <c r="AF227" s="48"/>
    </row>
    <row r="228" spans="1:32" x14ac:dyDescent="0.35">
      <c r="A228" s="70" t="s">
        <v>2468</v>
      </c>
      <c r="AF228" s="48"/>
    </row>
    <row r="229" spans="1:32" x14ac:dyDescent="0.35">
      <c r="A229" s="68" t="s">
        <v>2470</v>
      </c>
      <c r="AF229" s="48"/>
    </row>
    <row r="230" spans="1:32" x14ac:dyDescent="0.35">
      <c r="A230" s="70" t="s">
        <v>2472</v>
      </c>
      <c r="AF230" s="48"/>
    </row>
    <row r="231" spans="1:32" x14ac:dyDescent="0.35">
      <c r="A231" s="68" t="s">
        <v>2474</v>
      </c>
      <c r="AF231" s="48"/>
    </row>
    <row r="232" spans="1:32" x14ac:dyDescent="0.35">
      <c r="A232" s="70" t="s">
        <v>2476</v>
      </c>
      <c r="AF232" s="48"/>
    </row>
    <row r="233" spans="1:32" x14ac:dyDescent="0.35">
      <c r="A233" s="68" t="s">
        <v>2478</v>
      </c>
      <c r="AF233" s="48"/>
    </row>
    <row r="234" spans="1:32" x14ac:dyDescent="0.35">
      <c r="A234" s="70" t="s">
        <v>2480</v>
      </c>
      <c r="AF234" s="48"/>
    </row>
    <row r="235" spans="1:32" x14ac:dyDescent="0.35">
      <c r="A235" s="68" t="s">
        <v>2482</v>
      </c>
      <c r="AF235" s="48"/>
    </row>
    <row r="236" spans="1:32" x14ac:dyDescent="0.35">
      <c r="A236" s="70" t="s">
        <v>2484</v>
      </c>
      <c r="AF236" s="48"/>
    </row>
    <row r="237" spans="1:32" x14ac:dyDescent="0.35">
      <c r="A237" s="68" t="s">
        <v>2486</v>
      </c>
      <c r="AF237" s="48"/>
    </row>
    <row r="238" spans="1:32" x14ac:dyDescent="0.35">
      <c r="A238" s="70" t="s">
        <v>2488</v>
      </c>
      <c r="AF238" s="48"/>
    </row>
    <row r="239" spans="1:32" x14ac:dyDescent="0.35">
      <c r="A239" s="68" t="s">
        <v>2490</v>
      </c>
      <c r="AF239" s="48"/>
    </row>
    <row r="240" spans="1:32" x14ac:dyDescent="0.35">
      <c r="A240" s="70" t="s">
        <v>2492</v>
      </c>
      <c r="AF240" s="48"/>
    </row>
    <row r="241" spans="1:32" x14ac:dyDescent="0.35">
      <c r="A241" s="68" t="s">
        <v>2494</v>
      </c>
      <c r="AF241" s="48"/>
    </row>
    <row r="242" spans="1:32" x14ac:dyDescent="0.35">
      <c r="A242" s="70" t="s">
        <v>2496</v>
      </c>
      <c r="AF242" s="48"/>
    </row>
    <row r="243" spans="1:32" x14ac:dyDescent="0.35">
      <c r="A243" s="68" t="s">
        <v>2498</v>
      </c>
      <c r="AF243" s="48"/>
    </row>
    <row r="244" spans="1:32" x14ac:dyDescent="0.35">
      <c r="A244" s="70" t="s">
        <v>2500</v>
      </c>
      <c r="AF244" s="48"/>
    </row>
    <row r="245" spans="1:32" x14ac:dyDescent="0.35">
      <c r="A245" s="68" t="s">
        <v>2502</v>
      </c>
      <c r="AF245" s="48"/>
    </row>
    <row r="246" spans="1:32" x14ac:dyDescent="0.35">
      <c r="A246" s="70" t="s">
        <v>2504</v>
      </c>
      <c r="AF246" s="48"/>
    </row>
    <row r="247" spans="1:32" x14ac:dyDescent="0.35">
      <c r="A247" s="68" t="s">
        <v>2506</v>
      </c>
      <c r="AF247" s="48"/>
    </row>
    <row r="248" spans="1:32" x14ac:dyDescent="0.35">
      <c r="A248" s="70" t="s">
        <v>2508</v>
      </c>
      <c r="AF248" s="48"/>
    </row>
    <row r="249" spans="1:32" x14ac:dyDescent="0.35">
      <c r="A249" s="68" t="s">
        <v>2510</v>
      </c>
      <c r="AF249" s="48"/>
    </row>
    <row r="250" spans="1:32" x14ac:dyDescent="0.35">
      <c r="A250" s="70" t="s">
        <v>2512</v>
      </c>
      <c r="AF250" s="48"/>
    </row>
    <row r="251" spans="1:32" x14ac:dyDescent="0.35">
      <c r="A251" s="68" t="s">
        <v>2514</v>
      </c>
      <c r="AF251" s="48"/>
    </row>
    <row r="252" spans="1:32" x14ac:dyDescent="0.35">
      <c r="A252" s="70" t="s">
        <v>2516</v>
      </c>
      <c r="AF252" s="48"/>
    </row>
    <row r="253" spans="1:32" x14ac:dyDescent="0.35">
      <c r="A253" s="68" t="s">
        <v>2518</v>
      </c>
      <c r="AF253" s="48"/>
    </row>
    <row r="254" spans="1:32" x14ac:dyDescent="0.35">
      <c r="A254" s="70" t="s">
        <v>2520</v>
      </c>
      <c r="AF254" s="48"/>
    </row>
    <row r="255" spans="1:32" x14ac:dyDescent="0.35">
      <c r="A255" s="68" t="s">
        <v>2522</v>
      </c>
      <c r="AF255" s="48"/>
    </row>
    <row r="256" spans="1:32" x14ac:dyDescent="0.35">
      <c r="A256" s="70" t="s">
        <v>2524</v>
      </c>
      <c r="AF256" s="48"/>
    </row>
    <row r="257" spans="1:32" x14ac:dyDescent="0.35">
      <c r="A257" s="68" t="s">
        <v>2526</v>
      </c>
      <c r="AF257" s="48"/>
    </row>
    <row r="258" spans="1:32" x14ac:dyDescent="0.35">
      <c r="A258" s="70" t="s">
        <v>2528</v>
      </c>
      <c r="AF258" s="48"/>
    </row>
    <row r="259" spans="1:32" x14ac:dyDescent="0.35">
      <c r="A259" s="68" t="s">
        <v>2530</v>
      </c>
      <c r="AF259" s="48"/>
    </row>
    <row r="260" spans="1:32" x14ac:dyDescent="0.35">
      <c r="A260" s="70" t="s">
        <v>2532</v>
      </c>
      <c r="AF260" s="48"/>
    </row>
    <row r="261" spans="1:32" x14ac:dyDescent="0.35">
      <c r="A261" s="68" t="s">
        <v>2534</v>
      </c>
      <c r="AF261" s="48"/>
    </row>
    <row r="262" spans="1:32" x14ac:dyDescent="0.35">
      <c r="A262" s="70" t="s">
        <v>2536</v>
      </c>
      <c r="AF262" s="48"/>
    </row>
    <row r="263" spans="1:32" x14ac:dyDescent="0.35">
      <c r="A263" s="68" t="s">
        <v>2538</v>
      </c>
      <c r="AF263" s="48"/>
    </row>
    <row r="264" spans="1:32" x14ac:dyDescent="0.35">
      <c r="A264" s="70" t="s">
        <v>2540</v>
      </c>
      <c r="AF264" s="48"/>
    </row>
    <row r="265" spans="1:32" x14ac:dyDescent="0.35">
      <c r="A265" s="68" t="s">
        <v>2542</v>
      </c>
      <c r="AF265" s="48"/>
    </row>
    <row r="266" spans="1:32" x14ac:dyDescent="0.35">
      <c r="A266" s="70" t="s">
        <v>2544</v>
      </c>
      <c r="AF266" s="48"/>
    </row>
    <row r="267" spans="1:32" x14ac:dyDescent="0.35">
      <c r="A267" s="68" t="s">
        <v>2546</v>
      </c>
      <c r="AF267" s="48"/>
    </row>
    <row r="268" spans="1:32" x14ac:dyDescent="0.35">
      <c r="A268" s="70" t="s">
        <v>2548</v>
      </c>
      <c r="AF268" s="48"/>
    </row>
    <row r="269" spans="1:32" x14ac:dyDescent="0.35">
      <c r="A269" s="68" t="s">
        <v>2550</v>
      </c>
      <c r="AF269" s="48"/>
    </row>
    <row r="270" spans="1:32" x14ac:dyDescent="0.35">
      <c r="A270" s="70" t="s">
        <v>2552</v>
      </c>
      <c r="AF270" s="48"/>
    </row>
    <row r="271" spans="1:32" x14ac:dyDescent="0.35">
      <c r="A271" s="68" t="s">
        <v>2554</v>
      </c>
      <c r="AF271" s="48"/>
    </row>
    <row r="272" spans="1:32" x14ac:dyDescent="0.35">
      <c r="A272" s="70" t="s">
        <v>2556</v>
      </c>
      <c r="AF272" s="48"/>
    </row>
    <row r="273" spans="1:32" x14ac:dyDescent="0.35">
      <c r="A273" s="68" t="s">
        <v>2558</v>
      </c>
      <c r="AF273" s="48"/>
    </row>
    <row r="274" spans="1:32" x14ac:dyDescent="0.35">
      <c r="A274" s="70" t="s">
        <v>2560</v>
      </c>
      <c r="AF274" s="48"/>
    </row>
    <row r="275" spans="1:32" x14ac:dyDescent="0.35">
      <c r="A275" s="68" t="s">
        <v>2562</v>
      </c>
      <c r="AF275" s="48"/>
    </row>
    <row r="276" spans="1:32" x14ac:dyDescent="0.35">
      <c r="A276" s="70" t="s">
        <v>2564</v>
      </c>
      <c r="AF276" s="48"/>
    </row>
    <row r="277" spans="1:32" x14ac:dyDescent="0.35">
      <c r="A277" s="68" t="s">
        <v>2566</v>
      </c>
      <c r="AF277" s="48"/>
    </row>
    <row r="278" spans="1:32" x14ac:dyDescent="0.35">
      <c r="A278" s="70" t="s">
        <v>2568</v>
      </c>
      <c r="AF278" s="48"/>
    </row>
    <row r="279" spans="1:32" x14ac:dyDescent="0.35">
      <c r="A279" s="68" t="s">
        <v>2570</v>
      </c>
      <c r="AF279" s="48"/>
    </row>
    <row r="280" spans="1:32" x14ac:dyDescent="0.35">
      <c r="A280" s="70" t="s">
        <v>2572</v>
      </c>
      <c r="AF280" s="48"/>
    </row>
    <row r="281" spans="1:32" x14ac:dyDescent="0.35">
      <c r="A281" s="68" t="s">
        <v>2574</v>
      </c>
      <c r="AF281" s="48"/>
    </row>
    <row r="282" spans="1:32" x14ac:dyDescent="0.35">
      <c r="A282" s="70" t="s">
        <v>2576</v>
      </c>
      <c r="AF282" s="48"/>
    </row>
    <row r="283" spans="1:32" x14ac:dyDescent="0.35">
      <c r="A283" s="68" t="s">
        <v>2578</v>
      </c>
      <c r="AF283" s="48"/>
    </row>
    <row r="284" spans="1:32" x14ac:dyDescent="0.35">
      <c r="A284" s="70" t="s">
        <v>2580</v>
      </c>
      <c r="AF284" s="48"/>
    </row>
    <row r="285" spans="1:32" x14ac:dyDescent="0.35">
      <c r="A285" s="68" t="s">
        <v>2582</v>
      </c>
      <c r="AF285" s="48"/>
    </row>
    <row r="286" spans="1:32" x14ac:dyDescent="0.35">
      <c r="A286" s="70" t="s">
        <v>2584</v>
      </c>
      <c r="AF286" s="48"/>
    </row>
    <row r="287" spans="1:32" x14ac:dyDescent="0.35">
      <c r="A287" s="68" t="s">
        <v>2586</v>
      </c>
      <c r="AF287" s="48"/>
    </row>
    <row r="288" spans="1:32" x14ac:dyDescent="0.35">
      <c r="A288" s="70" t="s">
        <v>2588</v>
      </c>
      <c r="AF288" s="48"/>
    </row>
    <row r="289" spans="1:32" x14ac:dyDescent="0.35">
      <c r="A289" s="68" t="s">
        <v>2590</v>
      </c>
      <c r="AF289" s="48"/>
    </row>
    <row r="290" spans="1:32" x14ac:dyDescent="0.35">
      <c r="A290" s="70" t="s">
        <v>2592</v>
      </c>
      <c r="AF290" s="48"/>
    </row>
    <row r="291" spans="1:32" x14ac:dyDescent="0.35">
      <c r="A291" s="68" t="s">
        <v>2594</v>
      </c>
      <c r="AF291" s="48"/>
    </row>
    <row r="292" spans="1:32" x14ac:dyDescent="0.35">
      <c r="A292" s="70" t="s">
        <v>2596</v>
      </c>
      <c r="AF292" s="48"/>
    </row>
    <row r="293" spans="1:32" x14ac:dyDescent="0.35">
      <c r="A293" s="68" t="s">
        <v>2598</v>
      </c>
      <c r="AF293" s="48"/>
    </row>
    <row r="294" spans="1:32" x14ac:dyDescent="0.35">
      <c r="A294" s="70" t="s">
        <v>2600</v>
      </c>
      <c r="AF294" s="48"/>
    </row>
    <row r="295" spans="1:32" x14ac:dyDescent="0.35">
      <c r="A295" s="68" t="s">
        <v>2602</v>
      </c>
      <c r="AF295" s="48"/>
    </row>
    <row r="296" spans="1:32" x14ac:dyDescent="0.35">
      <c r="A296" s="70" t="s">
        <v>2604</v>
      </c>
      <c r="AF296" s="48"/>
    </row>
    <row r="297" spans="1:32" x14ac:dyDescent="0.35">
      <c r="A297" s="68" t="s">
        <v>2606</v>
      </c>
      <c r="AF297" s="48"/>
    </row>
    <row r="298" spans="1:32" x14ac:dyDescent="0.35">
      <c r="A298" s="70" t="s">
        <v>2608</v>
      </c>
      <c r="AF298" s="48"/>
    </row>
    <row r="299" spans="1:32" x14ac:dyDescent="0.35">
      <c r="A299" s="68" t="s">
        <v>2610</v>
      </c>
      <c r="AF299" s="48"/>
    </row>
    <row r="300" spans="1:32" x14ac:dyDescent="0.35">
      <c r="A300" s="70" t="s">
        <v>2612</v>
      </c>
      <c r="AF300" s="48"/>
    </row>
    <row r="301" spans="1:32" x14ac:dyDescent="0.35">
      <c r="A301" s="68" t="s">
        <v>2614</v>
      </c>
      <c r="AF301" s="48"/>
    </row>
    <row r="302" spans="1:32" x14ac:dyDescent="0.35">
      <c r="A302" s="70" t="s">
        <v>2616</v>
      </c>
      <c r="AF302" s="48"/>
    </row>
    <row r="303" spans="1:32" x14ac:dyDescent="0.35">
      <c r="A303" s="68" t="s">
        <v>2618</v>
      </c>
      <c r="AF303" s="48"/>
    </row>
    <row r="304" spans="1:32" x14ac:dyDescent="0.35">
      <c r="A304" s="70" t="s">
        <v>2620</v>
      </c>
      <c r="AF304" s="48"/>
    </row>
    <row r="305" spans="1:32" x14ac:dyDescent="0.35">
      <c r="A305" s="68" t="s">
        <v>2622</v>
      </c>
      <c r="AF305" s="48"/>
    </row>
    <row r="306" spans="1:32" x14ac:dyDescent="0.35">
      <c r="A306" s="70" t="s">
        <v>2624</v>
      </c>
      <c r="AF306" s="48"/>
    </row>
    <row r="307" spans="1:32" x14ac:dyDescent="0.35">
      <c r="A307" s="68" t="s">
        <v>2626</v>
      </c>
      <c r="AF307" s="48"/>
    </row>
    <row r="308" spans="1:32" x14ac:dyDescent="0.35">
      <c r="A308" s="70" t="s">
        <v>2628</v>
      </c>
      <c r="AF308" s="48"/>
    </row>
    <row r="309" spans="1:32" x14ac:dyDescent="0.35">
      <c r="A309" s="68" t="s">
        <v>2630</v>
      </c>
      <c r="AF309" s="48"/>
    </row>
    <row r="310" spans="1:32" x14ac:dyDescent="0.35">
      <c r="A310" s="70" t="s">
        <v>2632</v>
      </c>
      <c r="AF310" s="48"/>
    </row>
    <row r="311" spans="1:32" x14ac:dyDescent="0.35">
      <c r="A311" s="68" t="s">
        <v>2634</v>
      </c>
      <c r="AF311" s="48"/>
    </row>
    <row r="312" spans="1:32" x14ac:dyDescent="0.35">
      <c r="A312" s="70" t="s">
        <v>2636</v>
      </c>
      <c r="AF312" s="48"/>
    </row>
    <row r="313" spans="1:32" x14ac:dyDescent="0.35">
      <c r="A313" s="68" t="s">
        <v>2638</v>
      </c>
      <c r="AF313" s="48"/>
    </row>
    <row r="314" spans="1:32" x14ac:dyDescent="0.35">
      <c r="A314" s="70" t="s">
        <v>2640</v>
      </c>
      <c r="AF314" s="48"/>
    </row>
    <row r="315" spans="1:32" x14ac:dyDescent="0.35">
      <c r="A315" s="68" t="s">
        <v>2642</v>
      </c>
      <c r="AF315" s="48"/>
    </row>
    <row r="316" spans="1:32" x14ac:dyDescent="0.35">
      <c r="A316" s="70" t="s">
        <v>2644</v>
      </c>
      <c r="AF316" s="48"/>
    </row>
    <row r="317" spans="1:32" x14ac:dyDescent="0.35">
      <c r="A317" s="68" t="s">
        <v>2646</v>
      </c>
      <c r="AF317" s="48"/>
    </row>
    <row r="318" spans="1:32" x14ac:dyDescent="0.35">
      <c r="A318" s="70" t="s">
        <v>2648</v>
      </c>
      <c r="AF318" s="48"/>
    </row>
    <row r="319" spans="1:32" x14ac:dyDescent="0.35">
      <c r="A319" s="68" t="s">
        <v>2650</v>
      </c>
      <c r="AF319" s="48"/>
    </row>
    <row r="320" spans="1:32" x14ac:dyDescent="0.35">
      <c r="A320" s="70" t="s">
        <v>2652</v>
      </c>
      <c r="AF320" s="48"/>
    </row>
    <row r="321" spans="1:32" x14ac:dyDescent="0.35">
      <c r="A321" s="68" t="s">
        <v>2654</v>
      </c>
      <c r="AF321" s="48"/>
    </row>
    <row r="322" spans="1:32" x14ac:dyDescent="0.35">
      <c r="A322" s="70" t="s">
        <v>2656</v>
      </c>
      <c r="AF322" s="48"/>
    </row>
    <row r="323" spans="1:32" x14ac:dyDescent="0.35">
      <c r="A323" s="68" t="s">
        <v>2658</v>
      </c>
      <c r="AF323" s="48"/>
    </row>
    <row r="324" spans="1:32" x14ac:dyDescent="0.35">
      <c r="A324" s="70" t="s">
        <v>2660</v>
      </c>
      <c r="AF324" s="48"/>
    </row>
    <row r="325" spans="1:32" x14ac:dyDescent="0.35">
      <c r="A325" s="68" t="s">
        <v>2662</v>
      </c>
      <c r="AF325" s="48"/>
    </row>
    <row r="326" spans="1:32" x14ac:dyDescent="0.35">
      <c r="A326" s="70" t="s">
        <v>2664</v>
      </c>
      <c r="AF326" s="48"/>
    </row>
    <row r="327" spans="1:32" x14ac:dyDescent="0.35">
      <c r="A327" s="68" t="s">
        <v>2666</v>
      </c>
      <c r="AF327" s="48"/>
    </row>
    <row r="328" spans="1:32" x14ac:dyDescent="0.35">
      <c r="A328" s="70" t="s">
        <v>2668</v>
      </c>
      <c r="AF328" s="48"/>
    </row>
    <row r="329" spans="1:32" x14ac:dyDescent="0.35">
      <c r="A329" s="68" t="s">
        <v>2670</v>
      </c>
      <c r="AF329" s="48"/>
    </row>
    <row r="330" spans="1:32" x14ac:dyDescent="0.35">
      <c r="A330" s="70" t="s">
        <v>2672</v>
      </c>
      <c r="AF330" s="48"/>
    </row>
    <row r="331" spans="1:32" x14ac:dyDescent="0.35">
      <c r="A331" s="68" t="s">
        <v>2674</v>
      </c>
      <c r="AF331" s="48"/>
    </row>
    <row r="332" spans="1:32" x14ac:dyDescent="0.35">
      <c r="A332" s="70" t="s">
        <v>2676</v>
      </c>
      <c r="AF332" s="48"/>
    </row>
    <row r="333" spans="1:32" x14ac:dyDescent="0.35">
      <c r="A333" s="68" t="s">
        <v>2678</v>
      </c>
      <c r="AF333" s="48"/>
    </row>
    <row r="334" spans="1:32" x14ac:dyDescent="0.35">
      <c r="A334" s="70" t="s">
        <v>2680</v>
      </c>
      <c r="AF334" s="48"/>
    </row>
    <row r="335" spans="1:32" x14ac:dyDescent="0.35">
      <c r="A335" s="68" t="s">
        <v>2682</v>
      </c>
      <c r="AF335" s="48"/>
    </row>
    <row r="336" spans="1:32" x14ac:dyDescent="0.35">
      <c r="A336" s="70" t="s">
        <v>2684</v>
      </c>
      <c r="AF336" s="48"/>
    </row>
    <row r="337" spans="1:32" x14ac:dyDescent="0.35">
      <c r="A337" s="68" t="s">
        <v>2686</v>
      </c>
      <c r="AF337" s="48"/>
    </row>
    <row r="338" spans="1:32" x14ac:dyDescent="0.35">
      <c r="A338" s="70" t="s">
        <v>2688</v>
      </c>
      <c r="AF338" s="48"/>
    </row>
    <row r="339" spans="1:32" x14ac:dyDescent="0.35">
      <c r="A339" s="68" t="s">
        <v>2690</v>
      </c>
      <c r="AF339" s="48"/>
    </row>
    <row r="340" spans="1:32" x14ac:dyDescent="0.35">
      <c r="A340" s="70" t="s">
        <v>2692</v>
      </c>
      <c r="AF340" s="48"/>
    </row>
    <row r="341" spans="1:32" x14ac:dyDescent="0.35">
      <c r="A341" s="68" t="s">
        <v>2694</v>
      </c>
      <c r="AF341" s="48"/>
    </row>
    <row r="342" spans="1:32" x14ac:dyDescent="0.35">
      <c r="A342" s="70" t="s">
        <v>2696</v>
      </c>
      <c r="AF342" s="48"/>
    </row>
    <row r="343" spans="1:32" x14ac:dyDescent="0.35">
      <c r="A343" s="68" t="s">
        <v>2698</v>
      </c>
      <c r="AF343" s="48"/>
    </row>
    <row r="344" spans="1:32" x14ac:dyDescent="0.35">
      <c r="A344" s="70" t="s">
        <v>2700</v>
      </c>
      <c r="AF344" s="48"/>
    </row>
    <row r="345" spans="1:32" x14ac:dyDescent="0.35">
      <c r="A345" s="68" t="s">
        <v>2702</v>
      </c>
      <c r="AF345" s="48"/>
    </row>
    <row r="346" spans="1:32" x14ac:dyDescent="0.35">
      <c r="A346" s="70" t="s">
        <v>2704</v>
      </c>
      <c r="AF346" s="48"/>
    </row>
    <row r="347" spans="1:32" x14ac:dyDescent="0.35">
      <c r="A347" s="68" t="s">
        <v>2706</v>
      </c>
      <c r="AF347" s="48"/>
    </row>
    <row r="348" spans="1:32" x14ac:dyDescent="0.35">
      <c r="A348" s="70" t="s">
        <v>2708</v>
      </c>
      <c r="AF348" s="48"/>
    </row>
    <row r="349" spans="1:32" x14ac:dyDescent="0.35">
      <c r="A349" s="68" t="s">
        <v>2710</v>
      </c>
      <c r="AF349" s="48"/>
    </row>
    <row r="350" spans="1:32" x14ac:dyDescent="0.35">
      <c r="A350" s="70" t="s">
        <v>2712</v>
      </c>
      <c r="AF350" s="48"/>
    </row>
    <row r="351" spans="1:32" x14ac:dyDescent="0.35">
      <c r="A351" s="68" t="s">
        <v>2714</v>
      </c>
      <c r="AF351" s="48"/>
    </row>
    <row r="352" spans="1:32" x14ac:dyDescent="0.35">
      <c r="A352" s="70" t="s">
        <v>2716</v>
      </c>
      <c r="AF352" s="48"/>
    </row>
    <row r="353" spans="1:32" x14ac:dyDescent="0.35">
      <c r="A353" s="68" t="s">
        <v>2718</v>
      </c>
      <c r="AF353" s="48"/>
    </row>
    <row r="354" spans="1:32" x14ac:dyDescent="0.35">
      <c r="A354" s="70" t="s">
        <v>2720</v>
      </c>
      <c r="AF354" s="48"/>
    </row>
    <row r="355" spans="1:32" x14ac:dyDescent="0.35">
      <c r="A355" s="68" t="s">
        <v>2722</v>
      </c>
      <c r="AF355" s="48"/>
    </row>
    <row r="356" spans="1:32" x14ac:dyDescent="0.35">
      <c r="A356" s="70" t="s">
        <v>2724</v>
      </c>
      <c r="AF356" s="48"/>
    </row>
    <row r="357" spans="1:32" x14ac:dyDescent="0.35">
      <c r="A357" s="68" t="s">
        <v>2726</v>
      </c>
      <c r="AF357" s="48"/>
    </row>
    <row r="358" spans="1:32" x14ac:dyDescent="0.35">
      <c r="A358" s="70" t="s">
        <v>2728</v>
      </c>
      <c r="AF358" s="48"/>
    </row>
    <row r="359" spans="1:32" x14ac:dyDescent="0.35">
      <c r="A359" s="68" t="s">
        <v>2730</v>
      </c>
      <c r="AF359" s="48"/>
    </row>
    <row r="360" spans="1:32" x14ac:dyDescent="0.35">
      <c r="A360" s="70" t="s">
        <v>2732</v>
      </c>
      <c r="AF360" s="48"/>
    </row>
    <row r="361" spans="1:32" x14ac:dyDescent="0.35">
      <c r="A361" s="68" t="s">
        <v>2734</v>
      </c>
      <c r="AF361" s="48"/>
    </row>
    <row r="362" spans="1:32" x14ac:dyDescent="0.35">
      <c r="A362" s="70" t="s">
        <v>2736</v>
      </c>
      <c r="AF362" s="48"/>
    </row>
    <row r="363" spans="1:32" x14ac:dyDescent="0.35">
      <c r="A363" s="68" t="s">
        <v>2738</v>
      </c>
      <c r="AF363" s="48"/>
    </row>
    <row r="364" spans="1:32" x14ac:dyDescent="0.35">
      <c r="A364" s="70" t="s">
        <v>2740</v>
      </c>
      <c r="AF364" s="48"/>
    </row>
    <row r="365" spans="1:32" x14ac:dyDescent="0.35">
      <c r="A365" s="68" t="s">
        <v>2742</v>
      </c>
      <c r="AF365" s="48"/>
    </row>
    <row r="366" spans="1:32" x14ac:dyDescent="0.35">
      <c r="A366" s="70" t="s">
        <v>2744</v>
      </c>
      <c r="AF366" s="48"/>
    </row>
    <row r="367" spans="1:32" x14ac:dyDescent="0.35">
      <c r="A367" s="68" t="s">
        <v>2746</v>
      </c>
      <c r="AF367" s="48"/>
    </row>
    <row r="368" spans="1:32" x14ac:dyDescent="0.35">
      <c r="A368" s="70" t="s">
        <v>2748</v>
      </c>
      <c r="AF368" s="48"/>
    </row>
    <row r="369" spans="1:32" x14ac:dyDescent="0.35">
      <c r="A369" s="68" t="s">
        <v>2750</v>
      </c>
      <c r="AF369" s="48"/>
    </row>
    <row r="370" spans="1:32" x14ac:dyDescent="0.35">
      <c r="A370" s="70" t="s">
        <v>2752</v>
      </c>
      <c r="AF370" s="48"/>
    </row>
    <row r="371" spans="1:32" x14ac:dyDescent="0.35">
      <c r="A371" s="68" t="s">
        <v>2754</v>
      </c>
      <c r="AF371" s="48"/>
    </row>
    <row r="372" spans="1:32" x14ac:dyDescent="0.35">
      <c r="A372" s="70" t="s">
        <v>2756</v>
      </c>
      <c r="AF372" s="48"/>
    </row>
    <row r="373" spans="1:32" x14ac:dyDescent="0.35">
      <c r="A373" s="68" t="s">
        <v>2758</v>
      </c>
      <c r="AF373" s="48"/>
    </row>
    <row r="374" spans="1:32" x14ac:dyDescent="0.35">
      <c r="A374" s="70" t="s">
        <v>2760</v>
      </c>
      <c r="AF374" s="48"/>
    </row>
    <row r="375" spans="1:32" x14ac:dyDescent="0.35">
      <c r="A375" s="68" t="s">
        <v>2762</v>
      </c>
      <c r="AF375" s="48"/>
    </row>
    <row r="376" spans="1:32" x14ac:dyDescent="0.35">
      <c r="A376" s="70" t="s">
        <v>2764</v>
      </c>
      <c r="AF376" s="48"/>
    </row>
    <row r="377" spans="1:32" x14ac:dyDescent="0.35">
      <c r="A377" s="68" t="s">
        <v>2766</v>
      </c>
      <c r="AF377" s="48"/>
    </row>
    <row r="378" spans="1:32" x14ac:dyDescent="0.35">
      <c r="A378" s="70" t="s">
        <v>2768</v>
      </c>
      <c r="AF378" s="48"/>
    </row>
    <row r="379" spans="1:32" x14ac:dyDescent="0.35">
      <c r="A379" s="68" t="s">
        <v>2770</v>
      </c>
      <c r="AF379" s="48"/>
    </row>
    <row r="380" spans="1:32" x14ac:dyDescent="0.35">
      <c r="A380" s="70" t="s">
        <v>2772</v>
      </c>
      <c r="AF380" s="48"/>
    </row>
    <row r="381" spans="1:32" x14ac:dyDescent="0.35">
      <c r="A381" s="68" t="s">
        <v>2774</v>
      </c>
      <c r="AF381" s="48"/>
    </row>
    <row r="382" spans="1:32" x14ac:dyDescent="0.35">
      <c r="A382" s="70" t="s">
        <v>2776</v>
      </c>
      <c r="AF382" s="48"/>
    </row>
    <row r="383" spans="1:32" x14ac:dyDescent="0.35">
      <c r="A383" s="68" t="s">
        <v>2778</v>
      </c>
      <c r="AF383" s="48"/>
    </row>
    <row r="384" spans="1:32" x14ac:dyDescent="0.35">
      <c r="A384" s="70" t="s">
        <v>2780</v>
      </c>
      <c r="AF384" s="48"/>
    </row>
    <row r="385" spans="1:32" x14ac:dyDescent="0.35">
      <c r="A385" s="68" t="s">
        <v>2782</v>
      </c>
      <c r="AF385" s="48"/>
    </row>
    <row r="386" spans="1:32" x14ac:dyDescent="0.35">
      <c r="A386" s="70" t="s">
        <v>2784</v>
      </c>
      <c r="AF386" s="48"/>
    </row>
    <row r="387" spans="1:32" x14ac:dyDescent="0.35">
      <c r="A387" s="68" t="s">
        <v>2786</v>
      </c>
      <c r="AF387" s="48"/>
    </row>
    <row r="388" spans="1:32" x14ac:dyDescent="0.35">
      <c r="A388" s="70" t="s">
        <v>2788</v>
      </c>
      <c r="AF388" s="48"/>
    </row>
    <row r="389" spans="1:32" x14ac:dyDescent="0.35">
      <c r="A389" s="68" t="s">
        <v>2790</v>
      </c>
      <c r="AF389" s="48"/>
    </row>
    <row r="390" spans="1:32" x14ac:dyDescent="0.35">
      <c r="A390" s="70" t="s">
        <v>2792</v>
      </c>
      <c r="AF390" s="48"/>
    </row>
    <row r="391" spans="1:32" x14ac:dyDescent="0.35">
      <c r="A391" s="68" t="s">
        <v>2794</v>
      </c>
      <c r="AF391" s="48"/>
    </row>
    <row r="392" spans="1:32" x14ac:dyDescent="0.35">
      <c r="A392" s="70" t="s">
        <v>2796</v>
      </c>
      <c r="AF392" s="48"/>
    </row>
    <row r="393" spans="1:32" x14ac:dyDescent="0.35">
      <c r="A393" s="68" t="s">
        <v>2798</v>
      </c>
      <c r="AF393" s="48"/>
    </row>
    <row r="394" spans="1:32" x14ac:dyDescent="0.35">
      <c r="A394" s="70" t="s">
        <v>2800</v>
      </c>
      <c r="AF394" s="48"/>
    </row>
    <row r="395" spans="1:32" x14ac:dyDescent="0.35">
      <c r="A395" s="68" t="s">
        <v>2802</v>
      </c>
      <c r="AF395" s="48"/>
    </row>
    <row r="396" spans="1:32" x14ac:dyDescent="0.35">
      <c r="A396" s="70" t="s">
        <v>2804</v>
      </c>
      <c r="AF396" s="48"/>
    </row>
    <row r="397" spans="1:32" x14ac:dyDescent="0.35">
      <c r="A397" s="68" t="s">
        <v>2806</v>
      </c>
      <c r="AF397" s="48"/>
    </row>
    <row r="398" spans="1:32" x14ac:dyDescent="0.35">
      <c r="A398" s="57" t="s">
        <v>2808</v>
      </c>
      <c r="AF398" s="48"/>
    </row>
    <row r="399" spans="1:32" x14ac:dyDescent="0.35">
      <c r="A399" s="71" t="s">
        <v>2810</v>
      </c>
      <c r="AF399" s="48"/>
    </row>
    <row r="400" spans="1:32" x14ac:dyDescent="0.35">
      <c r="A400" s="70" t="s">
        <v>2812</v>
      </c>
      <c r="AF400" s="48"/>
    </row>
    <row r="401" spans="1:32" x14ac:dyDescent="0.35">
      <c r="A401" s="68" t="s">
        <v>2814</v>
      </c>
      <c r="AF401" s="48"/>
    </row>
    <row r="402" spans="1:32" x14ac:dyDescent="0.35">
      <c r="A402" s="70" t="s">
        <v>2816</v>
      </c>
      <c r="AF402" s="48"/>
    </row>
    <row r="403" spans="1:32" x14ac:dyDescent="0.35">
      <c r="A403" s="68" t="s">
        <v>2818</v>
      </c>
      <c r="AF403" s="48"/>
    </row>
    <row r="404" spans="1:32" x14ac:dyDescent="0.35">
      <c r="A404" s="70" t="s">
        <v>2820</v>
      </c>
      <c r="AF404" s="48"/>
    </row>
    <row r="405" spans="1:32" x14ac:dyDescent="0.35">
      <c r="A405" s="68" t="s">
        <v>2822</v>
      </c>
      <c r="AF405" s="48"/>
    </row>
    <row r="406" spans="1:32" x14ac:dyDescent="0.35">
      <c r="A406" s="70" t="s">
        <v>2824</v>
      </c>
      <c r="AF406" s="48"/>
    </row>
    <row r="407" spans="1:32" x14ac:dyDescent="0.35">
      <c r="A407" s="68" t="s">
        <v>2826</v>
      </c>
      <c r="AF407" s="48"/>
    </row>
    <row r="408" spans="1:32" x14ac:dyDescent="0.35">
      <c r="A408" s="70" t="s">
        <v>2828</v>
      </c>
      <c r="AF408" s="48"/>
    </row>
    <row r="409" spans="1:32" x14ac:dyDescent="0.35">
      <c r="A409" s="68" t="s">
        <v>2830</v>
      </c>
      <c r="AF409" s="48"/>
    </row>
    <row r="410" spans="1:32" x14ac:dyDescent="0.35">
      <c r="A410" s="70" t="s">
        <v>2832</v>
      </c>
      <c r="AF410" s="48"/>
    </row>
    <row r="411" spans="1:32" x14ac:dyDescent="0.35">
      <c r="A411" s="68" t="s">
        <v>2834</v>
      </c>
      <c r="AF411" s="48"/>
    </row>
    <row r="412" spans="1:32" x14ac:dyDescent="0.35">
      <c r="A412" s="70" t="s">
        <v>2836</v>
      </c>
      <c r="AF412" s="48"/>
    </row>
    <row r="413" spans="1:32" x14ac:dyDescent="0.35">
      <c r="A413" s="68" t="s">
        <v>2838</v>
      </c>
      <c r="AF413" s="48"/>
    </row>
    <row r="414" spans="1:32" x14ac:dyDescent="0.35">
      <c r="A414" s="70" t="s">
        <v>2840</v>
      </c>
      <c r="AF414" s="48"/>
    </row>
    <row r="415" spans="1:32" x14ac:dyDescent="0.35">
      <c r="A415" s="68" t="s">
        <v>2842</v>
      </c>
      <c r="AF415" s="48"/>
    </row>
    <row r="416" spans="1:32" x14ac:dyDescent="0.35">
      <c r="A416" s="70" t="s">
        <v>2844</v>
      </c>
      <c r="AF416" s="48"/>
    </row>
    <row r="417" spans="1:32" x14ac:dyDescent="0.35">
      <c r="A417" s="68" t="s">
        <v>2846</v>
      </c>
      <c r="AF417" s="48"/>
    </row>
    <row r="418" spans="1:32" x14ac:dyDescent="0.35">
      <c r="A418" s="70" t="s">
        <v>2848</v>
      </c>
      <c r="AF418" s="48"/>
    </row>
    <row r="419" spans="1:32" x14ac:dyDescent="0.35">
      <c r="A419" s="68" t="s">
        <v>2850</v>
      </c>
      <c r="AF419" s="48"/>
    </row>
    <row r="420" spans="1:32" x14ac:dyDescent="0.35">
      <c r="A420" s="70" t="s">
        <v>2852</v>
      </c>
      <c r="AF420" s="48"/>
    </row>
    <row r="421" spans="1:32" x14ac:dyDescent="0.35">
      <c r="A421" s="68" t="s">
        <v>2854</v>
      </c>
      <c r="AF421" s="48"/>
    </row>
    <row r="422" spans="1:32" x14ac:dyDescent="0.35">
      <c r="A422" s="70" t="s">
        <v>2856</v>
      </c>
      <c r="AF422" s="48"/>
    </row>
    <row r="423" spans="1:32" x14ac:dyDescent="0.35">
      <c r="A423" s="68" t="s">
        <v>2858</v>
      </c>
      <c r="AF423" s="48"/>
    </row>
    <row r="424" spans="1:32" x14ac:dyDescent="0.35">
      <c r="A424" s="70" t="s">
        <v>2860</v>
      </c>
      <c r="AF424" s="48"/>
    </row>
    <row r="425" spans="1:32" x14ac:dyDescent="0.35">
      <c r="A425" s="68" t="s">
        <v>2862</v>
      </c>
      <c r="AF425" s="48"/>
    </row>
    <row r="426" spans="1:32" x14ac:dyDescent="0.35">
      <c r="A426" s="70" t="s">
        <v>2864</v>
      </c>
      <c r="AF426" s="48"/>
    </row>
    <row r="427" spans="1:32" x14ac:dyDescent="0.35">
      <c r="A427" s="68" t="s">
        <v>2866</v>
      </c>
      <c r="AF427" s="48"/>
    </row>
    <row r="428" spans="1:32" x14ac:dyDescent="0.35">
      <c r="A428" s="70" t="s">
        <v>2868</v>
      </c>
      <c r="AF428" s="48"/>
    </row>
    <row r="429" spans="1:32" x14ac:dyDescent="0.35">
      <c r="A429" s="68" t="s">
        <v>2870</v>
      </c>
      <c r="AF429" s="48"/>
    </row>
    <row r="430" spans="1:32" x14ac:dyDescent="0.35">
      <c r="A430" s="70" t="s">
        <v>2872</v>
      </c>
      <c r="AF430" s="48"/>
    </row>
    <row r="431" spans="1:32" x14ac:dyDescent="0.35">
      <c r="A431" s="68" t="s">
        <v>2874</v>
      </c>
      <c r="AF431" s="48"/>
    </row>
    <row r="432" spans="1:32" x14ac:dyDescent="0.35">
      <c r="A432" s="70" t="s">
        <v>2876</v>
      </c>
      <c r="AF432" s="48"/>
    </row>
    <row r="433" spans="1:32" x14ac:dyDescent="0.35">
      <c r="A433" s="68" t="s">
        <v>2878</v>
      </c>
      <c r="AF433" s="48"/>
    </row>
    <row r="434" spans="1:32" x14ac:dyDescent="0.35">
      <c r="A434" s="70" t="s">
        <v>2880</v>
      </c>
      <c r="AF434" s="48"/>
    </row>
    <row r="435" spans="1:32" x14ac:dyDescent="0.35">
      <c r="A435" s="68" t="s">
        <v>2882</v>
      </c>
      <c r="AF435" s="48"/>
    </row>
    <row r="436" spans="1:32" x14ac:dyDescent="0.35">
      <c r="A436" s="70" t="s">
        <v>2884</v>
      </c>
      <c r="AF436" s="48"/>
    </row>
    <row r="437" spans="1:32" x14ac:dyDescent="0.35">
      <c r="A437" s="68" t="s">
        <v>2886</v>
      </c>
      <c r="AF437" s="48"/>
    </row>
    <row r="438" spans="1:32" x14ac:dyDescent="0.35">
      <c r="A438" s="70" t="s">
        <v>2888</v>
      </c>
      <c r="AF438" s="48"/>
    </row>
    <row r="439" spans="1:32" x14ac:dyDescent="0.35">
      <c r="A439" s="68" t="s">
        <v>2890</v>
      </c>
      <c r="AF439" s="48"/>
    </row>
    <row r="440" spans="1:32" x14ac:dyDescent="0.35">
      <c r="A440" s="70" t="s">
        <v>2892</v>
      </c>
      <c r="AF440" s="48"/>
    </row>
    <row r="441" spans="1:32" x14ac:dyDescent="0.35">
      <c r="A441" s="68" t="s">
        <v>2894</v>
      </c>
      <c r="AF441" s="48"/>
    </row>
    <row r="442" spans="1:32" x14ac:dyDescent="0.35">
      <c r="A442" s="70" t="s">
        <v>2896</v>
      </c>
      <c r="AF442" s="48"/>
    </row>
    <row r="443" spans="1:32" x14ac:dyDescent="0.35">
      <c r="A443" s="68" t="s">
        <v>2898</v>
      </c>
      <c r="AF443" s="48"/>
    </row>
    <row r="444" spans="1:32" x14ac:dyDescent="0.35">
      <c r="A444" s="70" t="s">
        <v>2900</v>
      </c>
      <c r="AF444" s="48"/>
    </row>
    <row r="445" spans="1:32" x14ac:dyDescent="0.35">
      <c r="A445" s="68" t="s">
        <v>2902</v>
      </c>
      <c r="AF445" s="48"/>
    </row>
    <row r="446" spans="1:32" x14ac:dyDescent="0.35">
      <c r="A446" s="70" t="s">
        <v>2904</v>
      </c>
      <c r="AF446" s="48"/>
    </row>
    <row r="447" spans="1:32" x14ac:dyDescent="0.35">
      <c r="A447" s="68" t="s">
        <v>2906</v>
      </c>
      <c r="AF447" s="48"/>
    </row>
    <row r="448" spans="1:32" x14ac:dyDescent="0.35">
      <c r="A448" s="70" t="s">
        <v>2908</v>
      </c>
      <c r="AF448" s="48"/>
    </row>
    <row r="449" spans="1:32" x14ac:dyDescent="0.35">
      <c r="A449" s="68" t="s">
        <v>2910</v>
      </c>
      <c r="AF449" s="48"/>
    </row>
    <row r="450" spans="1:32" x14ac:dyDescent="0.35">
      <c r="A450" s="70" t="s">
        <v>2912</v>
      </c>
      <c r="AF450" s="48"/>
    </row>
    <row r="451" spans="1:32" x14ac:dyDescent="0.35">
      <c r="A451" s="68" t="s">
        <v>2914</v>
      </c>
      <c r="AF451" s="48"/>
    </row>
    <row r="452" spans="1:32" x14ac:dyDescent="0.35">
      <c r="A452" s="70" t="s">
        <v>2916</v>
      </c>
      <c r="AF452" s="48"/>
    </row>
    <row r="453" spans="1:32" x14ac:dyDescent="0.35">
      <c r="A453" s="68" t="s">
        <v>2918</v>
      </c>
      <c r="AF453" s="48"/>
    </row>
    <row r="454" spans="1:32" x14ac:dyDescent="0.35">
      <c r="A454" s="70" t="s">
        <v>2920</v>
      </c>
      <c r="AF454" s="48"/>
    </row>
    <row r="455" spans="1:32" x14ac:dyDescent="0.35">
      <c r="A455" s="68" t="s">
        <v>2922</v>
      </c>
      <c r="AF455" s="48"/>
    </row>
    <row r="456" spans="1:32" x14ac:dyDescent="0.35">
      <c r="A456" s="70" t="s">
        <v>2924</v>
      </c>
      <c r="AF456" s="48"/>
    </row>
    <row r="457" spans="1:32" x14ac:dyDescent="0.35">
      <c r="A457" s="68" t="s">
        <v>2926</v>
      </c>
      <c r="AF457" s="48"/>
    </row>
    <row r="458" spans="1:32" x14ac:dyDescent="0.35">
      <c r="A458" s="70" t="s">
        <v>2928</v>
      </c>
      <c r="AF458" s="48"/>
    </row>
    <row r="459" spans="1:32" x14ac:dyDescent="0.35">
      <c r="A459" s="68" t="s">
        <v>2930</v>
      </c>
      <c r="AF459" s="48"/>
    </row>
    <row r="460" spans="1:32" x14ac:dyDescent="0.35">
      <c r="A460" s="70" t="s">
        <v>2932</v>
      </c>
      <c r="AF460" s="48"/>
    </row>
    <row r="461" spans="1:32" x14ac:dyDescent="0.35">
      <c r="A461" s="68" t="s">
        <v>2934</v>
      </c>
      <c r="AF461" s="48"/>
    </row>
    <row r="462" spans="1:32" x14ac:dyDescent="0.35">
      <c r="A462" s="70" t="s">
        <v>2936</v>
      </c>
      <c r="AF462" s="48"/>
    </row>
    <row r="463" spans="1:32" x14ac:dyDescent="0.35">
      <c r="A463" s="68" t="s">
        <v>2938</v>
      </c>
      <c r="AF463" s="48"/>
    </row>
    <row r="464" spans="1:32" x14ac:dyDescent="0.35">
      <c r="A464" s="70" t="s">
        <v>2940</v>
      </c>
      <c r="AF464" s="48"/>
    </row>
    <row r="465" spans="1:32" x14ac:dyDescent="0.35">
      <c r="A465" s="68" t="s">
        <v>2942</v>
      </c>
      <c r="AF465" s="48"/>
    </row>
    <row r="466" spans="1:32" x14ac:dyDescent="0.35">
      <c r="A466" s="70" t="s">
        <v>2944</v>
      </c>
      <c r="AF466" s="48"/>
    </row>
    <row r="467" spans="1:32" x14ac:dyDescent="0.35">
      <c r="A467" s="68" t="s">
        <v>2946</v>
      </c>
      <c r="AF467" s="48"/>
    </row>
    <row r="468" spans="1:32" x14ac:dyDescent="0.35">
      <c r="A468" s="70" t="s">
        <v>2948</v>
      </c>
      <c r="AF468" s="48"/>
    </row>
    <row r="469" spans="1:32" x14ac:dyDescent="0.35">
      <c r="A469" s="68" t="s">
        <v>2950</v>
      </c>
      <c r="AF469" s="48"/>
    </row>
    <row r="470" spans="1:32" x14ac:dyDescent="0.35">
      <c r="A470" s="70" t="s">
        <v>2952</v>
      </c>
      <c r="AF470" s="48"/>
    </row>
    <row r="471" spans="1:32" x14ac:dyDescent="0.35">
      <c r="A471" s="68" t="s">
        <v>2954</v>
      </c>
      <c r="AF471" s="48"/>
    </row>
    <row r="472" spans="1:32" x14ac:dyDescent="0.35">
      <c r="A472" s="70" t="s">
        <v>2956</v>
      </c>
      <c r="AF472" s="48"/>
    </row>
    <row r="473" spans="1:32" x14ac:dyDescent="0.35">
      <c r="A473" s="68" t="s">
        <v>2958</v>
      </c>
      <c r="AF473" s="48"/>
    </row>
    <row r="474" spans="1:32" x14ac:dyDescent="0.35">
      <c r="A474" s="70" t="s">
        <v>2960</v>
      </c>
      <c r="AF474" s="48"/>
    </row>
    <row r="475" spans="1:32" x14ac:dyDescent="0.35">
      <c r="A475" s="68" t="s">
        <v>2962</v>
      </c>
      <c r="AF475" s="48"/>
    </row>
    <row r="476" spans="1:32" x14ac:dyDescent="0.35">
      <c r="A476" s="70" t="s">
        <v>2964</v>
      </c>
      <c r="AF476" s="48"/>
    </row>
    <row r="477" spans="1:32" x14ac:dyDescent="0.35">
      <c r="A477" s="68" t="s">
        <v>2966</v>
      </c>
      <c r="AF477" s="48"/>
    </row>
    <row r="478" spans="1:32" x14ac:dyDescent="0.35">
      <c r="A478" s="70" t="s">
        <v>2968</v>
      </c>
      <c r="AF478" s="48"/>
    </row>
    <row r="479" spans="1:32" x14ac:dyDescent="0.35">
      <c r="A479" s="68" t="s">
        <v>2970</v>
      </c>
      <c r="AF479" s="48"/>
    </row>
    <row r="480" spans="1:32" x14ac:dyDescent="0.35">
      <c r="A480" s="70" t="s">
        <v>2972</v>
      </c>
      <c r="AF480" s="48"/>
    </row>
    <row r="481" spans="1:32" x14ac:dyDescent="0.35">
      <c r="A481" s="68" t="s">
        <v>2974</v>
      </c>
      <c r="AF481" s="48"/>
    </row>
    <row r="482" spans="1:32" x14ac:dyDescent="0.35">
      <c r="A482" s="70" t="s">
        <v>2976</v>
      </c>
      <c r="AF482" s="48"/>
    </row>
    <row r="483" spans="1:32" x14ac:dyDescent="0.35">
      <c r="A483" s="68" t="s">
        <v>2978</v>
      </c>
      <c r="AF483" s="48"/>
    </row>
    <row r="484" spans="1:32" x14ac:dyDescent="0.35">
      <c r="A484" s="70" t="s">
        <v>2980</v>
      </c>
      <c r="AF484" s="48"/>
    </row>
    <row r="485" spans="1:32" x14ac:dyDescent="0.35">
      <c r="A485" s="68" t="s">
        <v>2982</v>
      </c>
      <c r="AF485" s="48"/>
    </row>
    <row r="486" spans="1:32" x14ac:dyDescent="0.35">
      <c r="A486" s="70" t="s">
        <v>2984</v>
      </c>
      <c r="AF486" s="48"/>
    </row>
    <row r="487" spans="1:32" x14ac:dyDescent="0.35">
      <c r="A487" s="68" t="s">
        <v>2986</v>
      </c>
      <c r="AF487" s="48"/>
    </row>
    <row r="488" spans="1:32" x14ac:dyDescent="0.35">
      <c r="A488" s="70" t="s">
        <v>2988</v>
      </c>
      <c r="AF488" s="48"/>
    </row>
    <row r="489" spans="1:32" x14ac:dyDescent="0.35">
      <c r="A489" s="68" t="s">
        <v>2990</v>
      </c>
      <c r="AF489" s="48"/>
    </row>
    <row r="490" spans="1:32" x14ac:dyDescent="0.35">
      <c r="A490" s="70" t="s">
        <v>2992</v>
      </c>
      <c r="AF490" s="48"/>
    </row>
    <row r="491" spans="1:32" x14ac:dyDescent="0.35">
      <c r="A491" s="68" t="s">
        <v>2994</v>
      </c>
      <c r="AF491" s="48"/>
    </row>
    <row r="492" spans="1:32" x14ac:dyDescent="0.35">
      <c r="A492" s="57" t="s">
        <v>2996</v>
      </c>
      <c r="AF492" s="48"/>
    </row>
    <row r="493" spans="1:32" x14ac:dyDescent="0.35">
      <c r="A493" s="68" t="s">
        <v>2998</v>
      </c>
      <c r="AF493" s="48"/>
    </row>
    <row r="494" spans="1:32" x14ac:dyDescent="0.35">
      <c r="A494" s="70" t="s">
        <v>3000</v>
      </c>
      <c r="AF494" s="48"/>
    </row>
    <row r="495" spans="1:32" x14ac:dyDescent="0.35">
      <c r="A495" s="68" t="s">
        <v>3002</v>
      </c>
      <c r="AF495" s="48"/>
    </row>
    <row r="496" spans="1:32" x14ac:dyDescent="0.35">
      <c r="A496" s="70" t="s">
        <v>3004</v>
      </c>
      <c r="AF496" s="48"/>
    </row>
    <row r="497" spans="1:32" x14ac:dyDescent="0.35">
      <c r="A497" s="68" t="s">
        <v>3006</v>
      </c>
      <c r="AF497" s="48"/>
    </row>
    <row r="498" spans="1:32" x14ac:dyDescent="0.35">
      <c r="A498" s="70" t="s">
        <v>3008</v>
      </c>
      <c r="AF498" s="48"/>
    </row>
    <row r="499" spans="1:32" x14ac:dyDescent="0.35">
      <c r="A499" s="68" t="s">
        <v>3010</v>
      </c>
      <c r="AF499" s="48"/>
    </row>
    <row r="500" spans="1:32" x14ac:dyDescent="0.35">
      <c r="A500" s="70" t="s">
        <v>3012</v>
      </c>
      <c r="AF500" s="48"/>
    </row>
    <row r="501" spans="1:32" x14ac:dyDescent="0.35">
      <c r="A501" s="68" t="s">
        <v>3014</v>
      </c>
      <c r="AF501" s="48"/>
    </row>
    <row r="502" spans="1:32" x14ac:dyDescent="0.35">
      <c r="A502" s="70" t="s">
        <v>3016</v>
      </c>
      <c r="AF502" s="48"/>
    </row>
    <row r="503" spans="1:32" x14ac:dyDescent="0.35">
      <c r="A503" s="68" t="s">
        <v>3018</v>
      </c>
      <c r="AF503" s="48"/>
    </row>
    <row r="504" spans="1:32" x14ac:dyDescent="0.35">
      <c r="A504" s="70" t="s">
        <v>3020</v>
      </c>
      <c r="AF504" s="48"/>
    </row>
    <row r="505" spans="1:32" x14ac:dyDescent="0.35">
      <c r="A505" s="68" t="s">
        <v>3022</v>
      </c>
      <c r="AF505" s="48"/>
    </row>
    <row r="506" spans="1:32" x14ac:dyDescent="0.35">
      <c r="A506" s="70" t="s">
        <v>3024</v>
      </c>
      <c r="AF506" s="48"/>
    </row>
    <row r="507" spans="1:32" x14ac:dyDescent="0.35">
      <c r="A507" s="68" t="s">
        <v>3026</v>
      </c>
      <c r="AF507" s="48"/>
    </row>
    <row r="508" spans="1:32" x14ac:dyDescent="0.35">
      <c r="A508" s="70" t="s">
        <v>3028</v>
      </c>
      <c r="AF508" s="48"/>
    </row>
    <row r="509" spans="1:32" x14ac:dyDescent="0.35">
      <c r="A509" s="68" t="s">
        <v>3030</v>
      </c>
      <c r="AF509" s="48"/>
    </row>
    <row r="510" spans="1:32" x14ac:dyDescent="0.35">
      <c r="A510" s="70" t="s">
        <v>3032</v>
      </c>
      <c r="AF510" s="48"/>
    </row>
    <row r="511" spans="1:32" x14ac:dyDescent="0.35">
      <c r="A511" s="68" t="s">
        <v>3034</v>
      </c>
      <c r="AF511" s="48"/>
    </row>
    <row r="512" spans="1:32" x14ac:dyDescent="0.35">
      <c r="A512" s="70" t="s">
        <v>3036</v>
      </c>
      <c r="AF512" s="48"/>
    </row>
    <row r="513" spans="1:32" x14ac:dyDescent="0.35">
      <c r="A513" s="68" t="s">
        <v>3038</v>
      </c>
      <c r="AF513" s="48"/>
    </row>
    <row r="514" spans="1:32" x14ac:dyDescent="0.35">
      <c r="A514" s="70" t="s">
        <v>3040</v>
      </c>
      <c r="AF514" s="48"/>
    </row>
    <row r="515" spans="1:32" x14ac:dyDescent="0.35">
      <c r="A515" s="68" t="s">
        <v>3042</v>
      </c>
      <c r="AF515" s="48"/>
    </row>
    <row r="516" spans="1:32" x14ac:dyDescent="0.35">
      <c r="A516" s="70" t="s">
        <v>3044</v>
      </c>
      <c r="AF516" s="48"/>
    </row>
    <row r="517" spans="1:32" x14ac:dyDescent="0.35">
      <c r="A517" s="68" t="s">
        <v>3046</v>
      </c>
      <c r="AF517" s="48"/>
    </row>
    <row r="518" spans="1:32" x14ac:dyDescent="0.35">
      <c r="A518" s="70" t="s">
        <v>3048</v>
      </c>
      <c r="AF518" s="48"/>
    </row>
    <row r="519" spans="1:32" x14ac:dyDescent="0.35">
      <c r="A519" s="68" t="s">
        <v>3050</v>
      </c>
      <c r="AF519" s="48"/>
    </row>
    <row r="520" spans="1:32" x14ac:dyDescent="0.35">
      <c r="A520" s="70" t="s">
        <v>3052</v>
      </c>
      <c r="AF520" s="48"/>
    </row>
    <row r="521" spans="1:32" x14ac:dyDescent="0.35">
      <c r="A521" s="68" t="s">
        <v>3054</v>
      </c>
      <c r="AF521" s="48"/>
    </row>
    <row r="522" spans="1:32" x14ac:dyDescent="0.35">
      <c r="A522" s="70" t="s">
        <v>3056</v>
      </c>
      <c r="AF522" s="48"/>
    </row>
    <row r="523" spans="1:32" x14ac:dyDescent="0.35">
      <c r="A523" s="68" t="s">
        <v>3058</v>
      </c>
      <c r="AF523" s="48"/>
    </row>
    <row r="524" spans="1:32" x14ac:dyDescent="0.35">
      <c r="A524" s="70" t="s">
        <v>3060</v>
      </c>
      <c r="AF524" s="48"/>
    </row>
    <row r="525" spans="1:32" x14ac:dyDescent="0.35">
      <c r="A525" s="68" t="s">
        <v>3062</v>
      </c>
      <c r="AF525" s="48"/>
    </row>
    <row r="526" spans="1:32" x14ac:dyDescent="0.35">
      <c r="A526" s="70" t="s">
        <v>3064</v>
      </c>
      <c r="AF526" s="48"/>
    </row>
    <row r="527" spans="1:32" x14ac:dyDescent="0.35">
      <c r="A527" s="68" t="s">
        <v>3066</v>
      </c>
      <c r="AF527" s="48"/>
    </row>
    <row r="528" spans="1:32" x14ac:dyDescent="0.35">
      <c r="A528" s="70" t="s">
        <v>3068</v>
      </c>
      <c r="AF528" s="48"/>
    </row>
    <row r="529" spans="1:32" x14ac:dyDescent="0.35">
      <c r="A529" s="68" t="s">
        <v>3070</v>
      </c>
      <c r="AF529" s="48"/>
    </row>
    <row r="530" spans="1:32" x14ac:dyDescent="0.35">
      <c r="A530" s="70" t="s">
        <v>3072</v>
      </c>
      <c r="AF530" s="48"/>
    </row>
    <row r="531" spans="1:32" x14ac:dyDescent="0.35">
      <c r="A531" s="68" t="s">
        <v>3074</v>
      </c>
      <c r="AF531" s="48"/>
    </row>
    <row r="532" spans="1:32" x14ac:dyDescent="0.35">
      <c r="A532" s="70" t="s">
        <v>3076</v>
      </c>
      <c r="AF532" s="48"/>
    </row>
    <row r="533" spans="1:32" x14ac:dyDescent="0.35">
      <c r="A533" s="68" t="s">
        <v>3078</v>
      </c>
      <c r="AF533" s="48"/>
    </row>
    <row r="534" spans="1:32" x14ac:dyDescent="0.35">
      <c r="A534" s="70" t="s">
        <v>3080</v>
      </c>
      <c r="AF534" s="48"/>
    </row>
    <row r="535" spans="1:32" x14ac:dyDescent="0.35">
      <c r="A535" s="68" t="s">
        <v>3082</v>
      </c>
      <c r="AF535" s="48"/>
    </row>
    <row r="536" spans="1:32" x14ac:dyDescent="0.35">
      <c r="A536" s="70" t="s">
        <v>3084</v>
      </c>
      <c r="AF536" s="48"/>
    </row>
    <row r="537" spans="1:32" x14ac:dyDescent="0.35">
      <c r="A537" s="68" t="s">
        <v>3086</v>
      </c>
      <c r="AF537" s="48"/>
    </row>
    <row r="538" spans="1:32" x14ac:dyDescent="0.35">
      <c r="A538" s="70" t="s">
        <v>3088</v>
      </c>
      <c r="AF538" s="48"/>
    </row>
    <row r="539" spans="1:32" x14ac:dyDescent="0.35">
      <c r="A539" s="68" t="s">
        <v>3090</v>
      </c>
      <c r="AF539" s="48"/>
    </row>
    <row r="540" spans="1:32" x14ac:dyDescent="0.35">
      <c r="A540" s="70" t="s">
        <v>3092</v>
      </c>
      <c r="AF540" s="48"/>
    </row>
    <row r="541" spans="1:32" x14ac:dyDescent="0.35">
      <c r="A541" s="68" t="s">
        <v>3094</v>
      </c>
      <c r="AF541" s="48"/>
    </row>
    <row r="542" spans="1:32" x14ac:dyDescent="0.35">
      <c r="A542" s="70" t="s">
        <v>3096</v>
      </c>
      <c r="AF542" s="48"/>
    </row>
    <row r="543" spans="1:32" x14ac:dyDescent="0.35">
      <c r="A543" s="68" t="s">
        <v>3098</v>
      </c>
      <c r="AF543" s="48"/>
    </row>
    <row r="544" spans="1:32" x14ac:dyDescent="0.35">
      <c r="A544" s="70" t="s">
        <v>3100</v>
      </c>
      <c r="AF544" s="48"/>
    </row>
    <row r="545" spans="1:32" x14ac:dyDescent="0.35">
      <c r="A545" s="68" t="s">
        <v>3102</v>
      </c>
      <c r="AF545" s="48"/>
    </row>
    <row r="546" spans="1:32" x14ac:dyDescent="0.35">
      <c r="A546" s="70" t="s">
        <v>3104</v>
      </c>
      <c r="AF546" s="48"/>
    </row>
    <row r="547" spans="1:32" x14ac:dyDescent="0.35">
      <c r="A547" s="68" t="s">
        <v>3106</v>
      </c>
      <c r="AF547" s="48"/>
    </row>
    <row r="548" spans="1:32" x14ac:dyDescent="0.35">
      <c r="A548" s="70" t="s">
        <v>3108</v>
      </c>
      <c r="AF548" s="48"/>
    </row>
    <row r="549" spans="1:32" x14ac:dyDescent="0.35">
      <c r="A549" s="68" t="s">
        <v>3110</v>
      </c>
      <c r="AF549" s="48"/>
    </row>
    <row r="550" spans="1:32" x14ac:dyDescent="0.35">
      <c r="A550" s="70" t="s">
        <v>3112</v>
      </c>
      <c r="AF550" s="48"/>
    </row>
    <row r="551" spans="1:32" x14ac:dyDescent="0.35">
      <c r="A551" s="68" t="s">
        <v>3114</v>
      </c>
      <c r="AF551" s="48"/>
    </row>
    <row r="552" spans="1:32" x14ac:dyDescent="0.35">
      <c r="A552" s="70" t="s">
        <v>3116</v>
      </c>
      <c r="AF552" s="48"/>
    </row>
    <row r="553" spans="1:32" x14ac:dyDescent="0.35">
      <c r="A553" s="68" t="s">
        <v>3118</v>
      </c>
      <c r="AF553" s="48"/>
    </row>
    <row r="554" spans="1:32" x14ac:dyDescent="0.35">
      <c r="A554" s="70" t="s">
        <v>3120</v>
      </c>
      <c r="AF554" s="48"/>
    </row>
    <row r="555" spans="1:32" x14ac:dyDescent="0.35">
      <c r="A555" s="68" t="s">
        <v>3122</v>
      </c>
      <c r="AF555" s="48"/>
    </row>
    <row r="556" spans="1:32" x14ac:dyDescent="0.35">
      <c r="A556" s="70" t="s">
        <v>3125</v>
      </c>
      <c r="AF556" s="48"/>
    </row>
    <row r="557" spans="1:32" x14ac:dyDescent="0.35">
      <c r="A557" s="68" t="s">
        <v>3127</v>
      </c>
      <c r="AF557" s="48"/>
    </row>
    <row r="558" spans="1:32" x14ac:dyDescent="0.35">
      <c r="A558" s="70" t="s">
        <v>3129</v>
      </c>
      <c r="AF558" s="48"/>
    </row>
    <row r="559" spans="1:32" x14ac:dyDescent="0.35">
      <c r="A559" s="68" t="s">
        <v>3131</v>
      </c>
      <c r="AF559" s="48"/>
    </row>
    <row r="560" spans="1:32" x14ac:dyDescent="0.35">
      <c r="A560" s="70" t="s">
        <v>3133</v>
      </c>
      <c r="AF560" s="48"/>
    </row>
    <row r="561" spans="1:32" x14ac:dyDescent="0.35">
      <c r="A561" s="68" t="s">
        <v>3135</v>
      </c>
      <c r="AF561" s="48"/>
    </row>
    <row r="562" spans="1:32" x14ac:dyDescent="0.35">
      <c r="A562" s="70" t="s">
        <v>3137</v>
      </c>
      <c r="AF562" s="48"/>
    </row>
    <row r="563" spans="1:32" x14ac:dyDescent="0.35">
      <c r="A563" s="68" t="s">
        <v>3139</v>
      </c>
      <c r="AF563" s="48"/>
    </row>
    <row r="564" spans="1:32" x14ac:dyDescent="0.35">
      <c r="A564" s="70" t="s">
        <v>3141</v>
      </c>
      <c r="AF564" s="48"/>
    </row>
    <row r="565" spans="1:32" x14ac:dyDescent="0.35">
      <c r="A565" s="68" t="s">
        <v>3143</v>
      </c>
      <c r="AF565" s="48"/>
    </row>
    <row r="566" spans="1:32" x14ac:dyDescent="0.35">
      <c r="A566" s="70" t="s">
        <v>3145</v>
      </c>
      <c r="AF566" s="48"/>
    </row>
    <row r="567" spans="1:32" x14ac:dyDescent="0.35">
      <c r="A567" s="68" t="s">
        <v>3147</v>
      </c>
      <c r="AF567" s="48"/>
    </row>
    <row r="568" spans="1:32" x14ac:dyDescent="0.35">
      <c r="A568" s="70" t="s">
        <v>3149</v>
      </c>
      <c r="AF568" s="48"/>
    </row>
    <row r="569" spans="1:32" x14ac:dyDescent="0.35">
      <c r="A569" s="68" t="s">
        <v>3151</v>
      </c>
      <c r="AF569" s="48"/>
    </row>
    <row r="570" spans="1:32" x14ac:dyDescent="0.35">
      <c r="A570" s="70" t="s">
        <v>3153</v>
      </c>
      <c r="AF570" s="48"/>
    </row>
    <row r="571" spans="1:32" x14ac:dyDescent="0.35">
      <c r="A571" s="68" t="s">
        <v>3155</v>
      </c>
      <c r="AF571" s="48"/>
    </row>
    <row r="572" spans="1:32" x14ac:dyDescent="0.35">
      <c r="A572" s="70" t="s">
        <v>3157</v>
      </c>
      <c r="AF572" s="48"/>
    </row>
    <row r="573" spans="1:32" x14ac:dyDescent="0.35">
      <c r="A573" s="68" t="s">
        <v>3159</v>
      </c>
      <c r="AF573" s="48"/>
    </row>
    <row r="574" spans="1:32" x14ac:dyDescent="0.35">
      <c r="A574" s="70" t="s">
        <v>3161</v>
      </c>
      <c r="AF574" s="48"/>
    </row>
    <row r="575" spans="1:32" x14ac:dyDescent="0.35">
      <c r="A575" s="68" t="s">
        <v>3163</v>
      </c>
      <c r="AF575" s="48"/>
    </row>
    <row r="576" spans="1:32" x14ac:dyDescent="0.35">
      <c r="A576" s="70" t="s">
        <v>3165</v>
      </c>
      <c r="AF576" s="48"/>
    </row>
    <row r="577" spans="1:32" x14ac:dyDescent="0.35">
      <c r="A577" s="68" t="s">
        <v>3167</v>
      </c>
      <c r="AF577" s="48"/>
    </row>
    <row r="578" spans="1:32" x14ac:dyDescent="0.35">
      <c r="A578" s="70" t="s">
        <v>3169</v>
      </c>
      <c r="AF578" s="48"/>
    </row>
    <row r="579" spans="1:32" x14ac:dyDescent="0.35">
      <c r="A579" s="68" t="s">
        <v>3171</v>
      </c>
      <c r="AF579" s="48"/>
    </row>
    <row r="580" spans="1:32" x14ac:dyDescent="0.35">
      <c r="A580" s="70" t="s">
        <v>3173</v>
      </c>
      <c r="AF580" s="48"/>
    </row>
    <row r="581" spans="1:32" x14ac:dyDescent="0.35">
      <c r="A581" s="68" t="s">
        <v>3175</v>
      </c>
      <c r="AF581" s="48"/>
    </row>
    <row r="582" spans="1:32" x14ac:dyDescent="0.35">
      <c r="A582" s="70" t="s">
        <v>3177</v>
      </c>
      <c r="AF582" s="48"/>
    </row>
    <row r="583" spans="1:32" x14ac:dyDescent="0.35">
      <c r="A583" s="68" t="s">
        <v>3179</v>
      </c>
      <c r="AF583" s="48"/>
    </row>
    <row r="584" spans="1:32" x14ac:dyDescent="0.35">
      <c r="A584" s="70" t="s">
        <v>3181</v>
      </c>
      <c r="AF584" s="48"/>
    </row>
    <row r="585" spans="1:32" x14ac:dyDescent="0.35">
      <c r="A585" s="68" t="s">
        <v>3183</v>
      </c>
      <c r="AF585" s="48"/>
    </row>
    <row r="586" spans="1:32" x14ac:dyDescent="0.35">
      <c r="A586" s="70" t="s">
        <v>3185</v>
      </c>
      <c r="AF586" s="48"/>
    </row>
    <row r="587" spans="1:32" x14ac:dyDescent="0.35">
      <c r="A587" s="68" t="s">
        <v>3187</v>
      </c>
      <c r="AF587" s="48"/>
    </row>
    <row r="588" spans="1:32" x14ac:dyDescent="0.35">
      <c r="A588" s="70" t="s">
        <v>3189</v>
      </c>
      <c r="AF588" s="48"/>
    </row>
    <row r="589" spans="1:32" x14ac:dyDescent="0.35">
      <c r="A589" s="68" t="s">
        <v>3191</v>
      </c>
      <c r="AF589" s="48"/>
    </row>
    <row r="590" spans="1:32" x14ac:dyDescent="0.35">
      <c r="A590" s="70" t="s">
        <v>3193</v>
      </c>
      <c r="AF590" s="48"/>
    </row>
    <row r="591" spans="1:32" x14ac:dyDescent="0.35">
      <c r="A591" s="68" t="s">
        <v>3195</v>
      </c>
      <c r="AF591" s="48"/>
    </row>
    <row r="592" spans="1:32" x14ac:dyDescent="0.35">
      <c r="A592" s="70" t="s">
        <v>3197</v>
      </c>
      <c r="AF592" s="48"/>
    </row>
    <row r="593" spans="1:32" x14ac:dyDescent="0.35">
      <c r="A593" s="68" t="s">
        <v>3199</v>
      </c>
      <c r="AF593" s="48"/>
    </row>
    <row r="594" spans="1:32" x14ac:dyDescent="0.35">
      <c r="A594" s="70" t="s">
        <v>3201</v>
      </c>
      <c r="AF594" s="48"/>
    </row>
    <row r="595" spans="1:32" x14ac:dyDescent="0.35">
      <c r="A595" s="68" t="s">
        <v>3203</v>
      </c>
      <c r="AF595" s="48"/>
    </row>
    <row r="596" spans="1:32" x14ac:dyDescent="0.35">
      <c r="A596" s="70" t="s">
        <v>3205</v>
      </c>
      <c r="AF596" s="48"/>
    </row>
    <row r="597" spans="1:32" x14ac:dyDescent="0.35">
      <c r="A597" s="68" t="s">
        <v>3207</v>
      </c>
      <c r="AF597" s="48"/>
    </row>
    <row r="598" spans="1:32" x14ac:dyDescent="0.35">
      <c r="A598" s="70" t="s">
        <v>3209</v>
      </c>
      <c r="AF598" s="48"/>
    </row>
    <row r="599" spans="1:32" x14ac:dyDescent="0.35">
      <c r="A599" s="68" t="s">
        <v>3211</v>
      </c>
      <c r="AF599" s="48"/>
    </row>
    <row r="600" spans="1:32" x14ac:dyDescent="0.35">
      <c r="A600" s="70" t="s">
        <v>3213</v>
      </c>
      <c r="AF600" s="48"/>
    </row>
    <row r="601" spans="1:32" x14ac:dyDescent="0.35">
      <c r="A601" s="68" t="s">
        <v>3215</v>
      </c>
      <c r="AF601" s="48"/>
    </row>
    <row r="602" spans="1:32" x14ac:dyDescent="0.35">
      <c r="A602" s="70" t="s">
        <v>3217</v>
      </c>
      <c r="AF602" s="48"/>
    </row>
    <row r="603" spans="1:32" x14ac:dyDescent="0.35">
      <c r="A603" s="68" t="s">
        <v>3219</v>
      </c>
      <c r="AF603" s="48"/>
    </row>
    <row r="604" spans="1:32" x14ac:dyDescent="0.35">
      <c r="A604" s="70" t="s">
        <v>4642</v>
      </c>
      <c r="AF604" s="48"/>
    </row>
    <row r="605" spans="1:32" x14ac:dyDescent="0.35">
      <c r="A605" s="71" t="s">
        <v>4643</v>
      </c>
      <c r="AF605" s="48"/>
    </row>
    <row r="606" spans="1:32" x14ac:dyDescent="0.35">
      <c r="A606" s="70" t="s">
        <v>4644</v>
      </c>
      <c r="AF606" s="48"/>
    </row>
    <row r="607" spans="1:32" x14ac:dyDescent="0.35">
      <c r="A607" s="71" t="s">
        <v>4645</v>
      </c>
      <c r="AF607" s="48"/>
    </row>
    <row r="608" spans="1:32" x14ac:dyDescent="0.35">
      <c r="A608" s="70" t="s">
        <v>4646</v>
      </c>
      <c r="AF608" s="48"/>
    </row>
    <row r="609" spans="1:32" x14ac:dyDescent="0.35">
      <c r="A609" s="71" t="s">
        <v>4647</v>
      </c>
      <c r="AF609" s="48"/>
    </row>
    <row r="610" spans="1:32" x14ac:dyDescent="0.35">
      <c r="A610" s="70" t="s">
        <v>3311</v>
      </c>
      <c r="AF610" s="48"/>
    </row>
    <row r="611" spans="1:32" x14ac:dyDescent="0.35">
      <c r="A611" s="71" t="s">
        <v>4648</v>
      </c>
      <c r="AF611" s="48"/>
    </row>
    <row r="612" spans="1:32" x14ac:dyDescent="0.35">
      <c r="A612" s="70" t="s">
        <v>4649</v>
      </c>
      <c r="AF612" s="48"/>
    </row>
    <row r="613" spans="1:32" x14ac:dyDescent="0.35">
      <c r="A613" s="71" t="s">
        <v>3424</v>
      </c>
      <c r="AF613" s="48"/>
    </row>
    <row r="614" spans="1:32" x14ac:dyDescent="0.35">
      <c r="A614" s="70" t="s">
        <v>4650</v>
      </c>
      <c r="AF614" s="48"/>
    </row>
    <row r="615" spans="1:32" x14ac:dyDescent="0.35">
      <c r="A615" s="71" t="s">
        <v>4651</v>
      </c>
      <c r="AF615" s="48"/>
    </row>
    <row r="616" spans="1:32" x14ac:dyDescent="0.35">
      <c r="A616" s="70" t="s">
        <v>4652</v>
      </c>
      <c r="AF616" s="48"/>
    </row>
    <row r="617" spans="1:32" x14ac:dyDescent="0.35">
      <c r="A617" s="71" t="s">
        <v>3440</v>
      </c>
      <c r="AF617" s="48"/>
    </row>
    <row r="618" spans="1:32" x14ac:dyDescent="0.35">
      <c r="A618" s="70" t="s">
        <v>4653</v>
      </c>
      <c r="AF618" s="48"/>
    </row>
    <row r="619" spans="1:32" x14ac:dyDescent="0.35">
      <c r="A619" s="71" t="s">
        <v>4654</v>
      </c>
      <c r="AF619" s="48"/>
    </row>
    <row r="620" spans="1:32" x14ac:dyDescent="0.35">
      <c r="A620" s="70" t="s">
        <v>3474</v>
      </c>
      <c r="AF620" s="48"/>
    </row>
    <row r="621" spans="1:32" x14ac:dyDescent="0.35">
      <c r="A621" s="71" t="s">
        <v>3478</v>
      </c>
      <c r="AF621" s="48"/>
    </row>
    <row r="622" spans="1:32" x14ac:dyDescent="0.35">
      <c r="A622" s="70" t="s">
        <v>4655</v>
      </c>
      <c r="AF622" s="48"/>
    </row>
    <row r="623" spans="1:32" x14ac:dyDescent="0.35">
      <c r="A623" s="71" t="s">
        <v>3502</v>
      </c>
      <c r="AF623" s="48"/>
    </row>
    <row r="624" spans="1:32" x14ac:dyDescent="0.35">
      <c r="A624" s="70" t="s">
        <v>4656</v>
      </c>
      <c r="AF624" s="48"/>
    </row>
    <row r="625" spans="1:32" x14ac:dyDescent="0.35">
      <c r="A625" s="71" t="s">
        <v>3517</v>
      </c>
      <c r="AF625" s="48"/>
    </row>
    <row r="626" spans="1:32" x14ac:dyDescent="0.35">
      <c r="A626" s="70" t="s">
        <v>3537</v>
      </c>
      <c r="AF626" s="48"/>
    </row>
    <row r="627" spans="1:32" x14ac:dyDescent="0.35">
      <c r="A627" s="71" t="s">
        <v>3541</v>
      </c>
      <c r="AF627" s="48"/>
    </row>
    <row r="628" spans="1:32" x14ac:dyDescent="0.35">
      <c r="A628" s="70" t="s">
        <v>4657</v>
      </c>
      <c r="AF628" s="48"/>
    </row>
    <row r="629" spans="1:32" x14ac:dyDescent="0.35">
      <c r="A629" s="71" t="s">
        <v>4658</v>
      </c>
      <c r="AF629" s="48"/>
    </row>
    <row r="630" spans="1:32" x14ac:dyDescent="0.35">
      <c r="A630" s="70" t="s">
        <v>3547</v>
      </c>
      <c r="AF630" s="48"/>
    </row>
    <row r="631" spans="1:32" x14ac:dyDescent="0.35">
      <c r="A631" s="71" t="s">
        <v>4659</v>
      </c>
      <c r="AF631" s="48"/>
    </row>
    <row r="632" spans="1:32" x14ac:dyDescent="0.35">
      <c r="A632" s="70" t="s">
        <v>4660</v>
      </c>
      <c r="AF632" s="48"/>
    </row>
    <row r="633" spans="1:32" x14ac:dyDescent="0.35">
      <c r="A633" s="71" t="s">
        <v>4661</v>
      </c>
      <c r="AF633" s="48"/>
    </row>
    <row r="634" spans="1:32" x14ac:dyDescent="0.35">
      <c r="A634" s="70" t="s">
        <v>4662</v>
      </c>
      <c r="AF634" s="48"/>
    </row>
    <row r="635" spans="1:32" x14ac:dyDescent="0.35">
      <c r="A635" s="71" t="s">
        <v>4663</v>
      </c>
      <c r="AF635" s="48"/>
    </row>
    <row r="636" spans="1:32" x14ac:dyDescent="0.35">
      <c r="A636" s="70" t="s">
        <v>3561</v>
      </c>
      <c r="AF636" s="48"/>
    </row>
    <row r="637" spans="1:32" x14ac:dyDescent="0.35">
      <c r="A637" s="71" t="s">
        <v>3563</v>
      </c>
      <c r="AF637" s="48"/>
    </row>
    <row r="638" spans="1:32" x14ac:dyDescent="0.35">
      <c r="A638" s="70" t="s">
        <v>4664</v>
      </c>
      <c r="AF638" s="48"/>
    </row>
    <row r="639" spans="1:32" x14ac:dyDescent="0.35">
      <c r="A639" s="71" t="s">
        <v>3571</v>
      </c>
      <c r="AF639" s="48"/>
    </row>
    <row r="640" spans="1:32" x14ac:dyDescent="0.35">
      <c r="A640" s="70" t="s">
        <v>4665</v>
      </c>
      <c r="AF640" s="48"/>
    </row>
    <row r="641" spans="1:32" x14ac:dyDescent="0.35">
      <c r="A641" s="71" t="s">
        <v>4666</v>
      </c>
      <c r="AF641" s="48"/>
    </row>
    <row r="642" spans="1:32" x14ac:dyDescent="0.35">
      <c r="A642" s="70" t="s">
        <v>4667</v>
      </c>
      <c r="AF642" s="48"/>
    </row>
    <row r="643" spans="1:32" x14ac:dyDescent="0.35">
      <c r="A643" s="71" t="s">
        <v>4668</v>
      </c>
      <c r="AF643" s="48"/>
    </row>
    <row r="644" spans="1:32" x14ac:dyDescent="0.35">
      <c r="A644" s="70" t="s">
        <v>3593</v>
      </c>
      <c r="AF644" s="48"/>
    </row>
    <row r="645" spans="1:32" x14ac:dyDescent="0.35">
      <c r="A645" s="71" t="s">
        <v>4669</v>
      </c>
      <c r="AF645" s="48"/>
    </row>
    <row r="646" spans="1:32" x14ac:dyDescent="0.35">
      <c r="A646" s="70" t="s">
        <v>3611</v>
      </c>
      <c r="AF646" s="48"/>
    </row>
    <row r="647" spans="1:32" x14ac:dyDescent="0.35">
      <c r="A647" s="71" t="s">
        <v>3645</v>
      </c>
      <c r="AF647" s="48"/>
    </row>
    <row r="648" spans="1:32" x14ac:dyDescent="0.35">
      <c r="A648" s="70" t="s">
        <v>4670</v>
      </c>
      <c r="AF648" s="48"/>
    </row>
    <row r="649" spans="1:32" x14ac:dyDescent="0.35">
      <c r="A649" s="71" t="s">
        <v>4671</v>
      </c>
      <c r="AF649" s="48"/>
    </row>
    <row r="650" spans="1:32" x14ac:dyDescent="0.35">
      <c r="A650" s="70" t="s">
        <v>3663</v>
      </c>
      <c r="AF650" s="48"/>
    </row>
    <row r="651" spans="1:32" x14ac:dyDescent="0.35">
      <c r="A651" s="70" t="s">
        <v>4672</v>
      </c>
      <c r="AF651" s="48"/>
    </row>
    <row r="652" spans="1:32" x14ac:dyDescent="0.35">
      <c r="A652" s="70" t="s">
        <v>4673</v>
      </c>
      <c r="AF652" s="48"/>
    </row>
    <row r="653" spans="1:32" x14ac:dyDescent="0.35">
      <c r="A653" s="71" t="s">
        <v>4674</v>
      </c>
      <c r="AF653" s="48"/>
    </row>
    <row r="654" spans="1:32" x14ac:dyDescent="0.35">
      <c r="A654" s="70" t="s">
        <v>3681</v>
      </c>
      <c r="AF654" s="48"/>
    </row>
    <row r="655" spans="1:32" x14ac:dyDescent="0.35">
      <c r="A655" s="71" t="s">
        <v>3691</v>
      </c>
      <c r="AF655" s="48"/>
    </row>
    <row r="656" spans="1:32" x14ac:dyDescent="0.35">
      <c r="A656" s="70" t="s">
        <v>4675</v>
      </c>
      <c r="AF656" s="48"/>
    </row>
    <row r="657" spans="1:32" x14ac:dyDescent="0.35">
      <c r="A657" s="71" t="s">
        <v>3734</v>
      </c>
      <c r="AF657" s="48"/>
    </row>
    <row r="658" spans="1:32" x14ac:dyDescent="0.35">
      <c r="A658" s="71" t="s">
        <v>3766</v>
      </c>
      <c r="AF658" s="48"/>
    </row>
    <row r="659" spans="1:32" x14ac:dyDescent="0.35">
      <c r="A659" s="68" t="s">
        <v>3768</v>
      </c>
      <c r="AF659" s="48"/>
    </row>
    <row r="660" spans="1:32" x14ac:dyDescent="0.35">
      <c r="A660" s="70" t="s">
        <v>3770</v>
      </c>
      <c r="AF660" s="48"/>
    </row>
    <row r="661" spans="1:32" x14ac:dyDescent="0.35">
      <c r="A661" s="68" t="s">
        <v>3772</v>
      </c>
      <c r="AF661" s="48"/>
    </row>
    <row r="662" spans="1:32" x14ac:dyDescent="0.35">
      <c r="A662" s="71" t="s">
        <v>3774</v>
      </c>
      <c r="AF662" s="48"/>
    </row>
    <row r="663" spans="1:32" x14ac:dyDescent="0.35">
      <c r="A663" s="68" t="s">
        <v>3776</v>
      </c>
      <c r="AF663" s="48"/>
    </row>
    <row r="664" spans="1:32" x14ac:dyDescent="0.35">
      <c r="A664" s="71" t="s">
        <v>3778</v>
      </c>
      <c r="AF664" s="48"/>
    </row>
    <row r="665" spans="1:32" x14ac:dyDescent="0.35">
      <c r="A665" s="68" t="s">
        <v>3780</v>
      </c>
      <c r="AF665" s="48"/>
    </row>
    <row r="666" spans="1:32" x14ac:dyDescent="0.35">
      <c r="A666" s="71" t="s">
        <v>3782</v>
      </c>
      <c r="AF666" s="48"/>
    </row>
    <row r="667" spans="1:32" x14ac:dyDescent="0.35">
      <c r="A667" s="68" t="s">
        <v>3784</v>
      </c>
      <c r="AF667" s="48"/>
    </row>
    <row r="668" spans="1:32" x14ac:dyDescent="0.35">
      <c r="A668" s="71" t="s">
        <v>3786</v>
      </c>
      <c r="AF668" s="48"/>
    </row>
    <row r="669" spans="1:32" x14ac:dyDescent="0.35">
      <c r="A669" s="68" t="s">
        <v>3788</v>
      </c>
      <c r="AF669" s="48"/>
    </row>
    <row r="670" spans="1:32" x14ac:dyDescent="0.35">
      <c r="A670" s="71" t="s">
        <v>3790</v>
      </c>
      <c r="AF670" s="48"/>
    </row>
    <row r="671" spans="1:32" x14ac:dyDescent="0.35">
      <c r="A671" s="68" t="s">
        <v>3792</v>
      </c>
      <c r="AF671" s="48"/>
    </row>
    <row r="672" spans="1:32" x14ac:dyDescent="0.35">
      <c r="A672" s="71" t="s">
        <v>3794</v>
      </c>
      <c r="AF672" s="48"/>
    </row>
    <row r="673" spans="1:32" x14ac:dyDescent="0.35">
      <c r="A673" s="68" t="s">
        <v>3796</v>
      </c>
      <c r="AF673" s="48"/>
    </row>
    <row r="674" spans="1:32" x14ac:dyDescent="0.35">
      <c r="A674" s="71" t="s">
        <v>3798</v>
      </c>
      <c r="AF674" s="48"/>
    </row>
    <row r="675" spans="1:32" x14ac:dyDescent="0.35">
      <c r="A675" s="68" t="s">
        <v>3800</v>
      </c>
      <c r="AF675" s="48"/>
    </row>
    <row r="676" spans="1:32" x14ac:dyDescent="0.35">
      <c r="A676" s="71" t="s">
        <v>3802</v>
      </c>
      <c r="AF676" s="48"/>
    </row>
    <row r="677" spans="1:32" x14ac:dyDescent="0.35">
      <c r="A677" s="68" t="s">
        <v>3804</v>
      </c>
      <c r="AF677" s="48"/>
    </row>
    <row r="678" spans="1:32" x14ac:dyDescent="0.35">
      <c r="A678" s="71" t="s">
        <v>3806</v>
      </c>
      <c r="AF678" s="48"/>
    </row>
    <row r="679" spans="1:32" x14ac:dyDescent="0.35">
      <c r="A679" s="68" t="s">
        <v>3808</v>
      </c>
      <c r="AF679" s="48"/>
    </row>
    <row r="680" spans="1:32" x14ac:dyDescent="0.35">
      <c r="A680" s="71" t="s">
        <v>3810</v>
      </c>
      <c r="AF680" s="48"/>
    </row>
    <row r="681" spans="1:32" x14ac:dyDescent="0.35">
      <c r="A681" s="68" t="s">
        <v>3812</v>
      </c>
      <c r="AF681" s="48"/>
    </row>
    <row r="682" spans="1:32" x14ac:dyDescent="0.35">
      <c r="A682" s="71" t="s">
        <v>3814</v>
      </c>
      <c r="AF682" s="48"/>
    </row>
    <row r="683" spans="1:32" x14ac:dyDescent="0.35">
      <c r="A683" s="68" t="s">
        <v>3816</v>
      </c>
      <c r="AF683" s="48"/>
    </row>
    <row r="684" spans="1:32" x14ac:dyDescent="0.35">
      <c r="A684" s="71" t="s">
        <v>3818</v>
      </c>
      <c r="AF684" s="48"/>
    </row>
    <row r="685" spans="1:32" x14ac:dyDescent="0.35">
      <c r="A685" s="68" t="s">
        <v>3820</v>
      </c>
      <c r="AF685" s="48"/>
    </row>
    <row r="686" spans="1:32" x14ac:dyDescent="0.35">
      <c r="A686" s="71" t="s">
        <v>3822</v>
      </c>
      <c r="AF686" s="48"/>
    </row>
    <row r="687" spans="1:32" x14ac:dyDescent="0.35">
      <c r="A687" s="68" t="s">
        <v>3824</v>
      </c>
      <c r="AF687" s="48"/>
    </row>
    <row r="688" spans="1:32" x14ac:dyDescent="0.35">
      <c r="A688" s="71" t="s">
        <v>3826</v>
      </c>
      <c r="AF688" s="48"/>
    </row>
    <row r="689" spans="1:32" x14ac:dyDescent="0.35">
      <c r="A689" s="68" t="s">
        <v>3828</v>
      </c>
      <c r="AF689" s="48"/>
    </row>
    <row r="690" spans="1:32" x14ac:dyDescent="0.35">
      <c r="A690" s="71" t="s">
        <v>3830</v>
      </c>
      <c r="AF690" s="48"/>
    </row>
    <row r="691" spans="1:32" x14ac:dyDescent="0.35">
      <c r="A691" s="68" t="s">
        <v>3832</v>
      </c>
      <c r="AF691" s="48"/>
    </row>
    <row r="692" spans="1:32" x14ac:dyDescent="0.35">
      <c r="A692" s="71" t="s">
        <v>3834</v>
      </c>
      <c r="AF692" s="48"/>
    </row>
    <row r="693" spans="1:32" x14ac:dyDescent="0.35">
      <c r="A693" s="68" t="s">
        <v>3836</v>
      </c>
      <c r="AF693" s="48"/>
    </row>
    <row r="694" spans="1:32" x14ac:dyDescent="0.35">
      <c r="A694" s="71" t="s">
        <v>3838</v>
      </c>
      <c r="AF694" s="48"/>
    </row>
    <row r="695" spans="1:32" x14ac:dyDescent="0.35">
      <c r="A695" s="68" t="s">
        <v>3840</v>
      </c>
      <c r="AF695" s="48"/>
    </row>
    <row r="696" spans="1:32" x14ac:dyDescent="0.35">
      <c r="A696" s="71" t="s">
        <v>3842</v>
      </c>
      <c r="AF696" s="48"/>
    </row>
    <row r="697" spans="1:32" x14ac:dyDescent="0.35">
      <c r="A697" s="68" t="s">
        <v>3844</v>
      </c>
      <c r="AF697" s="48"/>
    </row>
    <row r="698" spans="1:32" x14ac:dyDescent="0.35">
      <c r="A698" s="71" t="s">
        <v>3846</v>
      </c>
      <c r="AF698" s="48"/>
    </row>
    <row r="699" spans="1:32" x14ac:dyDescent="0.35">
      <c r="A699" s="68" t="s">
        <v>3848</v>
      </c>
      <c r="AF699" s="48"/>
    </row>
    <row r="700" spans="1:32" x14ac:dyDescent="0.35">
      <c r="A700" s="71" t="s">
        <v>3850</v>
      </c>
      <c r="AF700" s="48"/>
    </row>
    <row r="701" spans="1:32" x14ac:dyDescent="0.35">
      <c r="A701" s="68" t="s">
        <v>3852</v>
      </c>
      <c r="AF701" s="48"/>
    </row>
    <row r="702" spans="1:32" x14ac:dyDescent="0.35">
      <c r="A702" s="71" t="s">
        <v>3854</v>
      </c>
      <c r="AF702" s="48"/>
    </row>
    <row r="703" spans="1:32" x14ac:dyDescent="0.35">
      <c r="A703" s="68" t="s">
        <v>3856</v>
      </c>
      <c r="AF703" s="48"/>
    </row>
    <row r="704" spans="1:32" x14ac:dyDescent="0.35">
      <c r="A704" s="71" t="s">
        <v>3858</v>
      </c>
      <c r="AF704" s="48"/>
    </row>
    <row r="705" spans="1:32" x14ac:dyDescent="0.35">
      <c r="A705" s="68" t="s">
        <v>3860</v>
      </c>
      <c r="AF705" s="48"/>
    </row>
    <row r="706" spans="1:32" x14ac:dyDescent="0.35">
      <c r="A706" s="71" t="s">
        <v>3862</v>
      </c>
      <c r="AF706" s="48"/>
    </row>
    <row r="707" spans="1:32" x14ac:dyDescent="0.35">
      <c r="A707" s="68" t="s">
        <v>3864</v>
      </c>
      <c r="AF707" s="48"/>
    </row>
    <row r="708" spans="1:32" x14ac:dyDescent="0.35">
      <c r="A708" s="71" t="s">
        <v>3866</v>
      </c>
      <c r="AF708" s="48"/>
    </row>
    <row r="709" spans="1:32" x14ac:dyDescent="0.35">
      <c r="A709" s="68" t="s">
        <v>3868</v>
      </c>
      <c r="AF709" s="48"/>
    </row>
    <row r="710" spans="1:32" x14ac:dyDescent="0.35">
      <c r="A710" s="71" t="s">
        <v>3870</v>
      </c>
      <c r="AF710" s="48"/>
    </row>
    <row r="711" spans="1:32" x14ac:dyDescent="0.35">
      <c r="A711" s="68" t="s">
        <v>3872</v>
      </c>
      <c r="AF711" s="48"/>
    </row>
    <row r="712" spans="1:32" x14ac:dyDescent="0.35">
      <c r="A712" s="71" t="s">
        <v>3874</v>
      </c>
      <c r="AF712" s="48"/>
    </row>
    <row r="713" spans="1:32" x14ac:dyDescent="0.35">
      <c r="A713" s="68" t="s">
        <v>3876</v>
      </c>
      <c r="AF713" s="48"/>
    </row>
    <row r="714" spans="1:32" x14ac:dyDescent="0.35">
      <c r="A714" s="71" t="s">
        <v>3878</v>
      </c>
      <c r="AF714" s="48"/>
    </row>
    <row r="715" spans="1:32" x14ac:dyDescent="0.35">
      <c r="A715" s="68" t="s">
        <v>3880</v>
      </c>
      <c r="AF715" s="48"/>
    </row>
    <row r="716" spans="1:32" x14ac:dyDescent="0.35">
      <c r="A716" s="71" t="s">
        <v>3882</v>
      </c>
      <c r="AF716" s="48"/>
    </row>
    <row r="717" spans="1:32" x14ac:dyDescent="0.35">
      <c r="A717" s="68" t="s">
        <v>3884</v>
      </c>
      <c r="AF717" s="48"/>
    </row>
    <row r="718" spans="1:32" x14ac:dyDescent="0.35">
      <c r="A718" s="71" t="s">
        <v>3886</v>
      </c>
      <c r="AF718" s="48"/>
    </row>
    <row r="719" spans="1:32" x14ac:dyDescent="0.35">
      <c r="A719" s="68" t="s">
        <v>3888</v>
      </c>
      <c r="AF719" s="48"/>
    </row>
    <row r="720" spans="1:32" x14ac:dyDescent="0.35">
      <c r="A720" s="71" t="s">
        <v>3890</v>
      </c>
      <c r="AF720" s="48"/>
    </row>
    <row r="721" spans="1:32" x14ac:dyDescent="0.35">
      <c r="A721" s="68" t="s">
        <v>3892</v>
      </c>
      <c r="AF721" s="48"/>
    </row>
    <row r="722" spans="1:32" x14ac:dyDescent="0.35">
      <c r="A722" s="71" t="s">
        <v>3894</v>
      </c>
      <c r="AF722" s="48"/>
    </row>
    <row r="723" spans="1:32" x14ac:dyDescent="0.35">
      <c r="A723" s="68" t="s">
        <v>3896</v>
      </c>
      <c r="AF723" s="48"/>
    </row>
    <row r="724" spans="1:32" x14ac:dyDescent="0.35">
      <c r="A724" s="71" t="s">
        <v>3898</v>
      </c>
      <c r="AF724" s="48"/>
    </row>
    <row r="725" spans="1:32" x14ac:dyDescent="0.35">
      <c r="A725" s="68" t="s">
        <v>3900</v>
      </c>
      <c r="AF725" s="48"/>
    </row>
    <row r="726" spans="1:32" x14ac:dyDescent="0.35">
      <c r="A726" s="71" t="s">
        <v>3902</v>
      </c>
      <c r="AF726" s="48"/>
    </row>
    <row r="727" spans="1:32" x14ac:dyDescent="0.35">
      <c r="A727" s="68" t="s">
        <v>3904</v>
      </c>
      <c r="AF727" s="48"/>
    </row>
    <row r="728" spans="1:32" x14ac:dyDescent="0.35">
      <c r="A728" s="71" t="s">
        <v>3906</v>
      </c>
      <c r="AF728" s="48"/>
    </row>
    <row r="729" spans="1:32" x14ac:dyDescent="0.35">
      <c r="A729" s="68" t="s">
        <v>3908</v>
      </c>
      <c r="AF729" s="48"/>
    </row>
    <row r="730" spans="1:32" x14ac:dyDescent="0.35">
      <c r="A730" s="71" t="s">
        <v>3910</v>
      </c>
      <c r="AF730" s="48"/>
    </row>
    <row r="731" spans="1:32" x14ac:dyDescent="0.35">
      <c r="A731" s="68" t="s">
        <v>3912</v>
      </c>
      <c r="AF731" s="48"/>
    </row>
    <row r="732" spans="1:32" x14ac:dyDescent="0.35">
      <c r="A732" s="71" t="s">
        <v>3914</v>
      </c>
      <c r="AF732" s="48"/>
    </row>
    <row r="733" spans="1:32" x14ac:dyDescent="0.35">
      <c r="A733" s="68" t="s">
        <v>3916</v>
      </c>
      <c r="AF733" s="48"/>
    </row>
    <row r="734" spans="1:32" x14ac:dyDescent="0.35">
      <c r="A734" s="71" t="s">
        <v>3918</v>
      </c>
      <c r="AF734" s="48"/>
    </row>
    <row r="735" spans="1:32" x14ac:dyDescent="0.35">
      <c r="A735" s="68" t="s">
        <v>3920</v>
      </c>
      <c r="AF735" s="48"/>
    </row>
    <row r="736" spans="1:32" x14ac:dyDescent="0.35">
      <c r="A736" s="71" t="s">
        <v>3922</v>
      </c>
      <c r="AF736" s="48"/>
    </row>
    <row r="737" spans="1:32" x14ac:dyDescent="0.35">
      <c r="A737" s="68" t="s">
        <v>3924</v>
      </c>
      <c r="AF737" s="48"/>
    </row>
    <row r="738" spans="1:32" x14ac:dyDescent="0.35">
      <c r="A738" s="71" t="s">
        <v>3926</v>
      </c>
      <c r="AF738" s="48"/>
    </row>
    <row r="739" spans="1:32" x14ac:dyDescent="0.35">
      <c r="A739" s="68" t="s">
        <v>3928</v>
      </c>
      <c r="AF739" s="48"/>
    </row>
    <row r="740" spans="1:32" x14ac:dyDescent="0.35">
      <c r="A740" s="71" t="s">
        <v>3930</v>
      </c>
      <c r="AF740" s="48"/>
    </row>
    <row r="741" spans="1:32" x14ac:dyDescent="0.35">
      <c r="A741" s="68" t="s">
        <v>3932</v>
      </c>
      <c r="AF741" s="48"/>
    </row>
    <row r="742" spans="1:32" x14ac:dyDescent="0.35">
      <c r="A742" s="71" t="s">
        <v>3934</v>
      </c>
      <c r="AF742" s="48"/>
    </row>
    <row r="743" spans="1:32" x14ac:dyDescent="0.35">
      <c r="A743" s="68" t="s">
        <v>3936</v>
      </c>
      <c r="AF743" s="48"/>
    </row>
    <row r="744" spans="1:32" x14ac:dyDescent="0.35">
      <c r="A744" s="71" t="s">
        <v>3938</v>
      </c>
      <c r="AF744" s="48"/>
    </row>
    <row r="745" spans="1:32" x14ac:dyDescent="0.35">
      <c r="A745" s="68" t="s">
        <v>3940</v>
      </c>
      <c r="AF745" s="48"/>
    </row>
    <row r="746" spans="1:32" x14ac:dyDescent="0.35">
      <c r="A746" s="71" t="s">
        <v>3942</v>
      </c>
      <c r="AF746" s="48"/>
    </row>
    <row r="747" spans="1:32" x14ac:dyDescent="0.35">
      <c r="A747" s="68" t="s">
        <v>3944</v>
      </c>
      <c r="AF747" s="48"/>
    </row>
    <row r="748" spans="1:32" x14ac:dyDescent="0.35">
      <c r="A748" s="71" t="s">
        <v>3946</v>
      </c>
      <c r="AF748" s="48"/>
    </row>
    <row r="749" spans="1:32" x14ac:dyDescent="0.35">
      <c r="A749" s="68" t="s">
        <v>3948</v>
      </c>
      <c r="AF749" s="48"/>
    </row>
    <row r="750" spans="1:32" x14ac:dyDescent="0.35">
      <c r="A750" s="71" t="s">
        <v>3950</v>
      </c>
      <c r="AF750" s="48"/>
    </row>
    <row r="751" spans="1:32" x14ac:dyDescent="0.35">
      <c r="A751" s="68" t="s">
        <v>3952</v>
      </c>
      <c r="AF751" s="48"/>
    </row>
    <row r="752" spans="1:32" x14ac:dyDescent="0.35">
      <c r="A752" s="71" t="s">
        <v>3954</v>
      </c>
      <c r="AF752" s="48"/>
    </row>
    <row r="753" spans="1:32" x14ac:dyDescent="0.35">
      <c r="A753" s="68" t="s">
        <v>3956</v>
      </c>
      <c r="AF753" s="48"/>
    </row>
    <row r="754" spans="1:32" x14ac:dyDescent="0.35">
      <c r="A754" s="71" t="s">
        <v>3958</v>
      </c>
      <c r="AF754" s="48"/>
    </row>
    <row r="755" spans="1:32" x14ac:dyDescent="0.35">
      <c r="A755" s="68" t="s">
        <v>3960</v>
      </c>
      <c r="AF755" s="48"/>
    </row>
    <row r="756" spans="1:32" x14ac:dyDescent="0.35">
      <c r="A756" s="71" t="s">
        <v>3962</v>
      </c>
      <c r="AF756" s="48"/>
    </row>
    <row r="757" spans="1:32" x14ac:dyDescent="0.35">
      <c r="A757" s="68" t="s">
        <v>3964</v>
      </c>
      <c r="AF757" s="48"/>
    </row>
    <row r="758" spans="1:32" x14ac:dyDescent="0.35">
      <c r="A758" s="71" t="s">
        <v>3966</v>
      </c>
      <c r="AF758" s="48"/>
    </row>
    <row r="759" spans="1:32" x14ac:dyDescent="0.35">
      <c r="A759" s="68" t="s">
        <v>3968</v>
      </c>
      <c r="AF759" s="48"/>
    </row>
    <row r="760" spans="1:32" x14ac:dyDescent="0.35">
      <c r="A760" s="71" t="s">
        <v>3970</v>
      </c>
      <c r="AF760" s="48"/>
    </row>
    <row r="761" spans="1:32" x14ac:dyDescent="0.35">
      <c r="A761" s="68" t="s">
        <v>3972</v>
      </c>
      <c r="AF761" s="48"/>
    </row>
    <row r="762" spans="1:32" x14ac:dyDescent="0.35">
      <c r="A762" s="71" t="s">
        <v>3974</v>
      </c>
      <c r="AF762" s="48"/>
    </row>
    <row r="763" spans="1:32" x14ac:dyDescent="0.35">
      <c r="A763" s="68" t="s">
        <v>3976</v>
      </c>
      <c r="AF763" s="48"/>
    </row>
    <row r="764" spans="1:32" x14ac:dyDescent="0.35">
      <c r="A764" s="71" t="s">
        <v>3978</v>
      </c>
      <c r="AF764" s="48"/>
    </row>
    <row r="765" spans="1:32" x14ac:dyDescent="0.35">
      <c r="A765" s="68" t="s">
        <v>3980</v>
      </c>
      <c r="AF765" s="48"/>
    </row>
    <row r="766" spans="1:32" x14ac:dyDescent="0.35">
      <c r="A766" s="71" t="s">
        <v>3982</v>
      </c>
      <c r="AF766" s="48"/>
    </row>
    <row r="767" spans="1:32" x14ac:dyDescent="0.35">
      <c r="A767" s="68" t="s">
        <v>3984</v>
      </c>
      <c r="AF767" s="48"/>
    </row>
    <row r="768" spans="1:32" x14ac:dyDescent="0.35">
      <c r="A768" s="71" t="s">
        <v>3986</v>
      </c>
      <c r="AF768" s="48"/>
    </row>
    <row r="769" spans="1:32" x14ac:dyDescent="0.35">
      <c r="A769" s="68" t="s">
        <v>3988</v>
      </c>
      <c r="AF769" s="48"/>
    </row>
    <row r="770" spans="1:32" x14ac:dyDescent="0.35">
      <c r="A770" s="71" t="s">
        <v>3990</v>
      </c>
      <c r="AF770" s="48"/>
    </row>
    <row r="771" spans="1:32" x14ac:dyDescent="0.35">
      <c r="A771" s="68" t="s">
        <v>3992</v>
      </c>
      <c r="AF771" s="48"/>
    </row>
    <row r="772" spans="1:32" x14ac:dyDescent="0.35">
      <c r="A772" s="71" t="s">
        <v>3994</v>
      </c>
      <c r="AF772" s="48"/>
    </row>
    <row r="773" spans="1:32" x14ac:dyDescent="0.35">
      <c r="A773" s="68" t="s">
        <v>3996</v>
      </c>
      <c r="AF773" s="48"/>
    </row>
    <row r="774" spans="1:32" x14ac:dyDescent="0.35">
      <c r="A774" s="71" t="s">
        <v>3998</v>
      </c>
      <c r="AF774" s="48"/>
    </row>
    <row r="775" spans="1:32" x14ac:dyDescent="0.35">
      <c r="A775" s="68" t="s">
        <v>4000</v>
      </c>
      <c r="AF775" s="48"/>
    </row>
    <row r="776" spans="1:32" x14ac:dyDescent="0.35">
      <c r="A776" s="71" t="s">
        <v>4002</v>
      </c>
      <c r="AF776" s="48"/>
    </row>
    <row r="777" spans="1:32" x14ac:dyDescent="0.35">
      <c r="A777" s="68" t="s">
        <v>4004</v>
      </c>
      <c r="AF777" s="48"/>
    </row>
    <row r="778" spans="1:32" x14ac:dyDescent="0.35">
      <c r="A778" s="71" t="s">
        <v>4006</v>
      </c>
      <c r="AF778" s="48"/>
    </row>
    <row r="779" spans="1:32" x14ac:dyDescent="0.35">
      <c r="A779" s="68" t="s">
        <v>4008</v>
      </c>
      <c r="AF779" s="48"/>
    </row>
    <row r="780" spans="1:32" x14ac:dyDescent="0.35">
      <c r="A780" s="71" t="s">
        <v>4010</v>
      </c>
      <c r="AF780" s="48"/>
    </row>
    <row r="781" spans="1:32" x14ac:dyDescent="0.35">
      <c r="A781" s="68" t="s">
        <v>4012</v>
      </c>
      <c r="AF781" s="48"/>
    </row>
    <row r="782" spans="1:32" x14ac:dyDescent="0.35">
      <c r="A782" s="71" t="s">
        <v>4014</v>
      </c>
      <c r="AF782" s="48"/>
    </row>
    <row r="783" spans="1:32" x14ac:dyDescent="0.35">
      <c r="A783" s="68" t="s">
        <v>4016</v>
      </c>
      <c r="AF783" s="48"/>
    </row>
    <row r="784" spans="1:32" x14ac:dyDescent="0.35">
      <c r="A784" s="71" t="s">
        <v>4018</v>
      </c>
      <c r="AF784" s="48"/>
    </row>
    <row r="785" spans="1:32" x14ac:dyDescent="0.35">
      <c r="A785" s="68" t="s">
        <v>4020</v>
      </c>
      <c r="AF785" s="48"/>
    </row>
    <row r="786" spans="1:32" x14ac:dyDescent="0.35">
      <c r="A786" s="71" t="s">
        <v>4022</v>
      </c>
      <c r="AF786" s="48"/>
    </row>
    <row r="787" spans="1:32" x14ac:dyDescent="0.35">
      <c r="A787" s="68" t="s">
        <v>4024</v>
      </c>
      <c r="AF787" s="48"/>
    </row>
    <row r="788" spans="1:32" x14ac:dyDescent="0.35">
      <c r="A788" s="71" t="s">
        <v>4026</v>
      </c>
      <c r="AF788" s="48"/>
    </row>
    <row r="789" spans="1:32" x14ac:dyDescent="0.35">
      <c r="A789" s="68" t="s">
        <v>4028</v>
      </c>
      <c r="AF789" s="48"/>
    </row>
    <row r="790" spans="1:32" x14ac:dyDescent="0.35">
      <c r="A790" s="71" t="s">
        <v>4030</v>
      </c>
      <c r="AF790" s="48"/>
    </row>
    <row r="791" spans="1:32" x14ac:dyDescent="0.35">
      <c r="A791" s="68" t="s">
        <v>4032</v>
      </c>
      <c r="AF791" s="48"/>
    </row>
    <row r="792" spans="1:32" x14ac:dyDescent="0.35">
      <c r="A792" s="71" t="s">
        <v>4034</v>
      </c>
      <c r="AF792" s="48"/>
    </row>
    <row r="793" spans="1:32" x14ac:dyDescent="0.35">
      <c r="A793" s="68" t="s">
        <v>4036</v>
      </c>
      <c r="AF793" s="48"/>
    </row>
    <row r="794" spans="1:32" x14ac:dyDescent="0.35">
      <c r="A794" s="71" t="s">
        <v>4038</v>
      </c>
      <c r="AF794" s="48"/>
    </row>
    <row r="795" spans="1:32" x14ac:dyDescent="0.35">
      <c r="A795" s="68" t="s">
        <v>4040</v>
      </c>
      <c r="AF795" s="48"/>
    </row>
    <row r="796" spans="1:32" x14ac:dyDescent="0.35">
      <c r="A796" s="71" t="s">
        <v>4042</v>
      </c>
      <c r="AF796" s="48"/>
    </row>
    <row r="797" spans="1:32" x14ac:dyDescent="0.35">
      <c r="A797" s="68" t="s">
        <v>4044</v>
      </c>
      <c r="AF797" s="48"/>
    </row>
    <row r="798" spans="1:32" x14ac:dyDescent="0.35">
      <c r="A798" s="71" t="s">
        <v>4046</v>
      </c>
      <c r="AF798" s="48"/>
    </row>
    <row r="799" spans="1:32" x14ac:dyDescent="0.35">
      <c r="A799" s="68" t="s">
        <v>4048</v>
      </c>
      <c r="AF799" s="48"/>
    </row>
    <row r="800" spans="1:32" x14ac:dyDescent="0.35">
      <c r="A800" s="71" t="s">
        <v>4050</v>
      </c>
      <c r="AF800" s="48"/>
    </row>
    <row r="801" spans="1:32" x14ac:dyDescent="0.35">
      <c r="A801" s="68" t="s">
        <v>4052</v>
      </c>
      <c r="AF801" s="48"/>
    </row>
    <row r="802" spans="1:32" x14ac:dyDescent="0.35">
      <c r="A802" s="71" t="s">
        <v>4054</v>
      </c>
      <c r="AF802" s="48"/>
    </row>
    <row r="803" spans="1:32" x14ac:dyDescent="0.35">
      <c r="A803" s="68" t="s">
        <v>4056</v>
      </c>
      <c r="AF803" s="48"/>
    </row>
    <row r="804" spans="1:32" x14ac:dyDescent="0.35">
      <c r="A804" s="71" t="s">
        <v>4058</v>
      </c>
      <c r="AF804" s="48"/>
    </row>
    <row r="805" spans="1:32" x14ac:dyDescent="0.35">
      <c r="A805" s="68" t="s">
        <v>4060</v>
      </c>
      <c r="AF805" s="48"/>
    </row>
    <row r="806" spans="1:32" x14ac:dyDescent="0.35">
      <c r="A806" s="71" t="s">
        <v>4062</v>
      </c>
      <c r="AF806" s="48"/>
    </row>
    <row r="807" spans="1:32" x14ac:dyDescent="0.35">
      <c r="A807" s="68" t="s">
        <v>4064</v>
      </c>
      <c r="AF807" s="48"/>
    </row>
    <row r="808" spans="1:32" x14ac:dyDescent="0.35">
      <c r="A808" s="71" t="s">
        <v>4066</v>
      </c>
      <c r="AF808" s="48"/>
    </row>
    <row r="809" spans="1:32" x14ac:dyDescent="0.35">
      <c r="A809" s="68" t="s">
        <v>4068</v>
      </c>
      <c r="AF809" s="48"/>
    </row>
    <row r="810" spans="1:32" x14ac:dyDescent="0.35">
      <c r="A810" s="71" t="s">
        <v>4070</v>
      </c>
      <c r="AF810" s="48"/>
    </row>
    <row r="811" spans="1:32" x14ac:dyDescent="0.35">
      <c r="A811" s="68" t="s">
        <v>4072</v>
      </c>
      <c r="AF811" s="48"/>
    </row>
    <row r="812" spans="1:32" x14ac:dyDescent="0.35">
      <c r="A812" s="71" t="s">
        <v>4074</v>
      </c>
      <c r="AF812" s="48"/>
    </row>
    <row r="813" spans="1:32" x14ac:dyDescent="0.35">
      <c r="A813" s="68" t="s">
        <v>4076</v>
      </c>
      <c r="AF813" s="48"/>
    </row>
    <row r="814" spans="1:32" x14ac:dyDescent="0.35">
      <c r="A814" s="71" t="s">
        <v>4078</v>
      </c>
      <c r="AF814" s="48"/>
    </row>
    <row r="815" spans="1:32" x14ac:dyDescent="0.35">
      <c r="A815" s="68" t="s">
        <v>4080</v>
      </c>
      <c r="AF815" s="48"/>
    </row>
    <row r="816" spans="1:32" x14ac:dyDescent="0.35">
      <c r="A816" s="71" t="s">
        <v>4082</v>
      </c>
      <c r="AF816" s="48"/>
    </row>
    <row r="817" spans="1:32" x14ac:dyDescent="0.35">
      <c r="A817" s="68" t="s">
        <v>4084</v>
      </c>
      <c r="AF817" s="48"/>
    </row>
    <row r="818" spans="1:32" x14ac:dyDescent="0.35">
      <c r="A818" s="71" t="s">
        <v>4086</v>
      </c>
      <c r="AF818" s="48"/>
    </row>
    <row r="819" spans="1:32" x14ac:dyDescent="0.35">
      <c r="A819" s="68" t="s">
        <v>4088</v>
      </c>
      <c r="AF819" s="48"/>
    </row>
    <row r="820" spans="1:32" x14ac:dyDescent="0.35">
      <c r="A820" s="71" t="s">
        <v>4090</v>
      </c>
      <c r="AF820" s="48"/>
    </row>
    <row r="821" spans="1:32" x14ac:dyDescent="0.35">
      <c r="A821" s="68" t="s">
        <v>4092</v>
      </c>
      <c r="AF821" s="48"/>
    </row>
    <row r="822" spans="1:32" x14ac:dyDescent="0.35">
      <c r="A822" s="71" t="s">
        <v>4094</v>
      </c>
      <c r="AF822" s="48"/>
    </row>
    <row r="823" spans="1:32" x14ac:dyDescent="0.35">
      <c r="A823" s="68" t="s">
        <v>4096</v>
      </c>
      <c r="AF823" s="48"/>
    </row>
    <row r="824" spans="1:32" x14ac:dyDescent="0.35">
      <c r="A824" s="71" t="s">
        <v>4098</v>
      </c>
      <c r="AF824" s="48"/>
    </row>
    <row r="825" spans="1:32" x14ac:dyDescent="0.35">
      <c r="A825" s="68" t="s">
        <v>4100</v>
      </c>
      <c r="AF825" s="48"/>
    </row>
    <row r="826" spans="1:32" x14ac:dyDescent="0.35">
      <c r="A826" s="70" t="s">
        <v>4102</v>
      </c>
      <c r="AF826" s="48"/>
    </row>
    <row r="827" spans="1:32" x14ac:dyDescent="0.35">
      <c r="A827" s="68" t="s">
        <v>4104</v>
      </c>
      <c r="AF827" s="48"/>
    </row>
    <row r="828" spans="1:32" x14ac:dyDescent="0.35">
      <c r="A828" s="71" t="s">
        <v>4106</v>
      </c>
      <c r="AF828" s="48"/>
    </row>
    <row r="829" spans="1:32" x14ac:dyDescent="0.35">
      <c r="A829" s="68" t="s">
        <v>4108</v>
      </c>
      <c r="AF829" s="48"/>
    </row>
    <row r="830" spans="1:32" x14ac:dyDescent="0.35">
      <c r="A830" s="71" t="s">
        <v>4110</v>
      </c>
      <c r="AF830" s="48"/>
    </row>
    <row r="831" spans="1:32" x14ac:dyDescent="0.35">
      <c r="A831" s="68" t="s">
        <v>4112</v>
      </c>
      <c r="AF831" s="48"/>
    </row>
    <row r="832" spans="1:32" x14ac:dyDescent="0.35">
      <c r="A832" s="71" t="s">
        <v>4114</v>
      </c>
      <c r="AF832" s="48"/>
    </row>
    <row r="833" spans="1:32" x14ac:dyDescent="0.35">
      <c r="A833" s="68" t="s">
        <v>4116</v>
      </c>
      <c r="AF833" s="48"/>
    </row>
    <row r="834" spans="1:32" x14ac:dyDescent="0.35">
      <c r="A834" s="74" t="s">
        <v>4118</v>
      </c>
      <c r="AF834" s="48"/>
    </row>
    <row r="835" spans="1:32" x14ac:dyDescent="0.35">
      <c r="A835" s="57" t="s">
        <v>4120</v>
      </c>
      <c r="AF835" s="48"/>
    </row>
    <row r="836" spans="1:32" x14ac:dyDescent="0.35">
      <c r="A836" s="71" t="s">
        <v>4122</v>
      </c>
      <c r="AF836" s="48"/>
    </row>
    <row r="837" spans="1:32" x14ac:dyDescent="0.35">
      <c r="A837" s="68" t="s">
        <v>4124</v>
      </c>
      <c r="AF837" s="48"/>
    </row>
    <row r="838" spans="1:32" x14ac:dyDescent="0.35">
      <c r="A838" s="71" t="s">
        <v>4126</v>
      </c>
      <c r="AF838" s="48"/>
    </row>
    <row r="839" spans="1:32" x14ac:dyDescent="0.35">
      <c r="A839" s="68" t="s">
        <v>4128</v>
      </c>
      <c r="AF839" s="48"/>
    </row>
    <row r="840" spans="1:32" x14ac:dyDescent="0.35">
      <c r="A840" s="71" t="s">
        <v>4130</v>
      </c>
      <c r="AF840" s="48"/>
    </row>
    <row r="841" spans="1:32" x14ac:dyDescent="0.35">
      <c r="A841" s="68" t="s">
        <v>4132</v>
      </c>
      <c r="AF841" s="48"/>
    </row>
    <row r="842" spans="1:32" x14ac:dyDescent="0.35">
      <c r="A842" s="71" t="s">
        <v>4134</v>
      </c>
      <c r="AF842" s="48"/>
    </row>
    <row r="843" spans="1:32" x14ac:dyDescent="0.35">
      <c r="A843" s="68" t="s">
        <v>4136</v>
      </c>
      <c r="AF843" s="48"/>
    </row>
    <row r="844" spans="1:32" x14ac:dyDescent="0.35">
      <c r="A844" s="71" t="s">
        <v>4138</v>
      </c>
      <c r="AF844" s="48"/>
    </row>
    <row r="845" spans="1:32" x14ac:dyDescent="0.35">
      <c r="A845" s="68" t="s">
        <v>4140</v>
      </c>
      <c r="AF845" s="48"/>
    </row>
    <row r="846" spans="1:32" x14ac:dyDescent="0.35">
      <c r="A846" s="71" t="s">
        <v>4142</v>
      </c>
      <c r="AF846" s="48"/>
    </row>
    <row r="847" spans="1:32" x14ac:dyDescent="0.35">
      <c r="A847" s="68" t="s">
        <v>4144</v>
      </c>
      <c r="AF847" s="48"/>
    </row>
    <row r="848" spans="1:32" x14ac:dyDescent="0.35">
      <c r="A848" s="71" t="s">
        <v>4146</v>
      </c>
      <c r="AF848" s="48"/>
    </row>
    <row r="849" spans="1:32" x14ac:dyDescent="0.35">
      <c r="A849" s="68" t="s">
        <v>4148</v>
      </c>
      <c r="AF849" s="48"/>
    </row>
    <row r="850" spans="1:32" x14ac:dyDescent="0.35">
      <c r="A850" s="71" t="s">
        <v>4150</v>
      </c>
      <c r="AF850" s="48"/>
    </row>
    <row r="851" spans="1:32" x14ac:dyDescent="0.35">
      <c r="A851" s="68" t="s">
        <v>4152</v>
      </c>
      <c r="AF851" s="48"/>
    </row>
    <row r="852" spans="1:32" x14ac:dyDescent="0.35">
      <c r="A852" s="71" t="s">
        <v>4154</v>
      </c>
      <c r="AF852" s="48"/>
    </row>
    <row r="853" spans="1:32" x14ac:dyDescent="0.35">
      <c r="A853" s="68" t="s">
        <v>4156</v>
      </c>
      <c r="AF853" s="48"/>
    </row>
    <row r="854" spans="1:32" x14ac:dyDescent="0.35">
      <c r="A854" s="71" t="s">
        <v>4158</v>
      </c>
      <c r="AF854" s="48"/>
    </row>
    <row r="855" spans="1:32" x14ac:dyDescent="0.35">
      <c r="A855" s="68" t="s">
        <v>4160</v>
      </c>
      <c r="AF855" s="48"/>
    </row>
    <row r="856" spans="1:32" x14ac:dyDescent="0.35">
      <c r="A856" s="71" t="s">
        <v>4162</v>
      </c>
      <c r="AF856" s="48"/>
    </row>
    <row r="857" spans="1:32" x14ac:dyDescent="0.35">
      <c r="A857" s="68" t="s">
        <v>4164</v>
      </c>
      <c r="AF857" s="48"/>
    </row>
    <row r="858" spans="1:32" x14ac:dyDescent="0.35">
      <c r="A858" s="71" t="s">
        <v>4166</v>
      </c>
      <c r="AF858" s="48"/>
    </row>
    <row r="859" spans="1:32" x14ac:dyDescent="0.35">
      <c r="A859" s="68" t="s">
        <v>4168</v>
      </c>
      <c r="AF859" s="48"/>
    </row>
    <row r="860" spans="1:32" x14ac:dyDescent="0.35">
      <c r="A860" s="71" t="s">
        <v>4170</v>
      </c>
      <c r="AF860" s="48"/>
    </row>
    <row r="861" spans="1:32" x14ac:dyDescent="0.35">
      <c r="A861" s="68" t="s">
        <v>4172</v>
      </c>
      <c r="AF861" s="48"/>
    </row>
    <row r="862" spans="1:32" x14ac:dyDescent="0.35">
      <c r="A862" s="71" t="s">
        <v>4174</v>
      </c>
      <c r="AF862" s="48"/>
    </row>
    <row r="863" spans="1:32" x14ac:dyDescent="0.35">
      <c r="A863" s="68" t="s">
        <v>4176</v>
      </c>
      <c r="AF863" s="48"/>
    </row>
    <row r="864" spans="1:32" x14ac:dyDescent="0.35">
      <c r="A864" s="71" t="s">
        <v>4178</v>
      </c>
      <c r="AF864" s="48"/>
    </row>
    <row r="865" spans="1:32" x14ac:dyDescent="0.35">
      <c r="A865" s="68" t="s">
        <v>4180</v>
      </c>
      <c r="AF865" s="48"/>
    </row>
    <row r="866" spans="1:32" x14ac:dyDescent="0.35">
      <c r="A866" s="71" t="s">
        <v>4182</v>
      </c>
      <c r="AF866" s="48"/>
    </row>
    <row r="867" spans="1:32" x14ac:dyDescent="0.35">
      <c r="A867" s="68" t="s">
        <v>4184</v>
      </c>
      <c r="AF867" s="48"/>
    </row>
    <row r="868" spans="1:32" x14ac:dyDescent="0.35">
      <c r="A868" s="71" t="s">
        <v>4186</v>
      </c>
      <c r="AF868" s="48"/>
    </row>
    <row r="869" spans="1:32" x14ac:dyDescent="0.35">
      <c r="A869" s="68" t="s">
        <v>4188</v>
      </c>
      <c r="AF869" s="48"/>
    </row>
    <row r="870" spans="1:32" x14ac:dyDescent="0.35">
      <c r="A870" s="71" t="s">
        <v>4190</v>
      </c>
      <c r="AF870" s="48"/>
    </row>
    <row r="871" spans="1:32" x14ac:dyDescent="0.35">
      <c r="A871" s="68" t="s">
        <v>4192</v>
      </c>
      <c r="AF871" s="48"/>
    </row>
    <row r="872" spans="1:32" x14ac:dyDescent="0.35">
      <c r="A872" s="71" t="s">
        <v>4194</v>
      </c>
      <c r="AF872" s="48"/>
    </row>
    <row r="873" spans="1:32" x14ac:dyDescent="0.35">
      <c r="A873" s="68" t="s">
        <v>4196</v>
      </c>
      <c r="AF873" s="48"/>
    </row>
    <row r="874" spans="1:32" x14ac:dyDescent="0.35">
      <c r="A874" s="71" t="s">
        <v>4198</v>
      </c>
      <c r="AF874" s="48"/>
    </row>
    <row r="875" spans="1:32" x14ac:dyDescent="0.35">
      <c r="A875" s="68" t="s">
        <v>4200</v>
      </c>
      <c r="AF875" s="48"/>
    </row>
    <row r="876" spans="1:32" x14ac:dyDescent="0.35">
      <c r="A876" s="71" t="s">
        <v>4202</v>
      </c>
      <c r="AF876" s="48"/>
    </row>
    <row r="877" spans="1:32" x14ac:dyDescent="0.35">
      <c r="A877" s="68" t="s">
        <v>4204</v>
      </c>
      <c r="AF877" s="48"/>
    </row>
    <row r="878" spans="1:32" x14ac:dyDescent="0.35">
      <c r="A878" s="71" t="s">
        <v>4206</v>
      </c>
      <c r="AF878" s="48"/>
    </row>
    <row r="879" spans="1:32" x14ac:dyDescent="0.35">
      <c r="A879" s="68" t="s">
        <v>4208</v>
      </c>
      <c r="AF879" s="48"/>
    </row>
    <row r="880" spans="1:32" x14ac:dyDescent="0.35">
      <c r="A880" s="71" t="s">
        <v>4210</v>
      </c>
      <c r="AF880" s="48"/>
    </row>
    <row r="881" spans="1:32" x14ac:dyDescent="0.35">
      <c r="A881" s="68" t="s">
        <v>4212</v>
      </c>
      <c r="AF881" s="48"/>
    </row>
    <row r="882" spans="1:32" x14ac:dyDescent="0.35">
      <c r="A882" s="71" t="s">
        <v>4214</v>
      </c>
      <c r="AF882" s="48"/>
    </row>
    <row r="883" spans="1:32" x14ac:dyDescent="0.35">
      <c r="A883" s="68" t="s">
        <v>4216</v>
      </c>
      <c r="AF883" s="48"/>
    </row>
    <row r="884" spans="1:32" x14ac:dyDescent="0.35">
      <c r="A884" s="71" t="s">
        <v>4218</v>
      </c>
      <c r="AF884" s="48"/>
    </row>
    <row r="885" spans="1:32" x14ac:dyDescent="0.35">
      <c r="A885" s="68" t="s">
        <v>4220</v>
      </c>
      <c r="AF885" s="48"/>
    </row>
    <row r="886" spans="1:32" x14ac:dyDescent="0.35">
      <c r="A886" s="71" t="s">
        <v>4222</v>
      </c>
      <c r="AF886" s="48"/>
    </row>
    <row r="887" spans="1:32" x14ac:dyDescent="0.35">
      <c r="A887" s="68" t="s">
        <v>4224</v>
      </c>
      <c r="AF887" s="48"/>
    </row>
    <row r="888" spans="1:32" x14ac:dyDescent="0.35">
      <c r="A888" s="71" t="s">
        <v>4226</v>
      </c>
      <c r="AF888" s="48"/>
    </row>
    <row r="889" spans="1:32" x14ac:dyDescent="0.35">
      <c r="A889" s="68" t="s">
        <v>4228</v>
      </c>
      <c r="AF889" s="48"/>
    </row>
    <row r="890" spans="1:32" x14ac:dyDescent="0.35">
      <c r="A890" s="71" t="s">
        <v>4230</v>
      </c>
      <c r="AF890" s="48"/>
    </row>
    <row r="891" spans="1:32" x14ac:dyDescent="0.35">
      <c r="A891" s="68" t="s">
        <v>4232</v>
      </c>
      <c r="AF891" s="48"/>
    </row>
    <row r="892" spans="1:32" x14ac:dyDescent="0.35">
      <c r="A892" s="71" t="s">
        <v>4234</v>
      </c>
      <c r="AF892" s="48"/>
    </row>
    <row r="893" spans="1:32" x14ac:dyDescent="0.35">
      <c r="A893" s="68" t="s">
        <v>4236</v>
      </c>
      <c r="AF893" s="48"/>
    </row>
    <row r="894" spans="1:32" x14ac:dyDescent="0.35">
      <c r="A894" s="71" t="s">
        <v>4238</v>
      </c>
      <c r="AF894" s="48"/>
    </row>
    <row r="895" spans="1:32" x14ac:dyDescent="0.35">
      <c r="A895" s="68" t="s">
        <v>4240</v>
      </c>
      <c r="AF895" s="48"/>
    </row>
    <row r="896" spans="1:32" x14ac:dyDescent="0.35">
      <c r="A896" s="71" t="s">
        <v>4242</v>
      </c>
      <c r="AF896" s="48"/>
    </row>
    <row r="897" spans="1:32" x14ac:dyDescent="0.35">
      <c r="A897" s="68" t="s">
        <v>4244</v>
      </c>
      <c r="AF897" s="48"/>
    </row>
    <row r="898" spans="1:32" x14ac:dyDescent="0.35">
      <c r="A898" s="71" t="s">
        <v>4246</v>
      </c>
      <c r="AF898" s="48"/>
    </row>
    <row r="899" spans="1:32" x14ac:dyDescent="0.35">
      <c r="A899" s="68" t="s">
        <v>4248</v>
      </c>
      <c r="AF899" s="48"/>
    </row>
    <row r="900" spans="1:32" x14ac:dyDescent="0.35">
      <c r="A900" s="71" t="s">
        <v>4250</v>
      </c>
      <c r="AF900" s="48"/>
    </row>
    <row r="901" spans="1:32" x14ac:dyDescent="0.35">
      <c r="A901" s="68" t="s">
        <v>4252</v>
      </c>
      <c r="AF901" s="48"/>
    </row>
    <row r="902" spans="1:32" x14ac:dyDescent="0.35">
      <c r="A902" s="71" t="s">
        <v>4254</v>
      </c>
      <c r="AF902" s="48"/>
    </row>
    <row r="903" spans="1:32" x14ac:dyDescent="0.35">
      <c r="A903" s="68" t="s">
        <v>4256</v>
      </c>
      <c r="AF903" s="48"/>
    </row>
    <row r="904" spans="1:32" x14ac:dyDescent="0.35">
      <c r="A904" s="71" t="s">
        <v>4258</v>
      </c>
      <c r="AF904" s="48"/>
    </row>
    <row r="905" spans="1:32" x14ac:dyDescent="0.35">
      <c r="A905" s="68" t="s">
        <v>4260</v>
      </c>
      <c r="AF905" s="48"/>
    </row>
    <row r="906" spans="1:32" x14ac:dyDescent="0.35">
      <c r="A906" s="71" t="s">
        <v>4262</v>
      </c>
      <c r="AF906" s="48"/>
    </row>
    <row r="907" spans="1:32" x14ac:dyDescent="0.35">
      <c r="A907" s="68" t="s">
        <v>4264</v>
      </c>
      <c r="AF907" s="48"/>
    </row>
    <row r="908" spans="1:32" x14ac:dyDescent="0.35">
      <c r="A908" s="71" t="s">
        <v>4266</v>
      </c>
      <c r="AF908" s="48"/>
    </row>
    <row r="909" spans="1:32" x14ac:dyDescent="0.35">
      <c r="A909" s="68" t="s">
        <v>4268</v>
      </c>
      <c r="AF909" s="48"/>
    </row>
    <row r="910" spans="1:32" x14ac:dyDescent="0.35">
      <c r="A910" s="71" t="s">
        <v>4270</v>
      </c>
      <c r="AF910" s="48"/>
    </row>
    <row r="911" spans="1:32" x14ac:dyDescent="0.35">
      <c r="A911" s="68" t="s">
        <v>4272</v>
      </c>
      <c r="AF911" s="48"/>
    </row>
    <row r="912" spans="1:32" x14ac:dyDescent="0.35">
      <c r="A912" s="71" t="s">
        <v>4274</v>
      </c>
      <c r="AF912" s="48"/>
    </row>
    <row r="913" spans="1:32" x14ac:dyDescent="0.35">
      <c r="A913" s="68" t="s">
        <v>4276</v>
      </c>
      <c r="AF913" s="48"/>
    </row>
    <row r="914" spans="1:32" x14ac:dyDescent="0.35">
      <c r="A914" s="71" t="s">
        <v>4278</v>
      </c>
      <c r="AF914" s="48"/>
    </row>
    <row r="915" spans="1:32" x14ac:dyDescent="0.35">
      <c r="A915" s="68" t="s">
        <v>4280</v>
      </c>
      <c r="AF915" s="48"/>
    </row>
    <row r="916" spans="1:32" x14ac:dyDescent="0.35">
      <c r="A916" s="71" t="s">
        <v>4282</v>
      </c>
      <c r="AF916" s="48"/>
    </row>
    <row r="917" spans="1:32" x14ac:dyDescent="0.35">
      <c r="A917" s="68" t="s">
        <v>4284</v>
      </c>
      <c r="AF917" s="48"/>
    </row>
    <row r="918" spans="1:32" x14ac:dyDescent="0.35">
      <c r="A918" s="71" t="s">
        <v>4286</v>
      </c>
      <c r="AF918" s="48"/>
    </row>
    <row r="919" spans="1:32" x14ac:dyDescent="0.35">
      <c r="A919" s="68" t="s">
        <v>4288</v>
      </c>
      <c r="AF919" s="48"/>
    </row>
    <row r="920" spans="1:32" x14ac:dyDescent="0.35">
      <c r="A920" s="71" t="s">
        <v>4290</v>
      </c>
      <c r="AF920" s="48"/>
    </row>
    <row r="921" spans="1:32" x14ac:dyDescent="0.35">
      <c r="A921" s="68" t="s">
        <v>4292</v>
      </c>
      <c r="AF921" s="48"/>
    </row>
    <row r="922" spans="1:32" x14ac:dyDescent="0.35">
      <c r="A922" s="71" t="s">
        <v>4294</v>
      </c>
      <c r="AF922" s="48"/>
    </row>
    <row r="923" spans="1:32" x14ac:dyDescent="0.35">
      <c r="A923" s="68" t="s">
        <v>4296</v>
      </c>
      <c r="AF923" s="48"/>
    </row>
    <row r="924" spans="1:32" x14ac:dyDescent="0.35">
      <c r="A924" s="71" t="s">
        <v>4298</v>
      </c>
      <c r="AF924" s="48"/>
    </row>
    <row r="925" spans="1:32" x14ac:dyDescent="0.35">
      <c r="A925" s="68" t="s">
        <v>4300</v>
      </c>
      <c r="AF925" s="48"/>
    </row>
    <row r="926" spans="1:32" x14ac:dyDescent="0.35">
      <c r="A926" s="71" t="s">
        <v>4302</v>
      </c>
      <c r="AF926" s="48"/>
    </row>
    <row r="927" spans="1:32" x14ac:dyDescent="0.35">
      <c r="A927" s="68" t="s">
        <v>4304</v>
      </c>
      <c r="AF927" s="48"/>
    </row>
    <row r="928" spans="1:32" x14ac:dyDescent="0.35">
      <c r="A928" s="71" t="s">
        <v>4306</v>
      </c>
      <c r="AF928" s="48"/>
    </row>
    <row r="929" spans="1:32" x14ac:dyDescent="0.35">
      <c r="A929" s="68" t="s">
        <v>4308</v>
      </c>
      <c r="AF929" s="48"/>
    </row>
    <row r="930" spans="1:32" x14ac:dyDescent="0.35">
      <c r="A930" s="71" t="s">
        <v>4310</v>
      </c>
      <c r="AF930" s="48"/>
    </row>
    <row r="931" spans="1:32" x14ac:dyDescent="0.35">
      <c r="A931" s="68" t="s">
        <v>4312</v>
      </c>
      <c r="AF931" s="48"/>
    </row>
    <row r="932" spans="1:32" x14ac:dyDescent="0.35">
      <c r="A932" s="71" t="s">
        <v>4314</v>
      </c>
      <c r="AF932" s="48"/>
    </row>
    <row r="933" spans="1:32" x14ac:dyDescent="0.35">
      <c r="A933" s="68" t="s">
        <v>4316</v>
      </c>
      <c r="AF933" s="48"/>
    </row>
    <row r="934" spans="1:32" x14ac:dyDescent="0.35">
      <c r="A934" s="71" t="s">
        <v>4318</v>
      </c>
      <c r="AF934" s="48"/>
    </row>
    <row r="935" spans="1:32" x14ac:dyDescent="0.35">
      <c r="A935" s="68" t="s">
        <v>4320</v>
      </c>
      <c r="AF935" s="48"/>
    </row>
    <row r="936" spans="1:32" x14ac:dyDescent="0.35">
      <c r="A936" s="71" t="s">
        <v>4322</v>
      </c>
      <c r="AF936" s="48"/>
    </row>
    <row r="937" spans="1:32" x14ac:dyDescent="0.35">
      <c r="A937" s="68" t="s">
        <v>4324</v>
      </c>
      <c r="AF937" s="48"/>
    </row>
    <row r="938" spans="1:32" x14ac:dyDescent="0.35">
      <c r="A938" s="71" t="s">
        <v>4326</v>
      </c>
      <c r="AF938" s="48"/>
    </row>
    <row r="939" spans="1:32" x14ac:dyDescent="0.35">
      <c r="A939" s="68" t="s">
        <v>4328</v>
      </c>
      <c r="AF939" s="48"/>
    </row>
    <row r="940" spans="1:32" x14ac:dyDescent="0.35">
      <c r="A940" s="71" t="s">
        <v>4330</v>
      </c>
      <c r="AF940" s="48"/>
    </row>
    <row r="941" spans="1:32" x14ac:dyDescent="0.35">
      <c r="A941" s="68" t="s">
        <v>4332</v>
      </c>
      <c r="AF941" s="48"/>
    </row>
    <row r="942" spans="1:32" x14ac:dyDescent="0.35">
      <c r="A942" s="71" t="s">
        <v>4334</v>
      </c>
      <c r="AF942" s="48"/>
    </row>
    <row r="943" spans="1:32" x14ac:dyDescent="0.35">
      <c r="A943" s="68" t="s">
        <v>4336</v>
      </c>
      <c r="AF943" s="48"/>
    </row>
    <row r="944" spans="1:32" x14ac:dyDescent="0.35">
      <c r="A944" s="71" t="s">
        <v>4338</v>
      </c>
      <c r="AF944" s="48"/>
    </row>
    <row r="945" spans="1:32" x14ac:dyDescent="0.35">
      <c r="A945" s="68" t="s">
        <v>4340</v>
      </c>
      <c r="AF945" s="48"/>
    </row>
    <row r="946" spans="1:32" x14ac:dyDescent="0.35">
      <c r="A946" s="71" t="s">
        <v>4342</v>
      </c>
      <c r="AF946" s="48"/>
    </row>
    <row r="947" spans="1:32" x14ac:dyDescent="0.35">
      <c r="A947" s="68" t="s">
        <v>4344</v>
      </c>
      <c r="AF947" s="48"/>
    </row>
    <row r="948" spans="1:32" x14ac:dyDescent="0.35">
      <c r="A948" s="71" t="s">
        <v>4346</v>
      </c>
      <c r="AF948" s="48"/>
    </row>
    <row r="949" spans="1:32" x14ac:dyDescent="0.35">
      <c r="A949" s="68" t="s">
        <v>4348</v>
      </c>
      <c r="AF949" s="48"/>
    </row>
    <row r="950" spans="1:32" x14ac:dyDescent="0.35">
      <c r="A950" s="70" t="s">
        <v>4350</v>
      </c>
      <c r="AF950" s="48"/>
    </row>
    <row r="951" spans="1:32" x14ac:dyDescent="0.35">
      <c r="A951" s="68" t="s">
        <v>4352</v>
      </c>
      <c r="AF951" s="48"/>
    </row>
    <row r="952" spans="1:32" x14ac:dyDescent="0.35">
      <c r="A952" s="71" t="s">
        <v>4354</v>
      </c>
      <c r="AF952" s="48"/>
    </row>
    <row r="953" spans="1:32" x14ac:dyDescent="0.35">
      <c r="A953" s="68" t="s">
        <v>4356</v>
      </c>
      <c r="AF953" s="48"/>
    </row>
    <row r="954" spans="1:32" x14ac:dyDescent="0.35">
      <c r="A954" s="71" t="s">
        <v>4358</v>
      </c>
      <c r="AF954" s="48"/>
    </row>
    <row r="955" spans="1:32" x14ac:dyDescent="0.35">
      <c r="A955" s="68" t="s">
        <v>4360</v>
      </c>
      <c r="AF955" s="48"/>
    </row>
    <row r="956" spans="1:32" x14ac:dyDescent="0.35">
      <c r="A956" s="71" t="s">
        <v>4362</v>
      </c>
      <c r="AF956" s="48"/>
    </row>
    <row r="957" spans="1:32" x14ac:dyDescent="0.35">
      <c r="A957" s="68" t="s">
        <v>4364</v>
      </c>
      <c r="AF957" s="48"/>
    </row>
    <row r="958" spans="1:32" x14ac:dyDescent="0.35">
      <c r="A958" s="71" t="s">
        <v>4366</v>
      </c>
      <c r="AF958" s="48"/>
    </row>
    <row r="959" spans="1:32" x14ac:dyDescent="0.35">
      <c r="A959" s="68" t="s">
        <v>4368</v>
      </c>
      <c r="AF959" s="48"/>
    </row>
    <row r="960" spans="1:32" x14ac:dyDescent="0.35">
      <c r="A960" s="71" t="s">
        <v>4370</v>
      </c>
      <c r="AF960" s="48"/>
    </row>
    <row r="961" spans="1:32" x14ac:dyDescent="0.35">
      <c r="A961" s="68" t="s">
        <v>4372</v>
      </c>
      <c r="AF961" s="48"/>
    </row>
    <row r="962" spans="1:32" x14ac:dyDescent="0.35">
      <c r="A962" s="71" t="s">
        <v>4374</v>
      </c>
      <c r="AF962" s="48"/>
    </row>
    <row r="963" spans="1:32" x14ac:dyDescent="0.35">
      <c r="A963" s="68" t="s">
        <v>4376</v>
      </c>
      <c r="AF963" s="48"/>
    </row>
    <row r="964" spans="1:32" x14ac:dyDescent="0.35">
      <c r="A964" s="71" t="s">
        <v>4378</v>
      </c>
      <c r="AF964" s="48"/>
    </row>
    <row r="965" spans="1:32" x14ac:dyDescent="0.35">
      <c r="A965" s="68" t="s">
        <v>4380</v>
      </c>
      <c r="AF965" s="48"/>
    </row>
    <row r="966" spans="1:32" x14ac:dyDescent="0.35">
      <c r="A966" s="71" t="s">
        <v>4382</v>
      </c>
      <c r="AF966" s="48"/>
    </row>
    <row r="967" spans="1:32" x14ac:dyDescent="0.35">
      <c r="A967" s="68" t="s">
        <v>4384</v>
      </c>
      <c r="AF967" s="48"/>
    </row>
    <row r="968" spans="1:32" x14ac:dyDescent="0.35">
      <c r="A968" s="71" t="s">
        <v>4386</v>
      </c>
      <c r="AF968" s="48"/>
    </row>
    <row r="969" spans="1:32" x14ac:dyDescent="0.35">
      <c r="A969" s="68" t="s">
        <v>4388</v>
      </c>
      <c r="AF969" s="48"/>
    </row>
    <row r="970" spans="1:32" x14ac:dyDescent="0.35">
      <c r="A970" s="71" t="s">
        <v>4390</v>
      </c>
      <c r="AF970" s="48"/>
    </row>
    <row r="971" spans="1:32" x14ac:dyDescent="0.35">
      <c r="A971" s="68" t="s">
        <v>4392</v>
      </c>
      <c r="AF971" s="48"/>
    </row>
    <row r="972" spans="1:32" x14ac:dyDescent="0.35">
      <c r="A972" s="71" t="s">
        <v>4394</v>
      </c>
      <c r="AF972" s="48"/>
    </row>
    <row r="973" spans="1:32" x14ac:dyDescent="0.35">
      <c r="A973" s="68" t="s">
        <v>4396</v>
      </c>
      <c r="AF973" s="48"/>
    </row>
    <row r="974" spans="1:32" x14ac:dyDescent="0.35">
      <c r="A974" s="71" t="s">
        <v>4398</v>
      </c>
      <c r="AF974" s="48"/>
    </row>
    <row r="975" spans="1:32" x14ac:dyDescent="0.35">
      <c r="A975" s="68" t="s">
        <v>4400</v>
      </c>
      <c r="AF975" s="48"/>
    </row>
    <row r="976" spans="1:32" x14ac:dyDescent="0.35">
      <c r="A976" s="71" t="s">
        <v>4402</v>
      </c>
      <c r="AF976" s="48"/>
    </row>
    <row r="977" spans="1:32" x14ac:dyDescent="0.35">
      <c r="A977" s="68" t="s">
        <v>4404</v>
      </c>
      <c r="AF977" s="48"/>
    </row>
    <row r="978" spans="1:32" x14ac:dyDescent="0.35">
      <c r="A978" s="71" t="s">
        <v>4406</v>
      </c>
      <c r="AF978" s="48"/>
    </row>
    <row r="979" spans="1:32" x14ac:dyDescent="0.35">
      <c r="A979" s="68" t="s">
        <v>4408</v>
      </c>
      <c r="AF979" s="48"/>
    </row>
    <row r="980" spans="1:32" x14ac:dyDescent="0.35">
      <c r="A980" s="71" t="s">
        <v>4410</v>
      </c>
      <c r="AF980" s="48"/>
    </row>
    <row r="981" spans="1:32" x14ac:dyDescent="0.35">
      <c r="A981" s="68" t="s">
        <v>4412</v>
      </c>
      <c r="AF981" s="48"/>
    </row>
    <row r="982" spans="1:32" x14ac:dyDescent="0.35">
      <c r="A982" s="71" t="s">
        <v>4414</v>
      </c>
      <c r="AF982" s="48"/>
    </row>
    <row r="983" spans="1:32" x14ac:dyDescent="0.35">
      <c r="A983" s="68" t="s">
        <v>4416</v>
      </c>
      <c r="AF983" s="48"/>
    </row>
    <row r="984" spans="1:32" x14ac:dyDescent="0.35">
      <c r="A984" s="71" t="s">
        <v>4418</v>
      </c>
      <c r="AF984" s="48"/>
    </row>
    <row r="985" spans="1:32" x14ac:dyDescent="0.35">
      <c r="A985" s="68" t="s">
        <v>4420</v>
      </c>
      <c r="AF985" s="48"/>
    </row>
    <row r="986" spans="1:32" x14ac:dyDescent="0.35">
      <c r="A986" s="71" t="s">
        <v>4422</v>
      </c>
      <c r="AF986" s="48"/>
    </row>
    <row r="987" spans="1:32" x14ac:dyDescent="0.35">
      <c r="A987" s="68" t="s">
        <v>4424</v>
      </c>
      <c r="AF987" s="48"/>
    </row>
    <row r="988" spans="1:32" x14ac:dyDescent="0.35">
      <c r="A988" s="71" t="s">
        <v>4426</v>
      </c>
      <c r="AF988" s="48"/>
    </row>
    <row r="989" spans="1:32" x14ac:dyDescent="0.35">
      <c r="A989" s="68" t="s">
        <v>4428</v>
      </c>
      <c r="AF989" s="48"/>
    </row>
    <row r="990" spans="1:32" x14ac:dyDescent="0.35">
      <c r="A990" s="71" t="s">
        <v>4430</v>
      </c>
      <c r="AF990" s="48"/>
    </row>
    <row r="991" spans="1:32" x14ac:dyDescent="0.35">
      <c r="A991" s="68" t="s">
        <v>4432</v>
      </c>
      <c r="AF991" s="48"/>
    </row>
    <row r="992" spans="1:32" x14ac:dyDescent="0.35">
      <c r="A992" s="71" t="s">
        <v>4434</v>
      </c>
      <c r="AF992" s="48"/>
    </row>
    <row r="993" spans="1:32" x14ac:dyDescent="0.35">
      <c r="A993" s="68" t="s">
        <v>4436</v>
      </c>
      <c r="AF993" s="48"/>
    </row>
    <row r="994" spans="1:32" x14ac:dyDescent="0.35">
      <c r="A994" s="71" t="s">
        <v>4438</v>
      </c>
      <c r="AF994" s="48"/>
    </row>
    <row r="995" spans="1:32" x14ac:dyDescent="0.35">
      <c r="A995" s="68" t="s">
        <v>4440</v>
      </c>
      <c r="AF995" s="48"/>
    </row>
    <row r="996" spans="1:32" x14ac:dyDescent="0.35">
      <c r="A996" s="71" t="s">
        <v>4442</v>
      </c>
      <c r="AF996" s="48"/>
    </row>
    <row r="997" spans="1:32" x14ac:dyDescent="0.35">
      <c r="A997" s="68" t="s">
        <v>4444</v>
      </c>
      <c r="AF997" s="48"/>
    </row>
    <row r="998" spans="1:32" x14ac:dyDescent="0.35">
      <c r="A998" s="71" t="s">
        <v>4446</v>
      </c>
      <c r="AF998" s="48"/>
    </row>
    <row r="999" spans="1:32" x14ac:dyDescent="0.35">
      <c r="A999" s="68" t="s">
        <v>4448</v>
      </c>
      <c r="AF999" s="48"/>
    </row>
    <row r="1000" spans="1:32" x14ac:dyDescent="0.35">
      <c r="A1000" s="71" t="s">
        <v>4450</v>
      </c>
      <c r="AF1000" s="48"/>
    </row>
    <row r="1001" spans="1:32" x14ac:dyDescent="0.35">
      <c r="A1001" s="68" t="s">
        <v>4452</v>
      </c>
      <c r="AF1001" s="48"/>
    </row>
    <row r="1002" spans="1:32" x14ac:dyDescent="0.35">
      <c r="A1002" s="71" t="s">
        <v>4454</v>
      </c>
      <c r="AF1002" s="48"/>
    </row>
    <row r="1003" spans="1:32" x14ac:dyDescent="0.35">
      <c r="A1003" s="68" t="s">
        <v>4456</v>
      </c>
      <c r="AF1003" s="48"/>
    </row>
    <row r="1004" spans="1:32" x14ac:dyDescent="0.35">
      <c r="A1004" s="71" t="s">
        <v>4458</v>
      </c>
      <c r="AF1004" s="48"/>
    </row>
    <row r="1005" spans="1:32" x14ac:dyDescent="0.35">
      <c r="A1005" s="68" t="s">
        <v>4460</v>
      </c>
      <c r="AF1005" s="48"/>
    </row>
    <row r="1006" spans="1:32" x14ac:dyDescent="0.35">
      <c r="A1006" s="71" t="s">
        <v>4462</v>
      </c>
      <c r="AF1006" s="48"/>
    </row>
    <row r="1007" spans="1:32" x14ac:dyDescent="0.35">
      <c r="A1007" s="68" t="s">
        <v>4464</v>
      </c>
      <c r="AF1007" s="48"/>
    </row>
    <row r="1008" spans="1:32" x14ac:dyDescent="0.35">
      <c r="A1008" s="71" t="s">
        <v>4466</v>
      </c>
      <c r="AF1008" s="48"/>
    </row>
    <row r="1009" spans="1:32" x14ac:dyDescent="0.35">
      <c r="A1009" s="68" t="s">
        <v>4468</v>
      </c>
      <c r="AF1009" s="48"/>
    </row>
    <row r="1010" spans="1:32" x14ac:dyDescent="0.35">
      <c r="A1010" s="71" t="s">
        <v>4470</v>
      </c>
      <c r="AF1010" s="48"/>
    </row>
    <row r="1011" spans="1:32" x14ac:dyDescent="0.35">
      <c r="A1011" s="68" t="s">
        <v>4472</v>
      </c>
      <c r="AF1011" s="48"/>
    </row>
    <row r="1012" spans="1:32" x14ac:dyDescent="0.35">
      <c r="A1012" s="71" t="s">
        <v>4474</v>
      </c>
      <c r="AF1012" s="48"/>
    </row>
    <row r="1013" spans="1:32" x14ac:dyDescent="0.35">
      <c r="A1013" s="68" t="s">
        <v>4476</v>
      </c>
      <c r="AF1013" s="48"/>
    </row>
    <row r="1014" spans="1:32" x14ac:dyDescent="0.35">
      <c r="A1014" s="71" t="s">
        <v>4478</v>
      </c>
      <c r="AF1014" s="48"/>
    </row>
    <row r="1015" spans="1:32" x14ac:dyDescent="0.35">
      <c r="A1015" s="68" t="s">
        <v>4480</v>
      </c>
      <c r="AF1015" s="48"/>
    </row>
    <row r="1016" spans="1:32" x14ac:dyDescent="0.35">
      <c r="A1016" s="71" t="s">
        <v>4482</v>
      </c>
      <c r="AF1016" s="48"/>
    </row>
    <row r="1017" spans="1:32" x14ac:dyDescent="0.35">
      <c r="A1017" s="68" t="s">
        <v>4484</v>
      </c>
      <c r="AF1017" s="48"/>
    </row>
    <row r="1018" spans="1:32" x14ac:dyDescent="0.35">
      <c r="A1018" s="71" t="s">
        <v>4486</v>
      </c>
      <c r="AF1018" s="48"/>
    </row>
    <row r="1019" spans="1:32" x14ac:dyDescent="0.35">
      <c r="A1019" s="68" t="s">
        <v>4488</v>
      </c>
      <c r="AF1019" s="48"/>
    </row>
    <row r="1020" spans="1:32" x14ac:dyDescent="0.35">
      <c r="A1020" s="71" t="s">
        <v>4490</v>
      </c>
      <c r="AF1020" s="48"/>
    </row>
    <row r="1021" spans="1:32" x14ac:dyDescent="0.35">
      <c r="A1021" s="68" t="s">
        <v>4492</v>
      </c>
      <c r="AF1021" s="48"/>
    </row>
    <row r="1022" spans="1:32" x14ac:dyDescent="0.35">
      <c r="A1022" s="71" t="s">
        <v>4494</v>
      </c>
      <c r="AF1022" s="48"/>
    </row>
    <row r="1023" spans="1:32" x14ac:dyDescent="0.35">
      <c r="A1023" s="68" t="s">
        <v>4496</v>
      </c>
      <c r="AF1023" s="48"/>
    </row>
    <row r="1024" spans="1:32" x14ac:dyDescent="0.35">
      <c r="A1024" s="71" t="s">
        <v>4498</v>
      </c>
      <c r="AF1024" s="48"/>
    </row>
    <row r="1025" spans="1:32" x14ac:dyDescent="0.35">
      <c r="A1025" s="68" t="s">
        <v>4500</v>
      </c>
      <c r="AF1025" s="48"/>
    </row>
    <row r="1026" spans="1:32" x14ac:dyDescent="0.35">
      <c r="A1026" s="71" t="s">
        <v>4502</v>
      </c>
      <c r="AF1026" s="48"/>
    </row>
    <row r="1027" spans="1:32" x14ac:dyDescent="0.35">
      <c r="A1027" s="68" t="s">
        <v>4504</v>
      </c>
      <c r="AF1027" s="48"/>
    </row>
    <row r="1028" spans="1:32" x14ac:dyDescent="0.35">
      <c r="A1028" s="71" t="s">
        <v>4506</v>
      </c>
      <c r="AF1028" s="48"/>
    </row>
    <row r="1029" spans="1:32" x14ac:dyDescent="0.35">
      <c r="A1029" s="68" t="s">
        <v>4508</v>
      </c>
      <c r="AF1029" s="48"/>
    </row>
    <row r="1030" spans="1:32" x14ac:dyDescent="0.35">
      <c r="A1030" s="71" t="s">
        <v>4510</v>
      </c>
      <c r="AF1030" s="48"/>
    </row>
    <row r="1031" spans="1:32" x14ac:dyDescent="0.35">
      <c r="A1031" s="68" t="s">
        <v>4512</v>
      </c>
      <c r="AF1031" s="48"/>
    </row>
    <row r="1032" spans="1:32" x14ac:dyDescent="0.35">
      <c r="A1032" s="71" t="s">
        <v>4514</v>
      </c>
      <c r="AF1032" s="48"/>
    </row>
    <row r="1033" spans="1:32" x14ac:dyDescent="0.35">
      <c r="A1033" s="68" t="s">
        <v>4516</v>
      </c>
      <c r="AF1033" s="48"/>
    </row>
    <row r="1034" spans="1:32" x14ac:dyDescent="0.35">
      <c r="A1034" s="71" t="s">
        <v>4518</v>
      </c>
      <c r="AF1034" s="48"/>
    </row>
    <row r="1035" spans="1:32" x14ac:dyDescent="0.35">
      <c r="A1035" s="68" t="s">
        <v>4520</v>
      </c>
      <c r="AF1035" s="48"/>
    </row>
    <row r="1036" spans="1:32" x14ac:dyDescent="0.35">
      <c r="A1036" s="71" t="s">
        <v>4522</v>
      </c>
      <c r="AF1036" s="48"/>
    </row>
    <row r="1037" spans="1:32" x14ac:dyDescent="0.35">
      <c r="A1037" s="68" t="s">
        <v>4524</v>
      </c>
      <c r="AF1037" s="48"/>
    </row>
    <row r="1038" spans="1:32" x14ac:dyDescent="0.35">
      <c r="A1038" s="71" t="s">
        <v>4526</v>
      </c>
      <c r="AF1038" s="48"/>
    </row>
    <row r="1039" spans="1:32" x14ac:dyDescent="0.35">
      <c r="A1039" s="68" t="s">
        <v>4528</v>
      </c>
      <c r="AF1039" s="48"/>
    </row>
    <row r="1040" spans="1:32" x14ac:dyDescent="0.35">
      <c r="A1040" s="71" t="s">
        <v>4530</v>
      </c>
      <c r="AF1040" s="48"/>
    </row>
    <row r="1041" spans="1:32" x14ac:dyDescent="0.35">
      <c r="A1041" s="68" t="s">
        <v>4532</v>
      </c>
      <c r="AF1041" s="48"/>
    </row>
    <row r="1042" spans="1:32" x14ac:dyDescent="0.35">
      <c r="A1042" s="71" t="s">
        <v>4534</v>
      </c>
      <c r="AF1042" s="48"/>
    </row>
    <row r="1043" spans="1:32" x14ac:dyDescent="0.35">
      <c r="A1043" s="68" t="s">
        <v>4536</v>
      </c>
      <c r="AF1043" s="48"/>
    </row>
    <row r="1044" spans="1:32" x14ac:dyDescent="0.35">
      <c r="A1044" s="71" t="s">
        <v>4538</v>
      </c>
      <c r="AF1044" s="48"/>
    </row>
    <row r="1045" spans="1:32" x14ac:dyDescent="0.35">
      <c r="A1045" s="68" t="s">
        <v>4540</v>
      </c>
      <c r="AF1045" s="48"/>
    </row>
    <row r="1046" spans="1:32" x14ac:dyDescent="0.35">
      <c r="A1046" s="71" t="s">
        <v>4542</v>
      </c>
      <c r="AF1046" s="48"/>
    </row>
    <row r="1047" spans="1:32" x14ac:dyDescent="0.35">
      <c r="A1047" s="68" t="s">
        <v>4544</v>
      </c>
      <c r="AF1047" s="48"/>
    </row>
    <row r="1048" spans="1:32" x14ac:dyDescent="0.35">
      <c r="A1048" s="71" t="s">
        <v>4546</v>
      </c>
      <c r="AF1048" s="48"/>
    </row>
    <row r="1049" spans="1:32" x14ac:dyDescent="0.35">
      <c r="A1049" s="68" t="s">
        <v>4548</v>
      </c>
      <c r="AF1049" s="48"/>
    </row>
    <row r="1050" spans="1:32" x14ac:dyDescent="0.35">
      <c r="A1050" s="71" t="s">
        <v>4550</v>
      </c>
      <c r="AF1050" s="48"/>
    </row>
    <row r="1051" spans="1:32" x14ac:dyDescent="0.35">
      <c r="A1051" s="68" t="s">
        <v>4552</v>
      </c>
      <c r="AF1051" s="48"/>
    </row>
    <row r="1052" spans="1:32" x14ac:dyDescent="0.35">
      <c r="A1052" s="71" t="s">
        <v>4554</v>
      </c>
      <c r="AF1052" s="48"/>
    </row>
    <row r="1053" spans="1:32" x14ac:dyDescent="0.35">
      <c r="A1053" s="68" t="s">
        <v>4556</v>
      </c>
      <c r="AF1053" s="48"/>
    </row>
    <row r="1054" spans="1:32" x14ac:dyDescent="0.35">
      <c r="A1054" s="71" t="s">
        <v>4558</v>
      </c>
      <c r="AF1054" s="48"/>
    </row>
    <row r="1055" spans="1:32" x14ac:dyDescent="0.35">
      <c r="A1055" s="68" t="s">
        <v>4560</v>
      </c>
      <c r="AF1055" s="48"/>
    </row>
    <row r="1056" spans="1:32" x14ac:dyDescent="0.35">
      <c r="A1056" s="71" t="s">
        <v>4562</v>
      </c>
      <c r="AF1056" s="48"/>
    </row>
    <row r="1057" spans="1:32" x14ac:dyDescent="0.35">
      <c r="A1057" s="68" t="s">
        <v>4564</v>
      </c>
      <c r="AF1057" s="48"/>
    </row>
    <row r="1058" spans="1:32" x14ac:dyDescent="0.35">
      <c r="A1058" s="71" t="s">
        <v>4566</v>
      </c>
      <c r="AF1058" s="48"/>
    </row>
    <row r="1059" spans="1:32" x14ac:dyDescent="0.35">
      <c r="A1059" s="68" t="s">
        <v>4568</v>
      </c>
      <c r="AF1059" s="48"/>
    </row>
    <row r="1060" spans="1:32" x14ac:dyDescent="0.35">
      <c r="A1060" s="71" t="s">
        <v>4570</v>
      </c>
      <c r="AF1060" s="48"/>
    </row>
    <row r="1061" spans="1:32" x14ac:dyDescent="0.35">
      <c r="A1061" s="68" t="s">
        <v>4572</v>
      </c>
      <c r="AF1061" s="48"/>
    </row>
    <row r="1062" spans="1:32" x14ac:dyDescent="0.35">
      <c r="A1062" s="71" t="s">
        <v>4574</v>
      </c>
      <c r="AF1062" s="48"/>
    </row>
    <row r="1063" spans="1:32" x14ac:dyDescent="0.35">
      <c r="A1063" s="68" t="s">
        <v>4576</v>
      </c>
      <c r="AF1063" s="48"/>
    </row>
    <row r="1064" spans="1:32" x14ac:dyDescent="0.35">
      <c r="A1064" s="71" t="s">
        <v>4578</v>
      </c>
      <c r="AF1064" s="48"/>
    </row>
    <row r="1065" spans="1:32" x14ac:dyDescent="0.35">
      <c r="A1065" s="68" t="s">
        <v>4580</v>
      </c>
      <c r="AF1065" s="48"/>
    </row>
    <row r="1066" spans="1:32" x14ac:dyDescent="0.35">
      <c r="A1066" s="71" t="s">
        <v>4582</v>
      </c>
      <c r="AF1066" s="48"/>
    </row>
    <row r="1067" spans="1:32" x14ac:dyDescent="0.35">
      <c r="A1067" s="68" t="s">
        <v>4584</v>
      </c>
      <c r="AF1067" s="48"/>
    </row>
    <row r="1068" spans="1:32" x14ac:dyDescent="0.35">
      <c r="A1068" s="71" t="s">
        <v>4586</v>
      </c>
      <c r="AF1068" s="48"/>
    </row>
    <row r="1069" spans="1:32" x14ac:dyDescent="0.35">
      <c r="A1069" s="68" t="s">
        <v>4588</v>
      </c>
      <c r="AF1069" s="48"/>
    </row>
    <row r="1070" spans="1:32" x14ac:dyDescent="0.35">
      <c r="A1070" s="71" t="s">
        <v>4590</v>
      </c>
      <c r="AF1070" s="48"/>
    </row>
    <row r="1071" spans="1:32" x14ac:dyDescent="0.35">
      <c r="A1071" s="68" t="s">
        <v>4592</v>
      </c>
      <c r="AF1071" s="48"/>
    </row>
    <row r="1072" spans="1:32" x14ac:dyDescent="0.35">
      <c r="A1072" s="71" t="s">
        <v>4594</v>
      </c>
      <c r="AF1072" s="48"/>
    </row>
    <row r="1073" spans="1:32" x14ac:dyDescent="0.35">
      <c r="A1073" s="68" t="s">
        <v>4596</v>
      </c>
      <c r="AF1073" s="48"/>
    </row>
    <row r="1074" spans="1:32" x14ac:dyDescent="0.35">
      <c r="A1074" s="71" t="s">
        <v>4598</v>
      </c>
      <c r="AF1074" s="48"/>
    </row>
    <row r="1075" spans="1:32" x14ac:dyDescent="0.35">
      <c r="A1075" s="68" t="s">
        <v>4600</v>
      </c>
      <c r="AF1075" s="48"/>
    </row>
    <row r="1076" spans="1:32" x14ac:dyDescent="0.35">
      <c r="A1076" s="71" t="s">
        <v>4602</v>
      </c>
      <c r="AF1076" s="48"/>
    </row>
    <row r="1077" spans="1:32" x14ac:dyDescent="0.35">
      <c r="A1077" s="68" t="s">
        <v>4604</v>
      </c>
      <c r="AF1077" s="48"/>
    </row>
    <row r="1078" spans="1:32" x14ac:dyDescent="0.35">
      <c r="A1078" s="71" t="s">
        <v>4606</v>
      </c>
      <c r="AF1078" s="48"/>
    </row>
    <row r="1079" spans="1:32" x14ac:dyDescent="0.35">
      <c r="A1079" s="68" t="s">
        <v>4608</v>
      </c>
      <c r="AF1079" s="48"/>
    </row>
    <row r="1080" spans="1:32" x14ac:dyDescent="0.35">
      <c r="A1080" s="71" t="s">
        <v>4610</v>
      </c>
      <c r="AF1080" s="48"/>
    </row>
    <row r="1081" spans="1:32" x14ac:dyDescent="0.35">
      <c r="A1081" s="68" t="s">
        <v>4612</v>
      </c>
      <c r="AF1081" s="48"/>
    </row>
    <row r="1082" spans="1:32" x14ac:dyDescent="0.35">
      <c r="A1082" s="71" t="s">
        <v>4614</v>
      </c>
      <c r="AF1082" s="48"/>
    </row>
    <row r="1083" spans="1:32" x14ac:dyDescent="0.35">
      <c r="A1083" s="68" t="s">
        <v>4616</v>
      </c>
      <c r="AF1083" s="48"/>
    </row>
    <row r="1084" spans="1:32" x14ac:dyDescent="0.35">
      <c r="A1084" s="71" t="s">
        <v>4618</v>
      </c>
      <c r="AF1084" s="48"/>
    </row>
    <row r="1085" spans="1:32" x14ac:dyDescent="0.35">
      <c r="A1085" s="68" t="s">
        <v>4620</v>
      </c>
      <c r="AF1085" s="48"/>
    </row>
    <row r="1086" spans="1:32" x14ac:dyDescent="0.35">
      <c r="A1086" s="71" t="s">
        <v>4622</v>
      </c>
      <c r="AF1086" s="48"/>
    </row>
    <row r="1087" spans="1:32" x14ac:dyDescent="0.35">
      <c r="A1087" s="68" t="s">
        <v>4624</v>
      </c>
      <c r="AF1087" s="48"/>
    </row>
    <row r="1088" spans="1:32" x14ac:dyDescent="0.35">
      <c r="A1088" s="71" t="s">
        <v>4626</v>
      </c>
      <c r="AF1088" s="48"/>
    </row>
    <row r="1089" spans="1:32" x14ac:dyDescent="0.35">
      <c r="A1089" s="68" t="s">
        <v>4628</v>
      </c>
      <c r="AF1089" s="48"/>
    </row>
    <row r="1090" spans="1:32" x14ac:dyDescent="0.35">
      <c r="A1090" s="71" t="s">
        <v>4630</v>
      </c>
      <c r="AF1090" s="48"/>
    </row>
    <row r="1091" spans="1:32" x14ac:dyDescent="0.35">
      <c r="A1091" s="68" t="s">
        <v>4632</v>
      </c>
      <c r="AF1091" s="48"/>
    </row>
    <row r="1092" spans="1:32" x14ac:dyDescent="0.35">
      <c r="A1092" s="71" t="s">
        <v>4634</v>
      </c>
      <c r="AF1092" s="48"/>
    </row>
    <row r="1093" spans="1:32" x14ac:dyDescent="0.35">
      <c r="A1093" s="68" t="s">
        <v>4636</v>
      </c>
      <c r="AF1093" s="48"/>
    </row>
    <row r="1094" spans="1:32" x14ac:dyDescent="0.35">
      <c r="A1094" s="71" t="s">
        <v>4638</v>
      </c>
      <c r="AF1094" s="48"/>
    </row>
    <row r="1095" spans="1:32" x14ac:dyDescent="0.35">
      <c r="A1095" s="68" t="s">
        <v>4640</v>
      </c>
      <c r="AF1095" s="48"/>
    </row>
    <row r="1096" spans="1:32" x14ac:dyDescent="0.35">
      <c r="AF1096" s="48"/>
    </row>
    <row r="1097" spans="1:32" x14ac:dyDescent="0.35">
      <c r="AF1097" s="48"/>
    </row>
    <row r="1098" spans="1:32" x14ac:dyDescent="0.35">
      <c r="AF1098" s="48"/>
    </row>
    <row r="1099" spans="1:32" x14ac:dyDescent="0.35">
      <c r="AF1099" s="48"/>
    </row>
    <row r="1100" spans="1:32" x14ac:dyDescent="0.35">
      <c r="AF1100" s="48"/>
    </row>
    <row r="1101" spans="1:32" x14ac:dyDescent="0.35">
      <c r="AF1101" s="48"/>
    </row>
    <row r="1102" spans="1:32" x14ac:dyDescent="0.35">
      <c r="AF1102" s="48"/>
    </row>
    <row r="1103" spans="1:32" x14ac:dyDescent="0.35">
      <c r="AF1103" s="48"/>
    </row>
    <row r="1104" spans="1:32" x14ac:dyDescent="0.35">
      <c r="AF1104" s="48"/>
    </row>
    <row r="1105" spans="32:32" x14ac:dyDescent="0.35">
      <c r="AF1105" s="48"/>
    </row>
    <row r="1106" spans="32:32" x14ac:dyDescent="0.35">
      <c r="AF1106" s="48"/>
    </row>
    <row r="1107" spans="32:32" x14ac:dyDescent="0.35">
      <c r="AF1107" s="48"/>
    </row>
    <row r="1108" spans="32:32" x14ac:dyDescent="0.35">
      <c r="AF1108" s="48"/>
    </row>
    <row r="1109" spans="32:32" x14ac:dyDescent="0.35">
      <c r="AF1109" s="48"/>
    </row>
    <row r="1110" spans="32:32" x14ac:dyDescent="0.35">
      <c r="AF1110" s="48"/>
    </row>
    <row r="1111" spans="32:32" x14ac:dyDescent="0.35">
      <c r="AF1111" s="48"/>
    </row>
    <row r="1112" spans="32:32" x14ac:dyDescent="0.35">
      <c r="AF1112" s="48"/>
    </row>
    <row r="1113" spans="32:32" x14ac:dyDescent="0.35">
      <c r="AF1113" s="48"/>
    </row>
    <row r="1114" spans="32:32" x14ac:dyDescent="0.35">
      <c r="AF1114" s="48"/>
    </row>
    <row r="1115" spans="32:32" x14ac:dyDescent="0.35">
      <c r="AF1115" s="48"/>
    </row>
    <row r="1116" spans="32:32" x14ac:dyDescent="0.35">
      <c r="AF1116" s="48"/>
    </row>
    <row r="1117" spans="32:32" x14ac:dyDescent="0.35">
      <c r="AF1117" s="48"/>
    </row>
    <row r="1118" spans="32:32" x14ac:dyDescent="0.35">
      <c r="AF1118" s="48"/>
    </row>
    <row r="1119" spans="32:32" x14ac:dyDescent="0.35">
      <c r="AF1119" s="48"/>
    </row>
    <row r="1120" spans="32:32" x14ac:dyDescent="0.35">
      <c r="AF1120" s="48"/>
    </row>
    <row r="1121" spans="32:32" x14ac:dyDescent="0.35">
      <c r="AF1121" s="48"/>
    </row>
    <row r="1122" spans="32:32" x14ac:dyDescent="0.35">
      <c r="AF1122" s="48"/>
    </row>
    <row r="1123" spans="32:32" x14ac:dyDescent="0.35">
      <c r="AF1123" s="48"/>
    </row>
    <row r="1124" spans="32:32" x14ac:dyDescent="0.35">
      <c r="AF1124" s="48"/>
    </row>
    <row r="1125" spans="32:32" x14ac:dyDescent="0.35">
      <c r="AF1125" s="48"/>
    </row>
    <row r="1126" spans="32:32" x14ac:dyDescent="0.35">
      <c r="AF1126" s="48"/>
    </row>
    <row r="1127" spans="32:32" x14ac:dyDescent="0.35">
      <c r="AF1127" s="48"/>
    </row>
    <row r="1128" spans="32:32" x14ac:dyDescent="0.35">
      <c r="AF1128" s="48"/>
    </row>
    <row r="1129" spans="32:32" x14ac:dyDescent="0.35">
      <c r="AF1129" s="48"/>
    </row>
    <row r="1130" spans="32:32" x14ac:dyDescent="0.35">
      <c r="AF1130" s="48"/>
    </row>
    <row r="1131" spans="32:32" x14ac:dyDescent="0.35">
      <c r="AF1131" s="48"/>
    </row>
    <row r="1132" spans="32:32" x14ac:dyDescent="0.35">
      <c r="AF1132" s="48"/>
    </row>
    <row r="1133" spans="32:32" x14ac:dyDescent="0.35">
      <c r="AF1133" s="48"/>
    </row>
    <row r="1134" spans="32:32" x14ac:dyDescent="0.35">
      <c r="AF1134" s="48"/>
    </row>
    <row r="1135" spans="32:32" x14ac:dyDescent="0.35">
      <c r="AF1135" s="48"/>
    </row>
    <row r="1136" spans="32:32" x14ac:dyDescent="0.35">
      <c r="AF1136" s="48"/>
    </row>
    <row r="1137" spans="32:32" x14ac:dyDescent="0.35">
      <c r="AF1137" s="48"/>
    </row>
    <row r="1138" spans="32:32" x14ac:dyDescent="0.35">
      <c r="AF1138" s="48"/>
    </row>
    <row r="1139" spans="32:32" x14ac:dyDescent="0.35">
      <c r="AF1139" s="48"/>
    </row>
    <row r="1140" spans="32:32" x14ac:dyDescent="0.35">
      <c r="AF1140" s="48"/>
    </row>
    <row r="1141" spans="32:32" x14ac:dyDescent="0.35">
      <c r="AF1141" s="48"/>
    </row>
    <row r="1142" spans="32:32" x14ac:dyDescent="0.35">
      <c r="AF1142" s="48"/>
    </row>
    <row r="1143" spans="32:32" x14ac:dyDescent="0.35">
      <c r="AF1143" s="48"/>
    </row>
    <row r="1144" spans="32:32" x14ac:dyDescent="0.35">
      <c r="AF1144" s="48"/>
    </row>
    <row r="1145" spans="32:32" x14ac:dyDescent="0.35">
      <c r="AF1145" s="48"/>
    </row>
    <row r="1146" spans="32:32" x14ac:dyDescent="0.35">
      <c r="AF1146" s="48"/>
    </row>
    <row r="1147" spans="32:32" x14ac:dyDescent="0.35">
      <c r="AF1147" s="48"/>
    </row>
    <row r="1148" spans="32:32" x14ac:dyDescent="0.35">
      <c r="AF1148" s="48"/>
    </row>
    <row r="1149" spans="32:32" x14ac:dyDescent="0.35">
      <c r="AF1149" s="48"/>
    </row>
    <row r="1150" spans="32:32" x14ac:dyDescent="0.35">
      <c r="AF1150" s="48"/>
    </row>
    <row r="1151" spans="32:32" x14ac:dyDescent="0.35">
      <c r="AF1151" s="48"/>
    </row>
    <row r="1152" spans="32:32" x14ac:dyDescent="0.35">
      <c r="AF1152" s="48"/>
    </row>
    <row r="1153" spans="32:32" x14ac:dyDescent="0.35">
      <c r="AF1153" s="48"/>
    </row>
    <row r="1154" spans="32:32" x14ac:dyDescent="0.35">
      <c r="AF1154" s="48"/>
    </row>
    <row r="1155" spans="32:32" x14ac:dyDescent="0.35">
      <c r="AF1155" s="48"/>
    </row>
    <row r="1156" spans="32:32" x14ac:dyDescent="0.35">
      <c r="AF1156" s="48"/>
    </row>
    <row r="1157" spans="32:32" x14ac:dyDescent="0.35">
      <c r="AF1157" s="48"/>
    </row>
    <row r="1158" spans="32:32" x14ac:dyDescent="0.35">
      <c r="AF1158" s="48"/>
    </row>
    <row r="1159" spans="32:32" x14ac:dyDescent="0.35">
      <c r="AF1159" s="48"/>
    </row>
    <row r="1160" spans="32:32" x14ac:dyDescent="0.35">
      <c r="AF1160" s="48"/>
    </row>
    <row r="1161" spans="32:32" x14ac:dyDescent="0.35">
      <c r="AF1161" s="48"/>
    </row>
    <row r="1162" spans="32:32" x14ac:dyDescent="0.35">
      <c r="AF1162" s="48"/>
    </row>
    <row r="1163" spans="32:32" x14ac:dyDescent="0.35">
      <c r="AF1163" s="48"/>
    </row>
    <row r="1164" spans="32:32" x14ac:dyDescent="0.35">
      <c r="AF1164" s="48"/>
    </row>
    <row r="1165" spans="32:32" x14ac:dyDescent="0.35">
      <c r="AF1165" s="48"/>
    </row>
    <row r="1166" spans="32:32" x14ac:dyDescent="0.35">
      <c r="AF1166" s="48"/>
    </row>
    <row r="1167" spans="32:32" x14ac:dyDescent="0.35">
      <c r="AF1167" s="48"/>
    </row>
    <row r="1168" spans="32:32" x14ac:dyDescent="0.35">
      <c r="AF1168" s="48"/>
    </row>
    <row r="1169" spans="32:32" x14ac:dyDescent="0.35">
      <c r="AF1169" s="48"/>
    </row>
    <row r="1170" spans="32:32" x14ac:dyDescent="0.35">
      <c r="AF1170" s="48"/>
    </row>
    <row r="1171" spans="32:32" x14ac:dyDescent="0.35">
      <c r="AF1171" s="48"/>
    </row>
    <row r="1172" spans="32:32" x14ac:dyDescent="0.35">
      <c r="AF1172" s="48"/>
    </row>
    <row r="1173" spans="32:32" x14ac:dyDescent="0.35">
      <c r="AF1173" s="48"/>
    </row>
    <row r="1174" spans="32:32" x14ac:dyDescent="0.35">
      <c r="AF1174" s="48"/>
    </row>
    <row r="1175" spans="32:32" x14ac:dyDescent="0.35">
      <c r="AF1175" s="48"/>
    </row>
    <row r="1176" spans="32:32" x14ac:dyDescent="0.35">
      <c r="AF1176" s="48"/>
    </row>
    <row r="1177" spans="32:32" x14ac:dyDescent="0.35">
      <c r="AF1177" s="48"/>
    </row>
    <row r="1178" spans="32:32" x14ac:dyDescent="0.35">
      <c r="AF1178" s="48"/>
    </row>
    <row r="1179" spans="32:32" x14ac:dyDescent="0.35">
      <c r="AF1179" s="48"/>
    </row>
    <row r="1180" spans="32:32" x14ac:dyDescent="0.35">
      <c r="AF1180" s="48"/>
    </row>
    <row r="1181" spans="32:32" x14ac:dyDescent="0.35">
      <c r="AF1181" s="48"/>
    </row>
    <row r="1182" spans="32:32" x14ac:dyDescent="0.35">
      <c r="AF1182" s="48"/>
    </row>
    <row r="1183" spans="32:32" x14ac:dyDescent="0.35">
      <c r="AF1183" s="48"/>
    </row>
    <row r="1184" spans="32:32" x14ac:dyDescent="0.35">
      <c r="AF1184" s="48"/>
    </row>
    <row r="1185" spans="32:32" x14ac:dyDescent="0.35">
      <c r="AF1185" s="48"/>
    </row>
    <row r="1186" spans="32:32" x14ac:dyDescent="0.35">
      <c r="AF1186" s="48"/>
    </row>
    <row r="1187" spans="32:32" x14ac:dyDescent="0.35">
      <c r="AF1187" s="48"/>
    </row>
    <row r="1188" spans="32:32" x14ac:dyDescent="0.35">
      <c r="AF1188" s="48"/>
    </row>
    <row r="1189" spans="32:32" x14ac:dyDescent="0.35">
      <c r="AF1189" s="48"/>
    </row>
    <row r="1190" spans="32:32" x14ac:dyDescent="0.35">
      <c r="AF1190" s="48"/>
    </row>
    <row r="1191" spans="32:32" x14ac:dyDescent="0.35">
      <c r="AF1191" s="48"/>
    </row>
    <row r="1192" spans="32:32" x14ac:dyDescent="0.35">
      <c r="AF1192" s="48"/>
    </row>
    <row r="1193" spans="32:32" x14ac:dyDescent="0.35">
      <c r="AF1193" s="48"/>
    </row>
    <row r="1194" spans="32:32" x14ac:dyDescent="0.35">
      <c r="AF1194" s="48"/>
    </row>
    <row r="1195" spans="32:32" x14ac:dyDescent="0.35">
      <c r="AF1195" s="48"/>
    </row>
    <row r="1196" spans="32:32" x14ac:dyDescent="0.35">
      <c r="AF1196" s="48"/>
    </row>
    <row r="1197" spans="32:32" x14ac:dyDescent="0.35">
      <c r="AF1197" s="48"/>
    </row>
    <row r="1198" spans="32:32" x14ac:dyDescent="0.35">
      <c r="AF1198" s="48"/>
    </row>
    <row r="1199" spans="32:32" x14ac:dyDescent="0.35">
      <c r="AF1199" s="48"/>
    </row>
    <row r="1200" spans="32:32" x14ac:dyDescent="0.35">
      <c r="AF1200" s="48"/>
    </row>
    <row r="1201" spans="32:32" x14ac:dyDescent="0.35">
      <c r="AF1201" s="48"/>
    </row>
    <row r="1202" spans="32:32" x14ac:dyDescent="0.35">
      <c r="AF1202" s="48"/>
    </row>
  </sheetData>
  <conditionalFormatting sqref="A399:A491 A3:A397 A493:A833 A836:A1095">
    <cfRule type="duplicateValues" dxfId="1" priority="1"/>
  </conditionalFormatting>
  <conditionalFormatting sqref="A3:A1048576">
    <cfRule type="duplicateValues" dxfId="0" priority="2"/>
  </conditionalFormatting>
  <pageMargins left="0.7" right="0.7" top="0.75" bottom="0.75" header="0.3" footer="0.3"/>
  <pageSetup paperSize="9" orientation="portrait" horizontalDpi="4294967293" verticalDpi="4294967293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F6A817BFECE8340A3126A1608EE727F" ma:contentTypeVersion="13" ma:contentTypeDescription="Create a new document." ma:contentTypeScope="" ma:versionID="395150637ef8d0685c22b004940cc696">
  <xsd:schema xmlns:xsd="http://www.w3.org/2001/XMLSchema" xmlns:xs="http://www.w3.org/2001/XMLSchema" xmlns:p="http://schemas.microsoft.com/office/2006/metadata/properties" xmlns:ns3="8de765f7-c1cb-4ec5-b6f1-2578d5a13cf6" xmlns:ns4="f3c98a9e-30d9-49dc-9c49-3e64318695a9" targetNamespace="http://schemas.microsoft.com/office/2006/metadata/properties" ma:root="true" ma:fieldsID="408aa2f9fb16de0c50b4f232c6ccdba4" ns3:_="" ns4:_="">
    <xsd:import namespace="8de765f7-c1cb-4ec5-b6f1-2578d5a13cf6"/>
    <xsd:import namespace="f3c98a9e-30d9-49dc-9c49-3e64318695a9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OCR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de765f7-c1cb-4ec5-b6f1-2578d5a13cf6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3c98a9e-30d9-49dc-9c49-3e64318695a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4" nillable="true" ma:displayName="MediaServiceAutoTags" ma:description="" ma:internalName="MediaServiceAutoTags" ma:readOnly="true">
      <xsd:simpleType>
        <xsd:restriction base="dms:Text"/>
      </xsd:simpleType>
    </xsd:element>
    <xsd:element name="MediaServiceOCR" ma:index="15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6" nillable="true" ma:displayName="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5370020-571C-4A19-998D-ACE1B3E3C66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C82F595-5EFC-4CF2-9DB6-D7DE31CB82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de765f7-c1cb-4ec5-b6f1-2578d5a13cf6"/>
    <ds:schemaRef ds:uri="f3c98a9e-30d9-49dc-9c49-3e64318695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66FB191-2094-44E5-810A-B719300211D7}">
  <ds:schemaRefs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purl.org/dc/elements/1.1/"/>
    <ds:schemaRef ds:uri="f3c98a9e-30d9-49dc-9c49-3e64318695a9"/>
    <ds:schemaRef ds:uri="8de765f7-c1cb-4ec5-b6f1-2578d5a13cf6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Cover Sheet</vt:lpstr>
      <vt:lpstr>MPDT Element of Asset</vt:lpstr>
      <vt:lpstr>att_matrix</vt:lpstr>
      <vt:lpstr>assets</vt:lpstr>
      <vt:lpstr>New Codes</vt:lpstr>
    </vt:vector>
  </TitlesOfParts>
  <Manager/>
  <Company>CEK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MPDT Bridleway AG9 Overbridge</dc:title>
  <dc:creator>H.Forbes</dc:creator>
  <cp:lastModifiedBy>Seethappan, Nirmala</cp:lastModifiedBy>
  <cp:lastPrinted>2020-07-08T20:41:31Z</cp:lastPrinted>
  <dcterms:created xsi:type="dcterms:W3CDTF">2020-04-27T06:58:39Z</dcterms:created>
  <dcterms:modified xsi:type="dcterms:W3CDTF">2026-02-19T09:37:09Z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0x0101009F6A817BFECE8340A3126A1608EE727F</vt:lpwstr>
  </property>
  <property fmtid="{D5CDD505-2E9C-101B-9397-08002B2CF9AE}" pid="3" name="Folder_Number">
    <vt:lpwstr/>
  </property>
  <property fmtid="{D5CDD505-2E9C-101B-9397-08002B2CF9AE}" pid="4" name="Folder_Code">
    <vt:lpwstr/>
  </property>
  <property fmtid="{D5CDD505-2E9C-101B-9397-08002B2CF9AE}" pid="5" name="Folder_Name">
    <vt:lpwstr/>
  </property>
  <property fmtid="{D5CDD505-2E9C-101B-9397-08002B2CF9AE}" pid="6" name="Folder_Description">
    <vt:lpwstr/>
  </property>
  <property fmtid="{D5CDD505-2E9C-101B-9397-08002B2CF9AE}" pid="7" name="/Folder_Name/">
    <vt:lpwstr/>
  </property>
  <property fmtid="{D5CDD505-2E9C-101B-9397-08002B2CF9AE}" pid="8" name="/Folder_Description/">
    <vt:lpwstr/>
  </property>
  <property fmtid="{D5CDD505-2E9C-101B-9397-08002B2CF9AE}" pid="9" name="Folder_Version">
    <vt:lpwstr/>
  </property>
  <property fmtid="{D5CDD505-2E9C-101B-9397-08002B2CF9AE}" pid="10" name="Folder_VersionSeq">
    <vt:lpwstr/>
  </property>
  <property fmtid="{D5CDD505-2E9C-101B-9397-08002B2CF9AE}" pid="11" name="Folder_Manager">
    <vt:lpwstr/>
  </property>
  <property fmtid="{D5CDD505-2E9C-101B-9397-08002B2CF9AE}" pid="12" name="Folder_ManagerDesc">
    <vt:lpwstr/>
  </property>
  <property fmtid="{D5CDD505-2E9C-101B-9397-08002B2CF9AE}" pid="13" name="Folder_Storage">
    <vt:lpwstr/>
  </property>
  <property fmtid="{D5CDD505-2E9C-101B-9397-08002B2CF9AE}" pid="14" name="Folder_StorageDesc">
    <vt:lpwstr/>
  </property>
  <property fmtid="{D5CDD505-2E9C-101B-9397-08002B2CF9AE}" pid="15" name="Folder_Creator">
    <vt:lpwstr/>
  </property>
  <property fmtid="{D5CDD505-2E9C-101B-9397-08002B2CF9AE}" pid="16" name="Folder_CreatorDesc">
    <vt:lpwstr/>
  </property>
  <property fmtid="{D5CDD505-2E9C-101B-9397-08002B2CF9AE}" pid="17" name="Folder_CreateDate">
    <vt:lpwstr/>
  </property>
  <property fmtid="{D5CDD505-2E9C-101B-9397-08002B2CF9AE}" pid="18" name="Folder_Updater">
    <vt:lpwstr/>
  </property>
  <property fmtid="{D5CDD505-2E9C-101B-9397-08002B2CF9AE}" pid="19" name="Folder_UpdaterDesc">
    <vt:lpwstr/>
  </property>
  <property fmtid="{D5CDD505-2E9C-101B-9397-08002B2CF9AE}" pid="20" name="Folder_UpdateDate">
    <vt:lpwstr/>
  </property>
  <property fmtid="{D5CDD505-2E9C-101B-9397-08002B2CF9AE}" pid="21" name="Document_Number">
    <vt:lpwstr>1MC07-CEK-BR-FRM-CS07_CL26-000005</vt:lpwstr>
  </property>
  <property fmtid="{D5CDD505-2E9C-101B-9397-08002B2CF9AE}" pid="22" name="Document_Name">
    <vt:lpwstr/>
  </property>
  <property fmtid="{D5CDD505-2E9C-101B-9397-08002B2CF9AE}" pid="23" name="Document_FileName">
    <vt:lpwstr/>
  </property>
  <property fmtid="{D5CDD505-2E9C-101B-9397-08002B2CF9AE}" pid="24" name="Document_Version">
    <vt:lpwstr/>
  </property>
  <property fmtid="{D5CDD505-2E9C-101B-9397-08002B2CF9AE}" pid="25" name="Document_VersionSeq">
    <vt:lpwstr/>
  </property>
  <property fmtid="{D5CDD505-2E9C-101B-9397-08002B2CF9AE}" pid="26" name="Document_Creator">
    <vt:lpwstr/>
  </property>
  <property fmtid="{D5CDD505-2E9C-101B-9397-08002B2CF9AE}" pid="27" name="Document_CreatorDesc">
    <vt:lpwstr/>
  </property>
  <property fmtid="{D5CDD505-2E9C-101B-9397-08002B2CF9AE}" pid="28" name="Document_CreateDate">
    <vt:lpwstr/>
  </property>
  <property fmtid="{D5CDD505-2E9C-101B-9397-08002B2CF9AE}" pid="29" name="Document_Updater">
    <vt:lpwstr/>
  </property>
  <property fmtid="{D5CDD505-2E9C-101B-9397-08002B2CF9AE}" pid="30" name="Document_UpdaterDesc">
    <vt:lpwstr/>
  </property>
  <property fmtid="{D5CDD505-2E9C-101B-9397-08002B2CF9AE}" pid="31" name="Document_UpdateDate">
    <vt:lpwstr/>
  </property>
  <property fmtid="{D5CDD505-2E9C-101B-9397-08002B2CF9AE}" pid="32" name="Document_Size">
    <vt:lpwstr/>
  </property>
  <property fmtid="{D5CDD505-2E9C-101B-9397-08002B2CF9AE}" pid="33" name="Document_Storage">
    <vt:lpwstr/>
  </property>
  <property fmtid="{D5CDD505-2E9C-101B-9397-08002B2CF9AE}" pid="34" name="Document_StorageDesc">
    <vt:lpwstr/>
  </property>
  <property fmtid="{D5CDD505-2E9C-101B-9397-08002B2CF9AE}" pid="35" name="Document_Department">
    <vt:lpwstr/>
  </property>
  <property fmtid="{D5CDD505-2E9C-101B-9397-08002B2CF9AE}" pid="36" name="Document_DepartmentDesc">
    <vt:lpwstr/>
  </property>
  <property fmtid="{D5CDD505-2E9C-101B-9397-08002B2CF9AE}" pid="37" name="PWRevision">
    <vt:lpwstr>P06</vt:lpwstr>
  </property>
  <property fmtid="{D5CDD505-2E9C-101B-9397-08002B2CF9AE}" pid="38" name="PWTitle">
    <vt:lpwstr>MPDT Bridleway AG9 Overbridge</vt:lpwstr>
  </property>
  <property fmtid="{D5CDD505-2E9C-101B-9397-08002B2CF9AE}" pid="39" name="PWTitleL2">
    <vt:lpwstr/>
  </property>
  <property fmtid="{D5CDD505-2E9C-101B-9397-08002B2CF9AE}" pid="40" name="PWTitleL3">
    <vt:lpwstr/>
  </property>
  <property fmtid="{D5CDD505-2E9C-101B-9397-08002B2CF9AE}" pid="41" name="PWTitleL4">
    <vt:lpwstr/>
  </property>
  <property fmtid="{D5CDD505-2E9C-101B-9397-08002B2CF9AE}" pid="42" name="Drawn 01">
    <vt:lpwstr>H.Forbes</vt:lpwstr>
  </property>
  <property fmtid="{D5CDD505-2E9C-101B-9397-08002B2CF9AE}" pid="43" name="Drawn 02">
    <vt:lpwstr/>
  </property>
  <property fmtid="{D5CDD505-2E9C-101B-9397-08002B2CF9AE}" pid="44" name="Drawn 03">
    <vt:lpwstr/>
  </property>
  <property fmtid="{D5CDD505-2E9C-101B-9397-08002B2CF9AE}" pid="45" name="Drawn 04">
    <vt:lpwstr/>
  </property>
  <property fmtid="{D5CDD505-2E9C-101B-9397-08002B2CF9AE}" pid="46" name="Drawn 05">
    <vt:lpwstr/>
  </property>
  <property fmtid="{D5CDD505-2E9C-101B-9397-08002B2CF9AE}" pid="47" name="Drawn 06">
    <vt:lpwstr/>
  </property>
  <property fmtid="{D5CDD505-2E9C-101B-9397-08002B2CF9AE}" pid="48" name="Checked 01">
    <vt:lpwstr>M.Perona</vt:lpwstr>
  </property>
  <property fmtid="{D5CDD505-2E9C-101B-9397-08002B2CF9AE}" pid="49" name="Checked 02">
    <vt:lpwstr/>
  </property>
  <property fmtid="{D5CDD505-2E9C-101B-9397-08002B2CF9AE}" pid="50" name="Checked 03">
    <vt:lpwstr/>
  </property>
  <property fmtid="{D5CDD505-2E9C-101B-9397-08002B2CF9AE}" pid="51" name="Checked 04">
    <vt:lpwstr/>
  </property>
  <property fmtid="{D5CDD505-2E9C-101B-9397-08002B2CF9AE}" pid="52" name="Checked 05">
    <vt:lpwstr/>
  </property>
  <property fmtid="{D5CDD505-2E9C-101B-9397-08002B2CF9AE}" pid="53" name="Checked 06">
    <vt:lpwstr/>
  </property>
  <property fmtid="{D5CDD505-2E9C-101B-9397-08002B2CF9AE}" pid="54" name="Approved 01">
    <vt:lpwstr>---</vt:lpwstr>
  </property>
  <property fmtid="{D5CDD505-2E9C-101B-9397-08002B2CF9AE}" pid="55" name="Approved 02">
    <vt:lpwstr/>
  </property>
  <property fmtid="{D5CDD505-2E9C-101B-9397-08002B2CF9AE}" pid="56" name="Approved 03">
    <vt:lpwstr/>
  </property>
  <property fmtid="{D5CDD505-2E9C-101B-9397-08002B2CF9AE}" pid="57" name="Approved 04">
    <vt:lpwstr/>
  </property>
  <property fmtid="{D5CDD505-2E9C-101B-9397-08002B2CF9AE}" pid="58" name="Approved 05">
    <vt:lpwstr/>
  </property>
  <property fmtid="{D5CDD505-2E9C-101B-9397-08002B2CF9AE}" pid="59" name="Approved 06">
    <vt:lpwstr/>
  </property>
  <property fmtid="{D5CDD505-2E9C-101B-9397-08002B2CF9AE}" pid="60" name="Date 01">
    <vt:lpwstr>10/08/2023</vt:lpwstr>
  </property>
  <property fmtid="{D5CDD505-2E9C-101B-9397-08002B2CF9AE}" pid="61" name="Date 02">
    <vt:lpwstr>09/12/19</vt:lpwstr>
  </property>
  <property fmtid="{D5CDD505-2E9C-101B-9397-08002B2CF9AE}" pid="62" name="Date 03">
    <vt:lpwstr>25/11/19</vt:lpwstr>
  </property>
  <property fmtid="{D5CDD505-2E9C-101B-9397-08002B2CF9AE}" pid="63" name="Date 04">
    <vt:lpwstr>14/06/19</vt:lpwstr>
  </property>
  <property fmtid="{D5CDD505-2E9C-101B-9397-08002B2CF9AE}" pid="64" name="Date 05">
    <vt:lpwstr>22/10/18</vt:lpwstr>
  </property>
  <property fmtid="{D5CDD505-2E9C-101B-9397-08002B2CF9AE}" pid="65" name="Date 06">
    <vt:lpwstr/>
  </property>
  <property fmtid="{D5CDD505-2E9C-101B-9397-08002B2CF9AE}" pid="66" name="Note 01">
    <vt:lpwstr>Updated for DAC 2 requirements</vt:lpwstr>
  </property>
  <property fmtid="{D5CDD505-2E9C-101B-9397-08002B2CF9AE}" pid="67" name="Note 02">
    <vt:lpwstr>UAID's added by EK</vt:lpwstr>
  </property>
  <property fmtid="{D5CDD505-2E9C-101B-9397-08002B2CF9AE}" pid="68" name="Note 03">
    <vt:lpwstr>UAID Request</vt:lpwstr>
  </property>
  <property fmtid="{D5CDD505-2E9C-101B-9397-08002B2CF9AE}" pid="69" name="Note 04">
    <vt:lpwstr>Issued for UAID request</vt:lpwstr>
  </property>
  <property fmtid="{D5CDD505-2E9C-101B-9397-08002B2CF9AE}" pid="70" name="Note 05">
    <vt:lpwstr>Issue for information to HS2</vt:lpwstr>
  </property>
  <property fmtid="{D5CDD505-2E9C-101B-9397-08002B2CF9AE}" pid="71" name="Note 06">
    <vt:lpwstr>Issue for information to HS2</vt:lpwstr>
  </property>
  <property fmtid="{D5CDD505-2E9C-101B-9397-08002B2CF9AE}" pid="72" name="Rev 01">
    <vt:lpwstr>P06</vt:lpwstr>
  </property>
  <property fmtid="{D5CDD505-2E9C-101B-9397-08002B2CF9AE}" pid="73" name="Rev 02">
    <vt:lpwstr>P05</vt:lpwstr>
  </property>
  <property fmtid="{D5CDD505-2E9C-101B-9397-08002B2CF9AE}" pid="74" name="Rev 03">
    <vt:lpwstr>P04</vt:lpwstr>
  </property>
  <property fmtid="{D5CDD505-2E9C-101B-9397-08002B2CF9AE}" pid="75" name="Rev 04">
    <vt:lpwstr>P03</vt:lpwstr>
  </property>
  <property fmtid="{D5CDD505-2E9C-101B-9397-08002B2CF9AE}" pid="76" name="Rev 05">
    <vt:lpwstr>P02</vt:lpwstr>
  </property>
  <property fmtid="{D5CDD505-2E9C-101B-9397-08002B2CF9AE}" pid="77" name="Rev 06">
    <vt:lpwstr>P01</vt:lpwstr>
  </property>
</Properties>
</file>